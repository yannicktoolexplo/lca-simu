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calian-my.sharepoint.com/personal/thierry_dupuis_scalian_com/Documents/Bureau/"/>
    </mc:Choice>
  </mc:AlternateContent>
  <xr:revisionPtr revIDLastSave="260" documentId="8_{6F52B1AD-5AE0-4A91-9A91-90B95303378A}" xr6:coauthVersionLast="47" xr6:coauthVersionMax="47" xr10:uidLastSave="{66E5F8E6-3312-478F-AAB6-6116A72CA081}"/>
  <bookViews>
    <workbookView xWindow="-28920" yWindow="-6030" windowWidth="29040" windowHeight="15720" tabRatio="700" xr2:uid="{00000000-000D-0000-FFFF-FFFF00000000}"/>
  </bookViews>
  <sheets>
    <sheet name="Dashboard Audit" sheetId="1" r:id="rId1"/>
    <sheet name="Essai radar" sheetId="2" r:id="rId2"/>
    <sheet name="Mode d'emploi" sheetId="3" r:id="rId3"/>
    <sheet name="Critères de résilience"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G25" i="4" l="1"/>
  <c r="EG26" i="4" s="1"/>
  <c r="EG27" i="4" s="1"/>
  <c r="F50" i="4" s="1"/>
  <c r="C22" i="2" s="1"/>
  <c r="GO27" i="4"/>
  <c r="GH27" i="4"/>
  <c r="GA27" i="4"/>
  <c r="FT27" i="4"/>
  <c r="FM27" i="4"/>
  <c r="FF27" i="4"/>
  <c r="EY27" i="4"/>
  <c r="ER27" i="4"/>
  <c r="EK27" i="4"/>
  <c r="ED27" i="4"/>
  <c r="DW27" i="4"/>
  <c r="DP27" i="4"/>
  <c r="DI27" i="4"/>
  <c r="DB27" i="4"/>
  <c r="CU27" i="4"/>
  <c r="CN27" i="4"/>
  <c r="CG27" i="4"/>
  <c r="BZ27" i="4"/>
  <c r="BS27" i="4"/>
  <c r="BL27" i="4"/>
  <c r="BE27" i="4"/>
  <c r="AX27" i="4"/>
  <c r="AQ27" i="4"/>
  <c r="AJ27" i="4"/>
  <c r="AC27" i="4"/>
  <c r="V27" i="4"/>
  <c r="O27" i="4"/>
  <c r="H27" i="4"/>
  <c r="D27" i="4"/>
  <c r="F31" i="4" s="1"/>
  <c r="GM26" i="4"/>
  <c r="GL26" i="4"/>
  <c r="GK26" i="4"/>
  <c r="GK27" i="4" s="1"/>
  <c r="F58" i="4" s="1"/>
  <c r="C30" i="2" s="1"/>
  <c r="GF26" i="4"/>
  <c r="GE26" i="4"/>
  <c r="GD26" i="4"/>
  <c r="GD27" i="4" s="1"/>
  <c r="F57" i="4" s="1"/>
  <c r="C29" i="2" s="1"/>
  <c r="FY26" i="4"/>
  <c r="FX26" i="4"/>
  <c r="FW26" i="4"/>
  <c r="FW27" i="4" s="1"/>
  <c r="F56" i="4" s="1"/>
  <c r="C28" i="2" s="1"/>
  <c r="FR26" i="4"/>
  <c r="FQ26" i="4"/>
  <c r="FP26" i="4"/>
  <c r="FP27" i="4" s="1"/>
  <c r="F55" i="4" s="1"/>
  <c r="C27" i="2" s="1"/>
  <c r="FK26" i="4"/>
  <c r="FJ26" i="4"/>
  <c r="FI26" i="4"/>
  <c r="FI27" i="4" s="1"/>
  <c r="F54" i="4" s="1"/>
  <c r="C26" i="2" s="1"/>
  <c r="FD26" i="4"/>
  <c r="FC26" i="4"/>
  <c r="FB26" i="4"/>
  <c r="FB27" i="4" s="1"/>
  <c r="F53" i="4" s="1"/>
  <c r="C25" i="2" s="1"/>
  <c r="EW26" i="4"/>
  <c r="EV26" i="4"/>
  <c r="EU26" i="4"/>
  <c r="EU27" i="4" s="1"/>
  <c r="F52" i="4" s="1"/>
  <c r="C24" i="2" s="1"/>
  <c r="EP26" i="4"/>
  <c r="EO26" i="4"/>
  <c r="EN26" i="4"/>
  <c r="EN27" i="4" s="1"/>
  <c r="F51" i="4" s="1"/>
  <c r="EI26" i="4"/>
  <c r="EH26" i="4"/>
  <c r="EB26" i="4"/>
  <c r="EA26" i="4"/>
  <c r="DZ26" i="4"/>
  <c r="DZ27" i="4" s="1"/>
  <c r="F49" i="4" s="1"/>
  <c r="DU26" i="4"/>
  <c r="DT26" i="4"/>
  <c r="DS26" i="4"/>
  <c r="DS27" i="4" s="1"/>
  <c r="F48" i="4" s="1"/>
  <c r="C20" i="2" s="1"/>
  <c r="DN26" i="4"/>
  <c r="DM26" i="4"/>
  <c r="DL26" i="4"/>
  <c r="DL27" i="4" s="1"/>
  <c r="F47" i="4" s="1"/>
  <c r="DG26" i="4"/>
  <c r="DF26" i="4"/>
  <c r="DE26" i="4"/>
  <c r="DE27" i="4" s="1"/>
  <c r="F46" i="4" s="1"/>
  <c r="C18" i="2" s="1"/>
  <c r="CZ26" i="4"/>
  <c r="CY26" i="4"/>
  <c r="CX26" i="4"/>
  <c r="CX27" i="4" s="1"/>
  <c r="F45" i="4" s="1"/>
  <c r="C17" i="2" s="1"/>
  <c r="CS26" i="4"/>
  <c r="CR26" i="4"/>
  <c r="CQ26" i="4"/>
  <c r="CQ27" i="4" s="1"/>
  <c r="F44" i="4" s="1"/>
  <c r="C16" i="2" s="1"/>
  <c r="CL26" i="4"/>
  <c r="CK26" i="4"/>
  <c r="CJ26" i="4"/>
  <c r="CJ27" i="4" s="1"/>
  <c r="F43" i="4" s="1"/>
  <c r="C15" i="2" s="1"/>
  <c r="CE26" i="4"/>
  <c r="CD26" i="4"/>
  <c r="CC26" i="4"/>
  <c r="CC27" i="4" s="1"/>
  <c r="F42" i="4" s="1"/>
  <c r="C14" i="2" s="1"/>
  <c r="BX26" i="4"/>
  <c r="BW26" i="4"/>
  <c r="BV26" i="4"/>
  <c r="BV27" i="4" s="1"/>
  <c r="F41" i="4" s="1"/>
  <c r="C13" i="2" s="1"/>
  <c r="BQ26" i="4"/>
  <c r="BP26" i="4"/>
  <c r="BO26" i="4"/>
  <c r="BO27" i="4" s="1"/>
  <c r="F40" i="4" s="1"/>
  <c r="C12" i="2" s="1"/>
  <c r="BJ26" i="4"/>
  <c r="BI26" i="4"/>
  <c r="BH26" i="4"/>
  <c r="BH27" i="4" s="1"/>
  <c r="F39" i="4" s="1"/>
  <c r="C11" i="2" s="1"/>
  <c r="BC26" i="4"/>
  <c r="BB26" i="4"/>
  <c r="BA26" i="4"/>
  <c r="BA27" i="4" s="1"/>
  <c r="F38" i="4" s="1"/>
  <c r="C10" i="2" s="1"/>
  <c r="AV26" i="4"/>
  <c r="AU26" i="4"/>
  <c r="AT26" i="4"/>
  <c r="AT27" i="4" s="1"/>
  <c r="F37" i="4" s="1"/>
  <c r="C9" i="2" s="1"/>
  <c r="AO26" i="4"/>
  <c r="AN26" i="4"/>
  <c r="AM26" i="4"/>
  <c r="AM27" i="4" s="1"/>
  <c r="F36" i="4" s="1"/>
  <c r="C8" i="2" s="1"/>
  <c r="AH26" i="4"/>
  <c r="AG26" i="4"/>
  <c r="AF26" i="4"/>
  <c r="AF27" i="4" s="1"/>
  <c r="F35" i="4" s="1"/>
  <c r="C7" i="2" s="1"/>
  <c r="AA26" i="4"/>
  <c r="Z26" i="4"/>
  <c r="Y26" i="4"/>
  <c r="Y27" i="4" s="1"/>
  <c r="F34" i="4" s="1"/>
  <c r="C6" i="2" s="1"/>
  <c r="T26" i="4"/>
  <c r="S26" i="4"/>
  <c r="R26" i="4"/>
  <c r="R27" i="4" s="1"/>
  <c r="F33" i="4" s="1"/>
  <c r="C5" i="2" s="1"/>
  <c r="M26" i="4"/>
  <c r="L26" i="4"/>
  <c r="K26" i="4"/>
  <c r="K27" i="4" s="1"/>
  <c r="F32" i="4" s="1"/>
  <c r="C4" i="2" s="1"/>
  <c r="F26" i="4"/>
  <c r="E26" i="4"/>
  <c r="D26" i="4"/>
  <c r="EN25" i="4"/>
  <c r="U23" i="4"/>
  <c r="W23" i="4" s="1"/>
  <c r="FZ22" i="4"/>
  <c r="GB22" i="4" s="1"/>
  <c r="FE22" i="4"/>
  <c r="FG22" i="4" s="1"/>
  <c r="U22" i="4"/>
  <c r="W22" i="4" s="1"/>
  <c r="N22" i="4"/>
  <c r="P22" i="4" s="1"/>
  <c r="FZ21" i="4"/>
  <c r="GB21" i="4" s="1"/>
  <c r="FE21" i="4"/>
  <c r="FG21" i="4" s="1"/>
  <c r="U21" i="4"/>
  <c r="W21" i="4" s="1"/>
  <c r="N21" i="4"/>
  <c r="P21" i="4" s="1"/>
  <c r="FZ20" i="4"/>
  <c r="GB20" i="4" s="1"/>
  <c r="FE20" i="4"/>
  <c r="FG20" i="4" s="1"/>
  <c r="AB20" i="4"/>
  <c r="AD20" i="4" s="1"/>
  <c r="U20" i="4"/>
  <c r="W20" i="4" s="1"/>
  <c r="N20" i="4"/>
  <c r="P20" i="4" s="1"/>
  <c r="G20" i="4"/>
  <c r="I20" i="4" s="1"/>
  <c r="FZ19" i="4"/>
  <c r="GB19" i="4" s="1"/>
  <c r="FL19" i="4"/>
  <c r="FN19" i="4" s="1"/>
  <c r="FE19" i="4"/>
  <c r="FG19" i="4" s="1"/>
  <c r="AB19" i="4"/>
  <c r="AD19" i="4" s="1"/>
  <c r="U19" i="4"/>
  <c r="W19" i="4" s="1"/>
  <c r="N19" i="4"/>
  <c r="P19" i="4" s="1"/>
  <c r="G19" i="4"/>
  <c r="I19" i="4" s="1"/>
  <c r="GN18" i="4"/>
  <c r="GP18" i="4" s="1"/>
  <c r="FZ18" i="4"/>
  <c r="GB18" i="4" s="1"/>
  <c r="FL18" i="4"/>
  <c r="FN18" i="4" s="1"/>
  <c r="FE18" i="4"/>
  <c r="FG18" i="4" s="1"/>
  <c r="ES18" i="4"/>
  <c r="EJ18" i="4"/>
  <c r="EL18" i="4" s="1"/>
  <c r="DO18" i="4"/>
  <c r="DQ18" i="4" s="1"/>
  <c r="BR18" i="4"/>
  <c r="BT18" i="4" s="1"/>
  <c r="AP18" i="4"/>
  <c r="AR18" i="4" s="1"/>
  <c r="AI18" i="4"/>
  <c r="AK18" i="4" s="1"/>
  <c r="AB18" i="4"/>
  <c r="AD18" i="4" s="1"/>
  <c r="U18" i="4"/>
  <c r="W18" i="4" s="1"/>
  <c r="N18" i="4"/>
  <c r="P18" i="4" s="1"/>
  <c r="G18" i="4"/>
  <c r="I18" i="4" s="1"/>
  <c r="GN17" i="4"/>
  <c r="GP17" i="4" s="1"/>
  <c r="GG17" i="4"/>
  <c r="GI17" i="4" s="1"/>
  <c r="FZ17" i="4"/>
  <c r="GB17" i="4" s="1"/>
  <c r="FS17" i="4"/>
  <c r="FU17" i="4" s="1"/>
  <c r="FL17" i="4"/>
  <c r="FN17" i="4" s="1"/>
  <c r="FE17" i="4"/>
  <c r="FG17" i="4" s="1"/>
  <c r="ES17" i="4"/>
  <c r="EJ17" i="4"/>
  <c r="EL17" i="4" s="1"/>
  <c r="DO17" i="4"/>
  <c r="DQ17" i="4" s="1"/>
  <c r="DH17" i="4"/>
  <c r="DJ17" i="4" s="1"/>
  <c r="BY17" i="4"/>
  <c r="CA17" i="4" s="1"/>
  <c r="BR17" i="4"/>
  <c r="BT17" i="4" s="1"/>
  <c r="AW17" i="4"/>
  <c r="AY17" i="4" s="1"/>
  <c r="AP17" i="4"/>
  <c r="AR17" i="4" s="1"/>
  <c r="AI17" i="4"/>
  <c r="AK17" i="4" s="1"/>
  <c r="AB17" i="4"/>
  <c r="AD17" i="4" s="1"/>
  <c r="U17" i="4"/>
  <c r="W17" i="4" s="1"/>
  <c r="N17" i="4"/>
  <c r="P17" i="4" s="1"/>
  <c r="G17" i="4"/>
  <c r="I17" i="4" s="1"/>
  <c r="GN16" i="4"/>
  <c r="GP16" i="4" s="1"/>
  <c r="GG16" i="4"/>
  <c r="GI16" i="4" s="1"/>
  <c r="GB16" i="4"/>
  <c r="FS16" i="4"/>
  <c r="FU16" i="4" s="1"/>
  <c r="FL16" i="4"/>
  <c r="FN16" i="4" s="1"/>
  <c r="FE16" i="4"/>
  <c r="FG16" i="4" s="1"/>
  <c r="EX16" i="4"/>
  <c r="EZ16" i="4" s="1"/>
  <c r="ES16" i="4"/>
  <c r="EJ16" i="4"/>
  <c r="EL16" i="4" s="1"/>
  <c r="EC16" i="4"/>
  <c r="EE16" i="4" s="1"/>
  <c r="DV16" i="4"/>
  <c r="DX16" i="4" s="1"/>
  <c r="DO16" i="4"/>
  <c r="DQ16" i="4" s="1"/>
  <c r="DH16" i="4"/>
  <c r="DJ16" i="4" s="1"/>
  <c r="DA16" i="4"/>
  <c r="DC16" i="4" s="1"/>
  <c r="CT16" i="4"/>
  <c r="CV16" i="4" s="1"/>
  <c r="CM16" i="4"/>
  <c r="CO16" i="4" s="1"/>
  <c r="CF16" i="4"/>
  <c r="CH16" i="4" s="1"/>
  <c r="BY16" i="4"/>
  <c r="CA16" i="4" s="1"/>
  <c r="BR16" i="4"/>
  <c r="BT16" i="4" s="1"/>
  <c r="BK16" i="4"/>
  <c r="BM16" i="4" s="1"/>
  <c r="BD16" i="4"/>
  <c r="BF16" i="4" s="1"/>
  <c r="AW16" i="4"/>
  <c r="AY16" i="4" s="1"/>
  <c r="AP16" i="4"/>
  <c r="AR16" i="4" s="1"/>
  <c r="AI16" i="4"/>
  <c r="AK16" i="4" s="1"/>
  <c r="AB16" i="4"/>
  <c r="AD16" i="4" s="1"/>
  <c r="U16" i="4"/>
  <c r="W16" i="4" s="1"/>
  <c r="N16" i="4"/>
  <c r="P16" i="4" s="1"/>
  <c r="G16" i="4"/>
  <c r="I16" i="4" s="1"/>
  <c r="GN15" i="4"/>
  <c r="GP15" i="4" s="1"/>
  <c r="GG15" i="4"/>
  <c r="GI15" i="4" s="1"/>
  <c r="FZ15" i="4"/>
  <c r="GB15" i="4" s="1"/>
  <c r="FS15" i="4"/>
  <c r="FU15" i="4" s="1"/>
  <c r="FL15" i="4"/>
  <c r="FN15" i="4" s="1"/>
  <c r="FE15" i="4"/>
  <c r="FG15" i="4" s="1"/>
  <c r="EX15" i="4"/>
  <c r="EZ15" i="4" s="1"/>
  <c r="EQ15" i="4"/>
  <c r="ES15" i="4" s="1"/>
  <c r="EJ15" i="4"/>
  <c r="EL15" i="4" s="1"/>
  <c r="EC15" i="4"/>
  <c r="EE15" i="4" s="1"/>
  <c r="DV15" i="4"/>
  <c r="DX15" i="4" s="1"/>
  <c r="DO15" i="4"/>
  <c r="DQ15" i="4" s="1"/>
  <c r="DH15" i="4"/>
  <c r="DJ15" i="4" s="1"/>
  <c r="DA15" i="4"/>
  <c r="DC15" i="4" s="1"/>
  <c r="CT15" i="4"/>
  <c r="CV15" i="4" s="1"/>
  <c r="CM15" i="4"/>
  <c r="CO15" i="4" s="1"/>
  <c r="CF15" i="4"/>
  <c r="CH15" i="4" s="1"/>
  <c r="BY15" i="4"/>
  <c r="CA15" i="4" s="1"/>
  <c r="BR15" i="4"/>
  <c r="BT15" i="4" s="1"/>
  <c r="BK15" i="4"/>
  <c r="BM15" i="4" s="1"/>
  <c r="BD15" i="4"/>
  <c r="BF15" i="4" s="1"/>
  <c r="AW15" i="4"/>
  <c r="AY15" i="4" s="1"/>
  <c r="AP15" i="4"/>
  <c r="AR15" i="4" s="1"/>
  <c r="AI15" i="4"/>
  <c r="AK15" i="4" s="1"/>
  <c r="AB15" i="4"/>
  <c r="AD15" i="4" s="1"/>
  <c r="U15" i="4"/>
  <c r="W15" i="4" s="1"/>
  <c r="N15" i="4"/>
  <c r="P15" i="4" s="1"/>
  <c r="G15" i="4"/>
  <c r="I15" i="4" s="1"/>
  <c r="GN14" i="4"/>
  <c r="GP14" i="4" s="1"/>
  <c r="GG14" i="4"/>
  <c r="GI14" i="4" s="1"/>
  <c r="FZ14" i="4"/>
  <c r="GB14" i="4" s="1"/>
  <c r="FS14" i="4"/>
  <c r="FU14" i="4" s="1"/>
  <c r="FL14" i="4"/>
  <c r="FE14" i="4"/>
  <c r="EX14" i="4"/>
  <c r="EZ14" i="4" s="1"/>
  <c r="EQ14" i="4"/>
  <c r="ES14" i="4" s="1"/>
  <c r="EJ14" i="4"/>
  <c r="EL14" i="4" s="1"/>
  <c r="EC14" i="4"/>
  <c r="EE14" i="4" s="1"/>
  <c r="DV14" i="4"/>
  <c r="DO14" i="4"/>
  <c r="DQ14" i="4" s="1"/>
  <c r="DH14" i="4"/>
  <c r="DJ14" i="4" s="1"/>
  <c r="DA14" i="4"/>
  <c r="DC14" i="4" s="1"/>
  <c r="CT14" i="4"/>
  <c r="CV14" i="4" s="1"/>
  <c r="CM14" i="4"/>
  <c r="CO14" i="4" s="1"/>
  <c r="CF14" i="4"/>
  <c r="BY14" i="4"/>
  <c r="CA14" i="4" s="1"/>
  <c r="BR14" i="4"/>
  <c r="BT14" i="4" s="1"/>
  <c r="BK14" i="4"/>
  <c r="BM14" i="4" s="1"/>
  <c r="BD14" i="4"/>
  <c r="BF14" i="4" s="1"/>
  <c r="AW14" i="4"/>
  <c r="AY14" i="4" s="1"/>
  <c r="AP14" i="4"/>
  <c r="AI14" i="4"/>
  <c r="AK14" i="4" s="1"/>
  <c r="AB14" i="4"/>
  <c r="AD14" i="4" s="1"/>
  <c r="U14" i="4"/>
  <c r="W14" i="4" s="1"/>
  <c r="N14" i="4"/>
  <c r="P14" i="4" s="1"/>
  <c r="G14" i="4"/>
  <c r="I14" i="4" s="1"/>
  <c r="GN13" i="4"/>
  <c r="GG13" i="4"/>
  <c r="FZ13" i="4"/>
  <c r="GB13" i="4" s="1"/>
  <c r="FS13" i="4"/>
  <c r="FU13" i="4" s="1"/>
  <c r="FL13" i="4"/>
  <c r="FN13" i="4" s="1"/>
  <c r="FE13" i="4"/>
  <c r="FG13" i="4" s="1"/>
  <c r="EX13" i="4"/>
  <c r="EZ13" i="4" s="1"/>
  <c r="EQ13" i="4"/>
  <c r="EJ13" i="4"/>
  <c r="EL13" i="4" s="1"/>
  <c r="EC13" i="4"/>
  <c r="EE13" i="4" s="1"/>
  <c r="DV13" i="4"/>
  <c r="DX13" i="4" s="1"/>
  <c r="DO13" i="4"/>
  <c r="DQ13" i="4" s="1"/>
  <c r="DH13" i="4"/>
  <c r="DA13" i="4"/>
  <c r="DC13" i="4" s="1"/>
  <c r="CT13" i="4"/>
  <c r="CV13" i="4" s="1"/>
  <c r="CM13" i="4"/>
  <c r="CO13" i="4" s="1"/>
  <c r="CF13" i="4"/>
  <c r="CH13" i="4" s="1"/>
  <c r="BY13" i="4"/>
  <c r="CA13" i="4" s="1"/>
  <c r="BR13" i="4"/>
  <c r="BK13" i="4"/>
  <c r="BD13" i="4"/>
  <c r="BF13" i="4" s="1"/>
  <c r="AW13" i="4"/>
  <c r="AY13" i="4" s="1"/>
  <c r="AP13" i="4"/>
  <c r="AR13" i="4" s="1"/>
  <c r="AI13" i="4"/>
  <c r="AK13" i="4" s="1"/>
  <c r="AB13" i="4"/>
  <c r="AD13" i="4" s="1"/>
  <c r="U13" i="4"/>
  <c r="N13" i="4"/>
  <c r="P13" i="4" s="1"/>
  <c r="G13" i="4"/>
  <c r="I13" i="4" s="1"/>
  <c r="E32" i="2"/>
  <c r="D32" i="2"/>
  <c r="C32" i="2"/>
  <c r="B32" i="2"/>
  <c r="B31" i="2"/>
  <c r="B30" i="2"/>
  <c r="B29" i="2"/>
  <c r="B28" i="2"/>
  <c r="B27" i="2"/>
  <c r="B26" i="2"/>
  <c r="B25" i="2"/>
  <c r="B24" i="2"/>
  <c r="B23" i="2"/>
  <c r="B22" i="2"/>
  <c r="B21" i="2"/>
  <c r="B20" i="2"/>
  <c r="B19" i="2"/>
  <c r="B18" i="2"/>
  <c r="B17" i="2"/>
  <c r="B16" i="2"/>
  <c r="B15" i="2"/>
  <c r="B14" i="2"/>
  <c r="B13" i="2"/>
  <c r="B12" i="2"/>
  <c r="B11" i="2"/>
  <c r="B10" i="2"/>
  <c r="H9" i="2"/>
  <c r="B9" i="2"/>
  <c r="H8" i="2"/>
  <c r="B8" i="2"/>
  <c r="H7" i="2"/>
  <c r="B7" i="2"/>
  <c r="H6" i="2"/>
  <c r="B6" i="2"/>
  <c r="H5" i="2"/>
  <c r="B5" i="2"/>
  <c r="H4" i="2"/>
  <c r="B4" i="2"/>
  <c r="H3" i="2"/>
  <c r="B3" i="2"/>
  <c r="L2" i="2"/>
  <c r="K2" i="2"/>
  <c r="J2" i="2"/>
  <c r="I2" i="2"/>
  <c r="H2" i="2"/>
  <c r="E2" i="2"/>
  <c r="D2" i="2"/>
  <c r="C2" i="2"/>
  <c r="B2" i="2"/>
  <c r="C6" i="1"/>
  <c r="F5" i="1"/>
  <c r="C5" i="1"/>
  <c r="BR26" i="4" l="1"/>
  <c r="G40" i="4" s="1"/>
  <c r="D12" i="2" s="1"/>
  <c r="U26" i="4"/>
  <c r="G33" i="4" s="1"/>
  <c r="D5" i="2" s="1"/>
  <c r="GG26" i="4"/>
  <c r="G57" i="4" s="1"/>
  <c r="D29" i="2" s="1"/>
  <c r="BY26" i="4"/>
  <c r="EZ27" i="4"/>
  <c r="H52" i="4" s="1"/>
  <c r="E24" i="2" s="1"/>
  <c r="BD26" i="4"/>
  <c r="G38" i="4" s="1"/>
  <c r="D10" i="2" s="1"/>
  <c r="EJ26" i="4"/>
  <c r="G50" i="4" s="1"/>
  <c r="D22" i="2" s="1"/>
  <c r="DH26" i="4"/>
  <c r="G46" i="4" s="1"/>
  <c r="D18" i="2" s="1"/>
  <c r="AI26" i="4"/>
  <c r="G35" i="4" s="1"/>
  <c r="D7" i="2" s="1"/>
  <c r="AP26" i="4"/>
  <c r="G36" i="4" s="1"/>
  <c r="D8" i="2" s="1"/>
  <c r="CV27" i="4"/>
  <c r="H44" i="4" s="1"/>
  <c r="E16" i="2" s="1"/>
  <c r="BK26" i="4"/>
  <c r="G41" i="4" s="1"/>
  <c r="D13" i="2" s="1"/>
  <c r="FE26" i="4"/>
  <c r="G53" i="4" s="1"/>
  <c r="D25" i="2" s="1"/>
  <c r="DO26" i="4"/>
  <c r="G47" i="4" s="1"/>
  <c r="BT13" i="4"/>
  <c r="BT27" i="4" s="1"/>
  <c r="H39" i="4" s="1"/>
  <c r="E11" i="2" s="1"/>
  <c r="GN26" i="4"/>
  <c r="G58" i="4" s="1"/>
  <c r="D30" i="2" s="1"/>
  <c r="W13" i="4"/>
  <c r="W27" i="4" s="1"/>
  <c r="H33" i="4" s="1"/>
  <c r="E5" i="2" s="1"/>
  <c r="GB27" i="4"/>
  <c r="H56" i="4" s="1"/>
  <c r="E28" i="2" s="1"/>
  <c r="C21" i="2"/>
  <c r="C13" i="1"/>
  <c r="I4" i="2" s="1"/>
  <c r="P27" i="4"/>
  <c r="H32" i="4" s="1"/>
  <c r="E4" i="2" s="1"/>
  <c r="DC27" i="4"/>
  <c r="H45" i="4" s="1"/>
  <c r="E17" i="2" s="1"/>
  <c r="C15" i="1"/>
  <c r="I6" i="2" s="1"/>
  <c r="AR14" i="4"/>
  <c r="AR27" i="4" s="1"/>
  <c r="H36" i="4" s="1"/>
  <c r="E8" i="2" s="1"/>
  <c r="EQ26" i="4"/>
  <c r="G51" i="4" s="1"/>
  <c r="AY27" i="4"/>
  <c r="H37" i="4" s="1"/>
  <c r="E9" i="2" s="1"/>
  <c r="FN14" i="4"/>
  <c r="FN27" i="4" s="1"/>
  <c r="H54" i="4" s="1"/>
  <c r="E26" i="2" s="1"/>
  <c r="FL26" i="4"/>
  <c r="G54" i="4" s="1"/>
  <c r="D26" i="2" s="1"/>
  <c r="I27" i="4"/>
  <c r="H31" i="4" s="1"/>
  <c r="BF27" i="4"/>
  <c r="H38" i="4" s="1"/>
  <c r="E10" i="2" s="1"/>
  <c r="C14" i="1"/>
  <c r="I5" i="2" s="1"/>
  <c r="CT26" i="4"/>
  <c r="G44" i="4" s="1"/>
  <c r="D16" i="2" s="1"/>
  <c r="AD27" i="4"/>
  <c r="H34" i="4" s="1"/>
  <c r="AK27" i="4"/>
  <c r="H35" i="4" s="1"/>
  <c r="EL27" i="4"/>
  <c r="H50" i="4" s="1"/>
  <c r="E22" i="2" s="1"/>
  <c r="N26" i="4"/>
  <c r="G32" i="4" s="1"/>
  <c r="D4" i="2" s="1"/>
  <c r="C23" i="2"/>
  <c r="C17" i="1"/>
  <c r="I8" i="2" s="1"/>
  <c r="ES13" i="4"/>
  <c r="ES27" i="4" s="1"/>
  <c r="H51" i="4" s="1"/>
  <c r="GP13" i="4"/>
  <c r="GP27" i="4" s="1"/>
  <c r="H58" i="4" s="1"/>
  <c r="E30" i="2" s="1"/>
  <c r="FG14" i="4"/>
  <c r="FG27" i="4" s="1"/>
  <c r="H53" i="4" s="1"/>
  <c r="E25" i="2" s="1"/>
  <c r="C3" i="2"/>
  <c r="C12" i="1"/>
  <c r="F59" i="4"/>
  <c r="C31" i="2" s="1"/>
  <c r="EX26" i="4"/>
  <c r="G52" i="4" s="1"/>
  <c r="C19" i="2"/>
  <c r="BM13" i="4"/>
  <c r="BM27" i="4" s="1"/>
  <c r="DJ13" i="4"/>
  <c r="DJ27" i="4" s="1"/>
  <c r="H46" i="4" s="1"/>
  <c r="E18" i="2" s="1"/>
  <c r="DX14" i="4"/>
  <c r="DX27" i="4" s="1"/>
  <c r="H48" i="4" s="1"/>
  <c r="E20" i="2" s="1"/>
  <c r="DV26" i="4"/>
  <c r="G48" i="4" s="1"/>
  <c r="D20" i="2" s="1"/>
  <c r="DQ27" i="4"/>
  <c r="H47" i="4" s="1"/>
  <c r="FZ26" i="4"/>
  <c r="G56" i="4" s="1"/>
  <c r="D28" i="2" s="1"/>
  <c r="EE27" i="4"/>
  <c r="H49" i="4" s="1"/>
  <c r="E21" i="2" s="1"/>
  <c r="CO27" i="4"/>
  <c r="H43" i="4" s="1"/>
  <c r="E15" i="2" s="1"/>
  <c r="C16" i="1"/>
  <c r="I7" i="2" s="1"/>
  <c r="FU27" i="4"/>
  <c r="H55" i="4" s="1"/>
  <c r="E27" i="2" s="1"/>
  <c r="GI13" i="4"/>
  <c r="GI27" i="4" s="1"/>
  <c r="H57" i="4" s="1"/>
  <c r="E29" i="2" s="1"/>
  <c r="DA26" i="4"/>
  <c r="G45" i="4" s="1"/>
  <c r="D17" i="2" s="1"/>
  <c r="AB26" i="4"/>
  <c r="G34" i="4" s="1"/>
  <c r="CA27" i="4"/>
  <c r="H41" i="4" s="1"/>
  <c r="E13" i="2" s="1"/>
  <c r="CF26" i="4"/>
  <c r="G42" i="4" s="1"/>
  <c r="D14" i="2" s="1"/>
  <c r="CH14" i="4"/>
  <c r="CH27" i="4" s="1"/>
  <c r="H42" i="4" s="1"/>
  <c r="E14" i="2" s="1"/>
  <c r="G26" i="4"/>
  <c r="G31" i="4" s="1"/>
  <c r="AW26" i="4"/>
  <c r="G37" i="4" s="1"/>
  <c r="D9" i="2" s="1"/>
  <c r="CM26" i="4"/>
  <c r="G43" i="4" s="1"/>
  <c r="D15" i="2" s="1"/>
  <c r="EC26" i="4"/>
  <c r="G49" i="4" s="1"/>
  <c r="D21" i="2" s="1"/>
  <c r="FS26" i="4"/>
  <c r="G55" i="4" s="1"/>
  <c r="D27" i="2" s="1"/>
  <c r="G39" i="4" l="1"/>
  <c r="D11" i="2" s="1"/>
  <c r="E15" i="1"/>
  <c r="J6" i="2" s="1"/>
  <c r="D19" i="2"/>
  <c r="H40" i="4"/>
  <c r="E12" i="2" s="1"/>
  <c r="E6" i="2"/>
  <c r="G16" i="1"/>
  <c r="K7" i="2" s="1"/>
  <c r="E23" i="2"/>
  <c r="G17" i="1"/>
  <c r="K8" i="2" s="1"/>
  <c r="E12" i="1"/>
  <c r="D3" i="2"/>
  <c r="D24" i="2"/>
  <c r="E16" i="1"/>
  <c r="E14" i="1"/>
  <c r="D6" i="2"/>
  <c r="G15" i="1"/>
  <c r="K6" i="2" s="1"/>
  <c r="E19" i="2"/>
  <c r="G12" i="1"/>
  <c r="E3" i="2"/>
  <c r="E7" i="2"/>
  <c r="G13" i="1"/>
  <c r="K4" i="2" s="1"/>
  <c r="C18" i="1"/>
  <c r="I9" i="2" s="1"/>
  <c r="I3" i="2"/>
  <c r="D23" i="2"/>
  <c r="E17" i="1"/>
  <c r="E13" i="1" l="1"/>
  <c r="E18" i="1" s="1"/>
  <c r="G59" i="4"/>
  <c r="D31" i="2" s="1"/>
  <c r="I15" i="1"/>
  <c r="L6" i="2" s="1"/>
  <c r="G14" i="1"/>
  <c r="K5" i="2" s="1"/>
  <c r="H59" i="4"/>
  <c r="E31" i="2" s="1"/>
  <c r="J7" i="2"/>
  <c r="I16" i="1"/>
  <c r="L7" i="2" s="1"/>
  <c r="K3" i="2"/>
  <c r="I17" i="1"/>
  <c r="L8" i="2" s="1"/>
  <c r="J8" i="2"/>
  <c r="J3" i="2"/>
  <c r="I12" i="1"/>
  <c r="L3" i="2" s="1"/>
  <c r="J5" i="2"/>
  <c r="J4" i="2" l="1"/>
  <c r="I13" i="1"/>
  <c r="L4" i="2" s="1"/>
  <c r="G18" i="1"/>
  <c r="K9" i="2" s="1"/>
  <c r="I14" i="1"/>
  <c r="L5" i="2" s="1"/>
  <c r="J9" i="2"/>
  <c r="I18" i="1" l="1"/>
  <c r="L9" i="2" s="1"/>
</calcChain>
</file>

<file path=xl/sharedStrings.xml><?xml version="1.0" encoding="utf-8"?>
<sst xmlns="http://schemas.openxmlformats.org/spreadsheetml/2006/main" count="730" uniqueCount="359">
  <si>
    <t>TABLEAU DE BORD — AUDIT FOURNISSEUR / RÉSILIENCE</t>
  </si>
  <si>
    <t>Société auditée</t>
  </si>
  <si>
    <t>Fournisseur</t>
  </si>
  <si>
    <t>Produit</t>
  </si>
  <si>
    <t>Date de l'audit</t>
  </si>
  <si>
    <t>Famille</t>
  </si>
  <si>
    <t>Maturité %</t>
  </si>
  <si>
    <t>Seuil maturité</t>
  </si>
  <si>
    <t>Criticité /100</t>
  </si>
  <si>
    <t>Seuil criticité</t>
  </si>
  <si>
    <t>Résilience (semaine)</t>
  </si>
  <si>
    <t>Seuil résilience</t>
  </si>
  <si>
    <t>Priorité /100</t>
  </si>
  <si>
    <t>Technique &amp; production</t>
  </si>
  <si>
    <t>Organisation &amp; données</t>
  </si>
  <si>
    <t>RH &amp; sécurité</t>
  </si>
  <si>
    <t>Risques externes</t>
  </si>
  <si>
    <t>Fournisseurs</t>
  </si>
  <si>
    <t>Activité &amp; marché</t>
  </si>
  <si>
    <t>TOTAL / MOYENNE</t>
  </si>
  <si>
    <t>TOILE 1 — MATURITÉ</t>
  </si>
  <si>
    <t>Niveau de maîtrise actuel du fournisseur.</t>
  </si>
  <si>
    <t>TOILE 2 — CRITICITÉ</t>
  </si>
  <si>
    <t>Gravité potentielle des écarts, normalisée sur 100.</t>
  </si>
  <si>
    <t>TOILE 3 — RÉSILIENCE</t>
  </si>
  <si>
    <t>Temps nécessaire pour revenir à la conformité.</t>
  </si>
  <si>
    <t>TOILE 4 — PRIORITÉ D'ACTION</t>
  </si>
  <si>
    <t>Lecture combinée pour hiérarchiser les actions correctives.</t>
  </si>
  <si>
    <t>MODE D'EMPLOI — TRAME D'AUDIT FOURNISSEUR</t>
  </si>
  <si>
    <t>1. Saisir les réponses dans « Critères de résilience ».</t>
  </si>
  <si>
    <t>Les calculs P × I (criticité) et C × TPS (résilience) restent ceux de la trame d'origine.</t>
  </si>
  <si>
    <t>2. Le « Dashboard Audit » récupère automatiquement les résultats de la trame.</t>
  </si>
  <si>
    <t>3. Les 4 toiles permettent quatre lectures complémentaires : maturité, criticité, résilience et priorité d'action.</t>
  </si>
  <si>
    <t>4. Pour un nouvel audit fournisseur, dupliquer le classeur et renseigner société, fournisseur, produit, date et auditeur.</t>
  </si>
  <si>
    <t>5. À l'ouverture dans Excel, le recalcul automatique actualise les formules et les graphiques.</t>
  </si>
  <si>
    <t>Nom de la société:</t>
  </si>
  <si>
    <t>Fournisseur:</t>
  </si>
  <si>
    <t>SDC - VD0993480A Simulation</t>
  </si>
  <si>
    <t>Légende:</t>
  </si>
  <si>
    <t>Données fournisseur suite audit --&gt; 
Pts = notation de l'audit sur la question posée
TPS (T) = Temps nécessaire pour remise en conformité selon le fournisseur (en jour)</t>
  </si>
  <si>
    <t>P = probabilité qu'un problème arrive</t>
  </si>
  <si>
    <t>I = Impact sur la société si un problème survient</t>
  </si>
  <si>
    <t>C= criticité calculée</t>
  </si>
  <si>
    <t>R= résilience obtenue pour revenir à situation de conformité (Tps*C)</t>
  </si>
  <si>
    <t>→ Tableau de bord dynamique</t>
  </si>
  <si>
    <t>Propreté des lieux</t>
  </si>
  <si>
    <t>Pts</t>
  </si>
  <si>
    <t>P</t>
  </si>
  <si>
    <t>I</t>
  </si>
  <si>
    <t>C=
P*I</t>
  </si>
  <si>
    <t>TPS
(T)</t>
  </si>
  <si>
    <t>R=
C*T</t>
  </si>
  <si>
    <t>Outillage
Qualité</t>
  </si>
  <si>
    <t>Atelier</t>
  </si>
  <si>
    <t>Sûreté</t>
  </si>
  <si>
    <t>Conservation des données</t>
  </si>
  <si>
    <t>Maintenance</t>
  </si>
  <si>
    <t>Formation Maintenance</t>
  </si>
  <si>
    <t>Disponibilité des pièces détachées pour mes fabrications</t>
  </si>
  <si>
    <t>Amélioration continue</t>
  </si>
  <si>
    <t>Formation des salariés</t>
  </si>
  <si>
    <t>Connaissance des employés</t>
  </si>
  <si>
    <t>Turn Over (12 mois glissants)</t>
  </si>
  <si>
    <t>Accidentologie TG (12 mois glissants)</t>
  </si>
  <si>
    <t>Accidentologie TF1 (12 mois glissants)</t>
  </si>
  <si>
    <t>Accidentologie TF2 (12 mois glissants)</t>
  </si>
  <si>
    <t>Dossier de recherche de cause suite accident (TG, TF1 et TF2)</t>
  </si>
  <si>
    <t>Aléas climatique</t>
  </si>
  <si>
    <t>Aléas  industriel</t>
  </si>
  <si>
    <t>Communication interne</t>
  </si>
  <si>
    <t>Risques sociaux</t>
  </si>
  <si>
    <t>Diversification du chiffre d'affaire</t>
  </si>
  <si>
    <t>Diversification des fournisseurs</t>
  </si>
  <si>
    <t>Audits fournisseurs de rang 1</t>
  </si>
  <si>
    <t>Suivi des fournisseurs de rang 1</t>
  </si>
  <si>
    <t>Identification des fournisseurs de rang 2</t>
  </si>
  <si>
    <t>Audits fournisseurs de rang 2</t>
  </si>
  <si>
    <t>Plan de continuité d'activité</t>
  </si>
  <si>
    <t>Transporteur</t>
  </si>
  <si>
    <t>Les lieux sont globalement propres
 /5</t>
  </si>
  <si>
    <t>Les outils sont rangés, classés et clairement identifiés
 /5</t>
  </si>
  <si>
    <t>Traçage au sol et signalétique aux murs ou sur panneaux + point de rassemblement
/5</t>
  </si>
  <si>
    <t>Affichage port de badge obligatoire
/5</t>
  </si>
  <si>
    <t>Sauvegarde Data Center
Ins "t" / jour / hebdo / mensuelle
/40</t>
  </si>
  <si>
    <t>Calendrier de maintenance préventive interne
/5</t>
  </si>
  <si>
    <t>Recyclage permanent des techniciens de maintenance
/5</t>
  </si>
  <si>
    <t>Pièce ne se fabrique plus et nécessite une entreprise spécialisée pour les refaire
/5</t>
  </si>
  <si>
    <t>Process d'amélioration LEAN en place mesure d'efficacité sur tous les secteurs
/10</t>
  </si>
  <si>
    <t>Oui, au moins 1 formation technique ou 1 remise à niveau  par an pour chaque employé
/10</t>
  </si>
  <si>
    <t>Ils savent où sont les procédures et savent comment y accéder à tout moment
/5</t>
  </si>
  <si>
    <t>Supérieur à 15%
/0</t>
  </si>
  <si>
    <t>entre 0 et 0,5
/10</t>
  </si>
  <si>
    <t>entre 0 et 9,99
/10</t>
  </si>
  <si>
    <t>entre 0 et 15
/10</t>
  </si>
  <si>
    <t>Oui sur tous
/10</t>
  </si>
  <si>
    <t>Faille sismique --&gt; Si absence de faille = 10
/10</t>
  </si>
  <si>
    <t>Incendie mais formation feu pour tous les salariés
/10</t>
  </si>
  <si>
    <t>Affichage bilan social et syndical de l'entreprise
/5</t>
  </si>
  <si>
    <t>Aucuns mouvements sociaux depuis plus de 5 ans --&gt; Si ok = 20 pour toute la colonne
/20</t>
  </si>
  <si>
    <t>L'activité est pluri-sectorielle
/10</t>
  </si>
  <si>
    <t>Les fournisseurs sont systématiquement triplés et chacuns sont dûment certifiés
/30</t>
  </si>
  <si>
    <t>Audits systématiques selon un plan et une planification d'audit annuel
10</t>
  </si>
  <si>
    <t>Seuil qualité ou délais stipulés sur les contrats d'achats
/10</t>
  </si>
  <si>
    <t>Indentification de tous les rangs 2
/10</t>
  </si>
  <si>
    <t>Audits systématiques suite à incidents des rangs 2
/20</t>
  </si>
  <si>
    <t>En place et complet (si quelques oublis --&gt; note entre 11 et 14)
 /15</t>
  </si>
  <si>
    <t>Interne et plusieurs prestataires réguliers route rail bateau
/30</t>
  </si>
  <si>
    <t>Les sanitaires et réfectoire sont propres
 /5</t>
  </si>
  <si>
    <t>Aucuns outils sont défectueux 
 /5</t>
  </si>
  <si>
    <t>Protocole chargement / dechargement en place
/5</t>
  </si>
  <si>
    <t>Détention de carte professionnelle des gardiens
/5</t>
  </si>
  <si>
    <t>Sauvegarde DD interne
Ins "t" / jour / hebdo / mensuelle
/20</t>
  </si>
  <si>
    <t>Maintenance corrective interne
/5</t>
  </si>
  <si>
    <t>Présence de technicien de ligne
/5</t>
  </si>
  <si>
    <t>Pièces les moins courantes disponibles sous 2 semaines
/5</t>
  </si>
  <si>
    <t>Process d'amélioration LEAN en place et mesure d'efficacité non totalement déployé sur tous les secteurs
/10</t>
  </si>
  <si>
    <t>Formation faite au cas par cas en fonction du besoin
/10</t>
  </si>
  <si>
    <t>Ils ont été porté à connaissance de l'evolution de chaque procédure leurs étant associés (signature)
/5</t>
  </si>
  <si>
    <t>Entre 10 et 14,99 %
/2</t>
  </si>
  <si>
    <t>entre 0,51 et 1
/5</t>
  </si>
  <si>
    <t>entre 10 et 14,99
/5</t>
  </si>
  <si>
    <t>entre 15,01 et 30
/5</t>
  </si>
  <si>
    <t>Oui uniquement si TG et TF1 impactés
/5</t>
  </si>
  <si>
    <t>Inondation risque élevé (cours d'eau, flanc de montagne ou dans une vallée étroite) Si absence de risque = 10
/10</t>
  </si>
  <si>
    <t>Sprinkler et bassin d'alimentation en eau en place - inspection régulière
/10</t>
  </si>
  <si>
    <t>Capacité des salariés à exprimer leurs souhaits / mecontentements
/10</t>
  </si>
  <si>
    <t xml:space="preserve">Aucuns mouvements sociaux depuis plus de 3 ans --&gt; Si ok = 15 pour toute la colonne
/15 </t>
  </si>
  <si>
    <t>L'activité est bi-sectorielle
/5</t>
  </si>
  <si>
    <t>Il n'y a que deux fournisseurs pour chaque typologie de pièce
/20</t>
  </si>
  <si>
    <t>Audits suite à dégradation de service sans pour autant qu'il soit hors tolérance en contrôle d'entrée
/10</t>
  </si>
  <si>
    <t>Fichier de suivi fournisseurs (performance, délai consignés)
/10</t>
  </si>
  <si>
    <t>Identification des rangs 2 uniquement sur les fournisseurs rang 1 critiques
/5</t>
  </si>
  <si>
    <t>Suivi administratif des certifications et habilitations fournisseur rang 2
/20</t>
  </si>
  <si>
    <t>En place et complet mais inconnu du personnel
/10</t>
  </si>
  <si>
    <t>Plusieurs prestataires route-rail-bateau
/20</t>
  </si>
  <si>
    <t>L'atelier est clairement sectorisé
 /5</t>
  </si>
  <si>
    <t>Suivi d'étalonnage rigoureux
 /5</t>
  </si>
  <si>
    <t>Plan de circulation externe affiché de manière clair et visible par les routiers et les visiteurs
/5</t>
  </si>
  <si>
    <t>Signature et suivi des rondes de garde à jour
/5</t>
  </si>
  <si>
    <t>Archive papier externe annuelle
/9</t>
  </si>
  <si>
    <t>Calendrier de maintenance préventive externe
/5</t>
  </si>
  <si>
    <t>Recyclage des techniciens de ligne
/5</t>
  </si>
  <si>
    <t>Pièces les moins courantes disponibles sous 1 semaine (1pt/j)
/5</t>
  </si>
  <si>
    <t>Process d'amélioration Lean en cours de mise en place
/5</t>
  </si>
  <si>
    <t>Ils ont le reflexe d'identifier le besoin et d'aller voir leur manager pour obtenir les procédures associées
/5</t>
  </si>
  <si>
    <t>Entre 5 et 9,99%
/10</t>
  </si>
  <si>
    <t>entre 1 et 1,99
/2</t>
  </si>
  <si>
    <t>entre 15 et 20
/2</t>
  </si>
  <si>
    <t>entre 30,01 et 45
/2</t>
  </si>
  <si>
    <t>Oui uniquement si TG impacté
/2</t>
  </si>
  <si>
    <t>Vent (fréquent et violent) 
Si absence de risque = 10
/10</t>
  </si>
  <si>
    <t>Système d'extinction automatique des incendies
/10</t>
  </si>
  <si>
    <t>Accessibilité du management
/10</t>
  </si>
  <si>
    <t>Plan social en cours --&gt; Si oui = 0 pour toute la colonne</t>
  </si>
  <si>
    <t>L'activité est mono sectorielle
/1</t>
  </si>
  <si>
    <t>Il n'y a souvent que 1 ou 2 fournisseurs potentiels pour chaque typologie de pièce
/15</t>
  </si>
  <si>
    <t>Audits systématiques suite à incidents
/10</t>
  </si>
  <si>
    <t>Mise sous surveillance en cas de niveau qualité inférieur au taux maximal autorisé sur contrat d'achat
/10</t>
  </si>
  <si>
    <t>Aucune identification des rangs 2 --&gt;  0 sur tous les critères sauf cette ligne au maxi en P et I</t>
  </si>
  <si>
    <t>Audits systématiques suite à incidents uniquement sur les fournisseurs rang 3 critiques
/10</t>
  </si>
  <si>
    <t>Non abouti ou partiel mais connu du personnel
/5</t>
  </si>
  <si>
    <t>Unique prestataire route
/15</t>
  </si>
  <si>
    <t>Les postes de travails sont propres et ordonnés
 /5</t>
  </si>
  <si>
    <t>Contrôle qualité en amont de la fabrication
/5</t>
  </si>
  <si>
    <t>Plan de circulation interne affiché de manière clair et visible par les routiers et les visiteurs
/5</t>
  </si>
  <si>
    <t>Bordereau de vérification périodique de l'état des clôtures
5</t>
  </si>
  <si>
    <t>Archive papier interne  jour / hebdo / mensuelle
/5</t>
  </si>
  <si>
    <t>Contrat de maintenance externe sur machines sensibles
/5</t>
  </si>
  <si>
    <t>Habilitation électrique mini H1B1 pour les techniciens de maintenance
/5</t>
  </si>
  <si>
    <t>Stock de pièce détachées capable de répondre à 95% des pannes
/10</t>
  </si>
  <si>
    <t>Process d'amélioration Lean non déployé
/5</t>
  </si>
  <si>
    <t>Tableau de polyvalence existe et est clairement affiché sur chaque poste de travail
/10</t>
  </si>
  <si>
    <t>Ils savent ou trouver le document unique en cas de besoin
/5</t>
  </si>
  <si>
    <t>Inférieur à 5%
/5</t>
  </si>
  <si>
    <t>Supérieur à 2
/0</t>
  </si>
  <si>
    <t>Supérieur à 20
/0</t>
  </si>
  <si>
    <t>Supérieur à 45,01</t>
  </si>
  <si>
    <t>Pas systématiquement, 1 ou des oublis sont détectés
/2</t>
  </si>
  <si>
    <t>Neige 
Si absence de risque = 10
/10</t>
  </si>
  <si>
    <t>Risque Seveso à proximité 
Si absence de risque = 10
/10</t>
  </si>
  <si>
    <t>Affichages réglementaire en place
/5</t>
  </si>
  <si>
    <t>Plan social avant les 3 dernières années --&gt; Si oui = 5 pour toute la colonne</t>
  </si>
  <si>
    <t>Les clients sont diversifiés, aucun ne représente plus de 20% du CA
/10</t>
  </si>
  <si>
    <t>Il n'y a qu'un fournisseur pour chaque typologie de pièce
/5</t>
  </si>
  <si>
    <t>Audit  uniquement à la première commande --&gt; Si ok = 0 pour les 4 premières ligne pour toute la colonne
/5</t>
  </si>
  <si>
    <t>Suivi administratif des certifications et habilitations fournisseur
/10</t>
  </si>
  <si>
    <t>Suivi capacitaire de tous les rangs 2
/10</t>
  </si>
  <si>
    <t>Suivi administratif des certifications et habilitations uniquement sur les fournisseurs rang 3 critiques
/10</t>
  </si>
  <si>
    <t>Non abouti ou partiel (Ex: uniquement en cas d'absence de management)
/2</t>
  </si>
  <si>
    <t>En interne tous transports confondus
/10</t>
  </si>
  <si>
    <t>Les performances du site sont clairement affichées
 /5</t>
  </si>
  <si>
    <t>Contrôle qualité en milieu de fabrication
/5</t>
  </si>
  <si>
    <t>Les objectifs qualité, sécurité et productivité sont clairement affichés sur chaque poste de travail et par unité
/5</t>
  </si>
  <si>
    <t>Présence de gardien de nuit
/5</t>
  </si>
  <si>
    <t>Archive papier interne annuelle
/2</t>
  </si>
  <si>
    <t>Contrat de maintenance externe sur toutes machines
/5</t>
  </si>
  <si>
    <t xml:space="preserve"> Minimum 1 technicien H2B2-HRBR par équipe
/5</t>
  </si>
  <si>
    <t>Les matières dangereuses sont clairement identifiées
/5</t>
  </si>
  <si>
    <t>Ils savent ou se trouve les affichages réglementaires de l'entreprise
/5</t>
  </si>
  <si>
    <t>Non
/0</t>
  </si>
  <si>
    <t>Tornade / cyclonique 
Si absence de risque = 10
/10</t>
  </si>
  <si>
    <t>Rachat de l'entreprise avant les 3 dernière années
--&gt; Si oui = 5 pour toute la colonne</t>
  </si>
  <si>
    <t>1 client représente plus de 20% du chiffre d'affaire
/5</t>
  </si>
  <si>
    <t>Suivi des rapports d'audits ET du plan d'amélioration fournisseur
/10</t>
  </si>
  <si>
    <t xml:space="preserve"> Respect des délais
/10</t>
  </si>
  <si>
    <t>Suivi capacitaire des rangs 2 uniquement sur les fournisseurs rang 1 critiques
/5</t>
  </si>
  <si>
    <t>Demande de rapports réguliers sur les performances qualités des fournisseurs de rang 3 aux fournisseurs de rang 2
/10</t>
  </si>
  <si>
    <t>Absence de PCA --&gt; 0 pour toute la colonne</t>
  </si>
  <si>
    <t>En interne + back-up en cas de besoin
/20</t>
  </si>
  <si>
    <t>Les performances sécurité du site sont clairement affichées
 /5</t>
  </si>
  <si>
    <t>Contrôle qualité en fin de fabrication
/10</t>
  </si>
  <si>
    <t>Les ÉPI obligatoire et recommandés sont portés systématiquement.
/5</t>
  </si>
  <si>
    <t>Local informatique propre et ventilé
/5</t>
  </si>
  <si>
    <t>Durée d'archivage (entre 6 et10 ans)
/10</t>
  </si>
  <si>
    <t>Technicien de maintenance 1er niveau dédié sur ligne
/5</t>
  </si>
  <si>
    <t>Un référent matière dangereuse est nommé et clairement connu
/5</t>
  </si>
  <si>
    <t>Risque de feu de forêt
Si absence de risque = 10
/10</t>
  </si>
  <si>
    <t>Rachat de l'entreprise avant les 3 dernières années + PSE
--&gt; Si oui = 2 pour toute la colonne</t>
  </si>
  <si>
    <t>1 client représente plus de 30% du chiffre d'affaire
/1</t>
  </si>
  <si>
    <t>Pas d'audits fournisseurs systématique = 0 pour toute la colonne</t>
  </si>
  <si>
    <t>Respect des seuils qualités
/10</t>
  </si>
  <si>
    <t>Pas de suivi rang 2 = 0 sur tous les critères sauf cette ligne au maxi en P et I</t>
  </si>
  <si>
    <t>Unique prestataire route-bateau- rail
/5</t>
  </si>
  <si>
    <t>Les bureaux sont bien rangés
 /5</t>
  </si>
  <si>
    <t>Tracabilité des contrôles qualité
/10</t>
  </si>
  <si>
    <t>Les critères des audits 5S sont continuellement revus afin de maintenir l’amélioration de la sécurité.
/5</t>
  </si>
  <si>
    <t>Système de surveillance extérieur par caméra
/10</t>
  </si>
  <si>
    <t>Pas d'audit fournisseurs =0 pour toute la colonne</t>
  </si>
  <si>
    <t>Adaptabilité des délais
/10</t>
  </si>
  <si>
    <t>Pas d'audits fournisseurs rang 2 systématiques = 2 sur toute la colonne</t>
  </si>
  <si>
    <t>Les extérieurs sont entretenus
 /5</t>
  </si>
  <si>
    <t>Formation continue des qualiticiens
/10</t>
  </si>
  <si>
    <t>Le système de management HSE est utilisé comme un moyen d’amélioration continue. Le système est actuel et opérationnel et fait l’objet de discussions régulières lors des revues de direction mensuelles
/5</t>
  </si>
  <si>
    <t>Système de surveillance extérieur par caméra ET contrôle externalisé
/5</t>
  </si>
  <si>
    <t>Audits systématiques suite à incidents uniquement sur les fournisseurs rang 2 critiques
/10</t>
  </si>
  <si>
    <t>Respect des délais
/10</t>
  </si>
  <si>
    <t>Obtention EN9100
/5</t>
  </si>
  <si>
    <t>NA</t>
  </si>
  <si>
    <t>Il y a un recours supplémentaire de l’équipe ingéniérie et technique qui consacre 1/4 d’équivalent temps plein pour une entité avec 250 P, aux questions de sécurité.
Exemples : Ergonomie, sécurité des machines, sécurité Kaizen…
Le responsable Sécurité et Environnement relève directement du responsable du site.
/5</t>
  </si>
  <si>
    <t>Suivi administratif des certifications et habilitations uniquement sur les fournisseurs rang 2 critiques
/10</t>
  </si>
  <si>
    <t>Obtention ISO 9000
/5</t>
  </si>
  <si>
    <t>Une fiche de données de sécurité (FDS) doit être facilement accessible à tous les employés pour tout produit chimique utilisé.
Tous les produits chimiques sont dans des contenants correctement étiquetés.  Les étiquettes appropriées doivent inclure le nom chimique (traçable à une FDS) et les avertissements de danger de base.
/5</t>
  </si>
  <si>
    <t>Les managers sont entièrement responsables de leurs indicateurs en matière de sécurité. Ils les gèrent activement et dirigent les mesures d’amélioration pertinentes.
Ils sont formés et capables de détecter la plupart des situations dangereuses et à risque. Au-delà de la simple réaction immédiate, ils sont en mesure de promouvoir des changements de comportement durables pour leurs collaborateurs.
Chaque jour, ils consacrent beaucoup de temps aux questions de sécurité, comme les visites de sécurité, les réunions de sécurité, etc.
/10</t>
  </si>
  <si>
    <t>Score sur 40 / Criticité
% maturité / résilience (en Jours)</t>
  </si>
  <si>
    <t>R(e)</t>
  </si>
  <si>
    <t>R(c)</t>
  </si>
  <si>
    <t>Score sur 55/ Criticité
% maturité / résilience (en Jours)</t>
  </si>
  <si>
    <t>Score sur 60 / Criticité
% maturité / résilience (en Jours)</t>
  </si>
  <si>
    <t>Score sur 45 / Criticité
% maturité / résilience (en Jours)</t>
  </si>
  <si>
    <t>Score sur 86 / Criticité
% maturité / résilience (en Jours)</t>
  </si>
  <si>
    <t>Score sur 30 / Criticité
% maturité / résilience (en Jours)</t>
  </si>
  <si>
    <t>Score sur 25 / Criticité
% maturité / résilience (en Jours)</t>
  </si>
  <si>
    <t>Score sur 25  / Criticité
% maturité / résilience (en Jours)</t>
  </si>
  <si>
    <t>Score sur 10 / Criticité
% maturité / résilience (en Jours)</t>
  </si>
  <si>
    <t>Score sur 60  / Criticité
% maturité / résilience (en Jours)</t>
  </si>
  <si>
    <t>Score sur  40 / Criticité
% maturité / résilience (en Jours)</t>
  </si>
  <si>
    <t>Score sur 20  / Criticité
% maturité / résilience (en Jours)</t>
  </si>
  <si>
    <t>Score sur 20 / Criticité
% maturité / résilience (en Jours)</t>
  </si>
  <si>
    <t>Score sur 75 / Criticité
% maturité / résilience (en Jours)</t>
  </si>
  <si>
    <t>Score sur 100 / Criticité
% maturité / résilience (en Jours)</t>
  </si>
  <si>
    <t>Score sur 15 / Criticité
% maturité / résilience (en Jours)</t>
  </si>
  <si>
    <t>Score sur 50 / Criticité
% maturité / résilience (en Jours)</t>
  </si>
  <si>
    <t>C</t>
  </si>
  <si>
    <t>% maturité</t>
  </si>
  <si>
    <t>Criticité</t>
  </si>
  <si>
    <t>R (client) en jours</t>
  </si>
  <si>
    <t>Nb de semaines ouvrées</t>
  </si>
  <si>
    <t>Nb de jours ouvrés dans la semaine</t>
  </si>
  <si>
    <t>Outillage / Qualité</t>
  </si>
  <si>
    <t>Formation maintenance</t>
  </si>
  <si>
    <t>Turn-over</t>
  </si>
  <si>
    <t>Accidentologie TG</t>
  </si>
  <si>
    <t>Accidentologie TF1</t>
  </si>
  <si>
    <t>Accidentologie TF2</t>
  </si>
  <si>
    <t>Dossier de recherche de cause accident</t>
  </si>
  <si>
    <t>Aléas climatiques</t>
  </si>
  <si>
    <t>Aléas industriels</t>
  </si>
  <si>
    <t>Diversification du Chiffre d'Affaire</t>
  </si>
  <si>
    <t>Audits des fournisseurs de rang 2</t>
  </si>
  <si>
    <t>Transporteurs</t>
  </si>
  <si>
    <t>Total de la société auditée</t>
  </si>
  <si>
    <t>R (client) en semaine</t>
  </si>
  <si>
    <t>R = IxTPS</t>
  </si>
  <si>
    <t>Calcul de criticité</t>
  </si>
  <si>
    <t>Impact client en cas de problème avéré</t>
  </si>
  <si>
    <t>Improbable (1 )</t>
  </si>
  <si>
    <t>Mineur (2)</t>
  </si>
  <si>
    <t>Modéré (3)</t>
  </si>
  <si>
    <t>Majeur (4)</t>
  </si>
  <si>
    <t>Catastrophique (5)</t>
  </si>
  <si>
    <t>Probabilité que le problème arrive</t>
  </si>
  <si>
    <t>Très Elevé (5)</t>
  </si>
  <si>
    <t>5 - Moyen</t>
  </si>
  <si>
    <t>10 - Elevé</t>
  </si>
  <si>
    <t>15 - Très élevé</t>
  </si>
  <si>
    <t>20 - Très élevé</t>
  </si>
  <si>
    <t>25 - Très élevé</t>
  </si>
  <si>
    <t>Elevé (4)</t>
  </si>
  <si>
    <t>4 - Moyen</t>
  </si>
  <si>
    <t>8 - Moyen</t>
  </si>
  <si>
    <t>12 - Elevé</t>
  </si>
  <si>
    <t>16 - Très élevé</t>
  </si>
  <si>
    <t>Moyen (3)</t>
  </si>
  <si>
    <t>3 - Faible</t>
  </si>
  <si>
    <t>6 - Moyen</t>
  </si>
  <si>
    <t>9 - Elevé</t>
  </si>
  <si>
    <t>Faible (2)</t>
  </si>
  <si>
    <t>2 - Très faible</t>
  </si>
  <si>
    <t>4 - Faible</t>
  </si>
  <si>
    <t>Très faible (1)</t>
  </si>
  <si>
    <t>1 - Très faible</t>
  </si>
  <si>
    <t>Faible / Très faible</t>
  </si>
  <si>
    <t>Pas d'action</t>
  </si>
  <si>
    <t xml:space="preserve">Moyen </t>
  </si>
  <si>
    <t>Action moyen terme</t>
  </si>
  <si>
    <t>Elevé</t>
  </si>
  <si>
    <t>Action à réaliser à court terme</t>
  </si>
  <si>
    <t>Très élevé</t>
  </si>
  <si>
    <t>Action immédiate</t>
  </si>
  <si>
    <t>Calcul de résilience</t>
  </si>
  <si>
    <t>R = Impact (sur mon entreprise) en cas de problème avéré * TPS nécessaire (du fournisseur) pour une remise en conformité</t>
  </si>
  <si>
    <t>Courte (&lt;15) --&gt; 1</t>
  </si>
  <si>
    <t>Moyen terme (15 - 60) --&gt; 2</t>
  </si>
  <si>
    <t>Modéré (60 --&gt; 150) --&gt; 3</t>
  </si>
  <si>
    <t>Long terme (151 --&gt; 300) --&gt; 4</t>
  </si>
  <si>
    <t>Très long terme  (&gt; 300) --&gt; 5</t>
  </si>
  <si>
    <t>CRITICITE</t>
  </si>
  <si>
    <t>Très probable (&gt;12) --&gt; 5</t>
  </si>
  <si>
    <t>Mesure conservatoire</t>
  </si>
  <si>
    <t>Probable (9-12) --&gt; 4</t>
  </si>
  <si>
    <t>Possible (5-8) --&gt; 3</t>
  </si>
  <si>
    <t>Peu probable (3 - 4) --&gt; 2</t>
  </si>
  <si>
    <t>Improbable (1 -2) --&gt; 1</t>
  </si>
  <si>
    <t>Improbable</t>
  </si>
  <si>
    <t>Peu probable</t>
  </si>
  <si>
    <t>Possible</t>
  </si>
  <si>
    <t>Probable</t>
  </si>
  <si>
    <t xml:space="preserve">Très probable </t>
  </si>
  <si>
    <t>MATURITE</t>
  </si>
  <si>
    <t xml:space="preserve"> (0&lt;x&lt;20) --&gt; 5</t>
  </si>
  <si>
    <t>Très faible</t>
  </si>
  <si>
    <t>Des investissement lourds doivent être mis en place et une prise de conscience des enjeux est à mener. Fournisseur sous surveillance d'entrée renforcée (voir 100%). Des audits de mesure d'améliorations doivent être mis en place. Eventuellement apporter une aide particulière si fournisseur stratégique. Demander des rapports d'avancement d'actions tous les mois.</t>
  </si>
  <si>
    <t xml:space="preserve"> (21&lt;x&lt;40) --&gt; 4</t>
  </si>
  <si>
    <t>Faible</t>
  </si>
  <si>
    <t>Des investissements humains ou matériels doivent être mis en place. Fournisseur sous surveillance renforcée d'entrée (voir 100%), prochain audit d'avancement d'actions à prévoir avant 6 mois</t>
  </si>
  <si>
    <t xml:space="preserve"> (41&lt;x&lt;60) --&gt; 3</t>
  </si>
  <si>
    <t>Moyen</t>
  </si>
  <si>
    <t xml:space="preserve">En bonne voie mais des actions assez lourdes doivent encore être mises en place ou faire leurs preuves d'efficacités. Audit de suivi à prévoir dans 6 mois. Fournisseur sous surveillance 60% en fonction du/des point(s) de vigilance(s) détecté(s). </t>
  </si>
  <si>
    <t xml:space="preserve"> (61&lt;x&lt;80) --&gt; 2</t>
  </si>
  <si>
    <t>Correcte</t>
  </si>
  <si>
    <t>Encore quelques améliorations à apporter. Demander les rapports d'améliorations dans 6 mois. Prochain audit dans 1 an. Fournisseur sous surveillance statistique</t>
  </si>
  <si>
    <t xml:space="preserve"> (81&lt;x&lt;100) --&gt; 1</t>
  </si>
  <si>
    <t>Robuste</t>
  </si>
  <si>
    <t>Pas d'actions prioritaires à prendre. Fournisseur sous surveillance allégée. Prochain audit dans 2 an</t>
  </si>
  <si>
    <t>RAJA</t>
  </si>
  <si>
    <t>Packaging</t>
  </si>
  <si>
    <t>Plan de formation existant 
/10</t>
  </si>
  <si>
    <t>Société auditrice</t>
  </si>
  <si>
    <t>Auditeur / Auditrice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</si>
</sst>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ptos Narrow"/>
      <family val="2"/>
      <charset val="1"/>
    </font>
    <font>
      <b/>
      <sz val="18"/>
      <color rgb="FFFFFFFF"/>
      <name val="Aptos Narrow"/>
      <family val="2"/>
      <charset val="1"/>
    </font>
    <font>
      <b/>
      <sz val="11"/>
      <name val="Aptos Narrow"/>
      <family val="2"/>
      <charset val="1"/>
    </font>
    <font>
      <b/>
      <sz val="11"/>
      <color rgb="FFFFFFFF"/>
      <name val="Aptos Narrow"/>
      <family val="2"/>
      <charset val="1"/>
    </font>
    <font>
      <b/>
      <sz val="16"/>
      <color rgb="FFFFFFFF"/>
      <name val="Aptos Narrow"/>
      <family val="2"/>
      <charset val="1"/>
    </font>
    <font>
      <b/>
      <sz val="14"/>
      <color theme="1"/>
      <name val="Aptos Narrow"/>
      <family val="2"/>
      <charset val="1"/>
    </font>
    <font>
      <u/>
      <sz val="14"/>
      <color theme="1"/>
      <name val="Aptos Narrow"/>
      <family val="2"/>
      <charset val="1"/>
    </font>
    <font>
      <sz val="14"/>
      <color theme="1"/>
      <name val="Aptos Narrow"/>
      <family val="2"/>
      <charset val="1"/>
    </font>
    <font>
      <b/>
      <u/>
      <sz val="11"/>
      <color rgb="FF0563C1"/>
      <name val="Aptos Narrow"/>
      <family val="2"/>
      <charset val="1"/>
    </font>
    <font>
      <sz val="11"/>
      <name val="Aptos Narrow"/>
      <family val="2"/>
      <charset val="1"/>
    </font>
    <font>
      <sz val="18"/>
      <color theme="1"/>
      <name val="Aptos Narrow"/>
      <family val="2"/>
      <charset val="1"/>
    </font>
    <font>
      <sz val="11"/>
      <color rgb="FFFF5050"/>
      <name val="Aptos Narrow"/>
      <family val="2"/>
      <charset val="1"/>
    </font>
    <font>
      <b/>
      <sz val="18"/>
      <color theme="1"/>
      <name val="Aptos Narrow"/>
      <family val="2"/>
      <charset val="1"/>
    </font>
    <font>
      <sz val="12"/>
      <color theme="1"/>
      <name val="Arial"/>
      <family val="2"/>
      <charset val="1"/>
    </font>
    <font>
      <b/>
      <sz val="11"/>
      <color theme="1"/>
      <name val="Aptos Narrow"/>
      <family val="2"/>
    </font>
  </fonts>
  <fills count="21">
    <fill>
      <patternFill patternType="none"/>
    </fill>
    <fill>
      <patternFill patternType="gray125"/>
    </fill>
    <fill>
      <patternFill patternType="solid">
        <fgColor rgb="FF1F4E78"/>
        <bgColor rgb="FF156082"/>
      </patternFill>
    </fill>
    <fill>
      <patternFill patternType="solid">
        <fgColor rgb="FFD9EAF7"/>
        <bgColor rgb="FFE8E8E8"/>
      </patternFill>
    </fill>
    <fill>
      <patternFill patternType="solid">
        <fgColor theme="2" tint="-9.9978637043366805E-2"/>
        <bgColor rgb="FFD9D9D9"/>
      </patternFill>
    </fill>
    <fill>
      <patternFill patternType="solid">
        <fgColor rgb="FFFFFF00"/>
        <bgColor rgb="FFFFFF00"/>
      </patternFill>
    </fill>
    <fill>
      <patternFill patternType="solid">
        <fgColor theme="2"/>
        <bgColor rgb="FFD9EAF7"/>
      </patternFill>
    </fill>
    <fill>
      <patternFill patternType="solid">
        <fgColor theme="6" tint="0.79989013336588644"/>
        <bgColor rgb="FFD9EAD3"/>
      </patternFill>
    </fill>
    <fill>
      <patternFill patternType="solid">
        <fgColor rgb="FF92D050"/>
        <bgColor rgb="FF93C47D"/>
      </patternFill>
    </fill>
    <fill>
      <patternFill patternType="solid">
        <fgColor rgb="FFFF5050"/>
        <bgColor rgb="FFE06666"/>
      </patternFill>
    </fill>
    <fill>
      <patternFill patternType="solid">
        <fgColor rgb="FFFF0000"/>
        <bgColor rgb="FFFF5050"/>
      </patternFill>
    </fill>
    <fill>
      <patternFill patternType="solid">
        <fgColor rgb="FFFFC000"/>
        <bgColor rgb="FFFF9900"/>
      </patternFill>
    </fill>
    <fill>
      <patternFill patternType="solid">
        <fgColor rgb="FF00B050"/>
        <bgColor rgb="FF4EA72E"/>
      </patternFill>
    </fill>
    <fill>
      <patternFill patternType="solid">
        <fgColor theme="8" tint="0.39988402966399123"/>
        <bgColor rgb="FFE06666"/>
      </patternFill>
    </fill>
    <fill>
      <patternFill patternType="solid">
        <fgColor rgb="FFFFFF00"/>
        <bgColor indexed="64"/>
      </patternFill>
    </fill>
    <fill>
      <patternFill patternType="solid">
        <fgColor rgb="FFFFFF00"/>
        <bgColor rgb="FFD9D9D9"/>
      </patternFill>
    </fill>
    <fill>
      <patternFill patternType="solid">
        <fgColor rgb="FF00B050"/>
        <bgColor rgb="FFE06666"/>
      </patternFill>
    </fill>
    <fill>
      <patternFill patternType="solid">
        <fgColor rgb="FFFFC000"/>
        <bgColor rgb="FF4EA72E"/>
      </patternFill>
    </fill>
    <fill>
      <patternFill patternType="solid">
        <fgColor rgb="FFFFC000"/>
        <bgColor rgb="FFFFFF00"/>
      </patternFill>
    </fill>
    <fill>
      <patternFill patternType="solid">
        <fgColor rgb="FFFF0000"/>
        <bgColor rgb="FFFFFF00"/>
      </patternFill>
    </fill>
    <fill>
      <patternFill patternType="solid">
        <fgColor rgb="FFFF0000"/>
        <bgColor rgb="FF93C47D"/>
      </patternFill>
    </fill>
  </fills>
  <borders count="37">
    <border>
      <left/>
      <right/>
      <top/>
      <bottom/>
      <diagonal/>
    </border>
    <border>
      <left/>
      <right/>
      <top/>
      <bottom style="thin">
        <color rgb="FFB7B7B7"/>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ck">
        <color auto="1"/>
      </left>
      <right style="thin">
        <color auto="1"/>
      </right>
      <top style="thick">
        <color auto="1"/>
      </top>
      <bottom style="thick">
        <color auto="1"/>
      </bottom>
      <diagonal/>
    </border>
    <border>
      <left/>
      <right style="thick">
        <color auto="1"/>
      </right>
      <top style="thick">
        <color auto="1"/>
      </top>
      <bottom style="thick">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style="double">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top style="thin">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thin">
        <color auto="1"/>
      </bottom>
      <diagonal/>
    </border>
    <border diagonalUp="1">
      <left style="thin">
        <color auto="1"/>
      </left>
      <right/>
      <top style="thin">
        <color auto="1"/>
      </top>
      <bottom/>
      <diagonal style="thin">
        <color auto="1"/>
      </diagonal>
    </border>
  </borders>
  <cellStyleXfs count="1">
    <xf numFmtId="0" fontId="0" fillId="0" borderId="0"/>
  </cellStyleXfs>
  <cellXfs count="178">
    <xf numFmtId="0" fontId="0" fillId="0" borderId="0" xfId="0"/>
    <xf numFmtId="0" fontId="3" fillId="2" borderId="0" xfId="0" applyFont="1" applyFill="1" applyAlignment="1">
      <alignment horizontal="center" wrapText="1"/>
    </xf>
    <xf numFmtId="0" fontId="0" fillId="0" borderId="1" xfId="0" applyBorder="1" applyAlignment="1">
      <alignment horizontal="center" wrapText="1"/>
    </xf>
    <xf numFmtId="9" fontId="0" fillId="0" borderId="1" xfId="0" applyNumberFormat="1" applyBorder="1" applyAlignment="1">
      <alignment horizontal="center" wrapText="1"/>
    </xf>
    <xf numFmtId="2" fontId="0" fillId="0" borderId="1" xfId="0" applyNumberFormat="1" applyBorder="1" applyAlignment="1">
      <alignment horizontal="center" wrapText="1"/>
    </xf>
    <xf numFmtId="1" fontId="0" fillId="0" borderId="1" xfId="0" applyNumberFormat="1" applyBorder="1" applyAlignment="1">
      <alignment horizontal="center" wrapText="1"/>
    </xf>
    <xf numFmtId="0" fontId="2" fillId="3" borderId="0" xfId="0" applyFont="1" applyFill="1" applyAlignment="1">
      <alignment horizontal="center"/>
    </xf>
    <xf numFmtId="10" fontId="2" fillId="3" borderId="0" xfId="0" applyNumberFormat="1" applyFont="1" applyFill="1" applyAlignment="1">
      <alignment horizontal="center"/>
    </xf>
    <xf numFmtId="2" fontId="2" fillId="3" borderId="0" xfId="0" applyNumberFormat="1" applyFont="1" applyFill="1" applyAlignment="1">
      <alignment horizontal="center"/>
    </xf>
    <xf numFmtId="1" fontId="2" fillId="3" borderId="0" xfId="0" applyNumberFormat="1" applyFont="1" applyFill="1" applyAlignment="1">
      <alignment horizontal="center"/>
    </xf>
    <xf numFmtId="0" fontId="0" fillId="0" borderId="2" xfId="0" applyBorder="1"/>
    <xf numFmtId="0" fontId="0" fillId="0" borderId="3" xfId="0" applyBorder="1"/>
    <xf numFmtId="0" fontId="0" fillId="0" borderId="4" xfId="0" applyBorder="1"/>
    <xf numFmtId="0" fontId="0" fillId="0" borderId="5" xfId="0" applyBorder="1"/>
    <xf numFmtId="164" fontId="0" fillId="0" borderId="6" xfId="0" applyNumberFormat="1" applyBorder="1"/>
    <xf numFmtId="3" fontId="0" fillId="0" borderId="6" xfId="0" applyNumberFormat="1" applyBorder="1"/>
    <xf numFmtId="1" fontId="0" fillId="0" borderId="7" xfId="0" applyNumberFormat="1" applyBorder="1"/>
    <xf numFmtId="2" fontId="0" fillId="0" borderId="6" xfId="0" applyNumberFormat="1" applyBorder="1"/>
    <xf numFmtId="1" fontId="0" fillId="0" borderId="6" xfId="0" applyNumberFormat="1" applyBorder="1"/>
    <xf numFmtId="0" fontId="0" fillId="0" borderId="8" xfId="0" applyBorder="1"/>
    <xf numFmtId="164" fontId="0" fillId="0" borderId="9" xfId="0" applyNumberFormat="1" applyBorder="1"/>
    <xf numFmtId="2" fontId="0" fillId="0" borderId="9" xfId="0" applyNumberFormat="1" applyBorder="1"/>
    <xf numFmtId="1" fontId="0" fillId="0" borderId="10" xfId="0" applyNumberFormat="1" applyBorder="1"/>
    <xf numFmtId="0" fontId="0" fillId="0" borderId="11" xfId="0" applyBorder="1"/>
    <xf numFmtId="164" fontId="0" fillId="0" borderId="12" xfId="0" applyNumberFormat="1" applyBorder="1"/>
    <xf numFmtId="3" fontId="0" fillId="0" borderId="12" xfId="0" applyNumberFormat="1" applyBorder="1"/>
    <xf numFmtId="1" fontId="0" fillId="0" borderId="13" xfId="0" applyNumberFormat="1" applyBorder="1"/>
    <xf numFmtId="164" fontId="0" fillId="0" borderId="3" xfId="0" applyNumberFormat="1" applyBorder="1"/>
    <xf numFmtId="2" fontId="0" fillId="0" borderId="3" xfId="0" applyNumberFormat="1" applyBorder="1"/>
    <xf numFmtId="2" fontId="0" fillId="0" borderId="4" xfId="0" applyNumberFormat="1" applyBorder="1"/>
    <xf numFmtId="0" fontId="0" fillId="0" borderId="9" xfId="0" applyBorder="1"/>
    <xf numFmtId="0" fontId="0" fillId="0" borderId="10" xfId="0" applyBorder="1"/>
    <xf numFmtId="0" fontId="0" fillId="0" borderId="0" xfId="0" applyAlignment="1">
      <alignment vertical="top" wrapText="1"/>
    </xf>
    <xf numFmtId="0" fontId="0" fillId="0" borderId="0" xfId="0" applyAlignment="1">
      <alignment horizontal="center" vertical="center" wrapText="1"/>
    </xf>
    <xf numFmtId="0" fontId="5" fillId="0" borderId="14" xfId="0" applyFont="1" applyBorder="1" applyAlignment="1">
      <alignment horizontal="center" vertical="center" wrapText="1"/>
    </xf>
    <xf numFmtId="0" fontId="6" fillId="0" borderId="0" xfId="0" applyFont="1" applyAlignment="1">
      <alignment horizontal="right" vertical="center" wrapText="1"/>
    </xf>
    <xf numFmtId="0" fontId="7" fillId="0" borderId="0" xfId="0" applyFont="1" applyAlignment="1">
      <alignment horizontal="center" vertical="center" wrapText="1"/>
    </xf>
    <xf numFmtId="2" fontId="7" fillId="0" borderId="0" xfId="0" applyNumberFormat="1" applyFont="1" applyAlignment="1">
      <alignment horizontal="left" vertical="center" wrapText="1"/>
    </xf>
    <xf numFmtId="0" fontId="8" fillId="0" borderId="0" xfId="0" applyFont="1"/>
    <xf numFmtId="0" fontId="0" fillId="0" borderId="16" xfId="0" applyBorder="1" applyAlignment="1">
      <alignment horizontal="center" vertical="center" wrapText="1"/>
    </xf>
    <xf numFmtId="0" fontId="0" fillId="4" borderId="16" xfId="0" applyFill="1" applyBorder="1" applyAlignment="1">
      <alignment horizontal="center" vertical="center" wrapText="1"/>
    </xf>
    <xf numFmtId="0" fontId="0" fillId="0" borderId="17" xfId="0" applyBorder="1" applyAlignment="1">
      <alignment horizontal="center" vertical="center" wrapText="1"/>
    </xf>
    <xf numFmtId="0" fontId="0" fillId="0" borderId="19" xfId="0" applyBorder="1" applyAlignment="1">
      <alignment horizontal="center" vertical="center" wrapText="1"/>
    </xf>
    <xf numFmtId="0" fontId="0" fillId="4" borderId="19" xfId="0" applyFill="1"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5" xfId="0" applyBorder="1" applyAlignment="1">
      <alignment horizontal="center" vertical="center" wrapText="1"/>
    </xf>
    <xf numFmtId="1" fontId="0" fillId="4" borderId="6" xfId="0" applyNumberFormat="1" applyFill="1" applyBorder="1" applyAlignment="1">
      <alignment horizontal="center" vertical="center" wrapText="1"/>
    </xf>
    <xf numFmtId="0" fontId="0" fillId="0" borderId="6" xfId="0" applyBorder="1" applyAlignment="1">
      <alignment horizontal="center" vertical="center" wrapText="1"/>
    </xf>
    <xf numFmtId="0" fontId="0" fillId="4" borderId="6" xfId="0" applyFill="1" applyBorder="1" applyAlignment="1">
      <alignment horizontal="center" vertical="center" wrapText="1"/>
    </xf>
    <xf numFmtId="0" fontId="0" fillId="0" borderId="24" xfId="0" applyBorder="1" applyAlignment="1">
      <alignment horizontal="center" vertical="center" wrapText="1"/>
    </xf>
    <xf numFmtId="0" fontId="0" fillId="0" borderId="7" xfId="0" applyBorder="1" applyAlignment="1">
      <alignment horizontal="center" vertical="center" wrapText="1"/>
    </xf>
    <xf numFmtId="0" fontId="0" fillId="6" borderId="5" xfId="0" applyFill="1" applyBorder="1" applyAlignment="1">
      <alignment horizontal="center" vertical="center" wrapText="1"/>
    </xf>
    <xf numFmtId="0" fontId="0" fillId="6" borderId="6" xfId="0" applyFill="1" applyBorder="1" applyAlignment="1">
      <alignment horizontal="center" vertical="center" wrapText="1"/>
    </xf>
    <xf numFmtId="0" fontId="0" fillId="6" borderId="7" xfId="0" applyFill="1" applyBorder="1" applyAlignment="1">
      <alignment horizontal="center" vertical="center" wrapText="1"/>
    </xf>
    <xf numFmtId="0" fontId="0" fillId="6" borderId="24" xfId="0" applyFill="1" applyBorder="1" applyAlignment="1">
      <alignment horizontal="center" vertical="center" wrapText="1"/>
    </xf>
    <xf numFmtId="0" fontId="0" fillId="6" borderId="25" xfId="0" applyFill="1" applyBorder="1" applyAlignment="1">
      <alignment horizontal="center" vertical="center" wrapText="1"/>
    </xf>
    <xf numFmtId="0" fontId="0" fillId="6" borderId="26" xfId="0" applyFill="1" applyBorder="1" applyAlignment="1">
      <alignment horizontal="center" vertical="center" wrapText="1"/>
    </xf>
    <xf numFmtId="0" fontId="9" fillId="6" borderId="8" xfId="0" applyFont="1" applyFill="1" applyBorder="1" applyAlignment="1">
      <alignment horizontal="center" vertical="center" wrapText="1"/>
    </xf>
    <xf numFmtId="0" fontId="0" fillId="6" borderId="9" xfId="0" applyFill="1" applyBorder="1" applyAlignment="1">
      <alignment horizontal="center" vertical="center" wrapText="1"/>
    </xf>
    <xf numFmtId="0" fontId="0" fillId="6" borderId="12" xfId="0" applyFill="1" applyBorder="1" applyAlignment="1">
      <alignment horizontal="center" vertical="center" wrapText="1"/>
    </xf>
    <xf numFmtId="0" fontId="0" fillId="6" borderId="13" xfId="0" applyFill="1" applyBorder="1" applyAlignment="1">
      <alignment horizontal="center" vertical="center" wrapText="1"/>
    </xf>
    <xf numFmtId="0" fontId="0" fillId="6" borderId="8" xfId="0" applyFill="1" applyBorder="1" applyAlignment="1">
      <alignment horizontal="center" vertical="center" wrapText="1"/>
    </xf>
    <xf numFmtId="0" fontId="0" fillId="6" borderId="27"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28" xfId="0" applyFill="1" applyBorder="1" applyAlignment="1">
      <alignment horizontal="center" vertical="center" wrapText="1"/>
    </xf>
    <xf numFmtId="0" fontId="0" fillId="6" borderId="29" xfId="0" applyFill="1" applyBorder="1" applyAlignment="1">
      <alignment horizontal="center" vertical="center" wrapText="1"/>
    </xf>
    <xf numFmtId="0" fontId="0" fillId="6" borderId="10" xfId="0" applyFill="1" applyBorder="1" applyAlignment="1">
      <alignment horizontal="center" vertical="center" wrapText="1"/>
    </xf>
    <xf numFmtId="1" fontId="0" fillId="0" borderId="3" xfId="0" applyNumberFormat="1" applyBorder="1" applyAlignment="1">
      <alignment horizontal="center" vertical="center" wrapText="1"/>
    </xf>
    <xf numFmtId="0" fontId="0" fillId="0" borderId="3" xfId="0" applyBorder="1" applyAlignment="1">
      <alignment horizontal="center" vertical="center" wrapText="1"/>
    </xf>
    <xf numFmtId="3" fontId="0" fillId="7" borderId="3" xfId="0" applyNumberFormat="1" applyFill="1" applyBorder="1" applyAlignment="1">
      <alignment horizontal="center" vertical="center" wrapText="1"/>
    </xf>
    <xf numFmtId="0" fontId="0" fillId="0" borderId="4" xfId="0" applyBorder="1" applyAlignment="1">
      <alignment horizontal="center" vertical="center" wrapText="1"/>
    </xf>
    <xf numFmtId="3" fontId="0" fillId="8" borderId="3" xfId="0" applyNumberFormat="1" applyFill="1" applyBorder="1" applyAlignment="1">
      <alignment horizontal="center" vertical="center" wrapText="1"/>
    </xf>
    <xf numFmtId="1" fontId="0" fillId="0" borderId="19" xfId="0" applyNumberFormat="1" applyBorder="1" applyAlignment="1">
      <alignment horizontal="center" vertical="center" wrapText="1"/>
    </xf>
    <xf numFmtId="0" fontId="0" fillId="0" borderId="31" xfId="0" applyBorder="1" applyAlignment="1">
      <alignment horizontal="center" vertical="center" wrapText="1"/>
    </xf>
    <xf numFmtId="3" fontId="0" fillId="9" borderId="3" xfId="0" applyNumberFormat="1" applyFill="1" applyBorder="1" applyAlignment="1">
      <alignment horizontal="center" vertical="center" wrapText="1"/>
    </xf>
    <xf numFmtId="1" fontId="0" fillId="0" borderId="6" xfId="0" applyNumberFormat="1" applyBorder="1" applyAlignment="1">
      <alignment horizontal="center" vertical="center" wrapText="1"/>
    </xf>
    <xf numFmtId="3" fontId="0" fillId="5" borderId="6" xfId="0" applyNumberFormat="1" applyFill="1" applyBorder="1" applyAlignment="1">
      <alignment horizontal="center" vertical="center" wrapText="1"/>
    </xf>
    <xf numFmtId="3" fontId="0" fillId="10" borderId="3" xfId="0" applyNumberFormat="1" applyFill="1" applyBorder="1" applyAlignment="1">
      <alignment horizontal="center" vertical="center" wrapText="1"/>
    </xf>
    <xf numFmtId="3" fontId="0" fillId="11" borderId="3" xfId="0" applyNumberFormat="1" applyFill="1" applyBorder="1" applyAlignment="1">
      <alignment horizontal="center" vertical="center" wrapText="1"/>
    </xf>
    <xf numFmtId="9" fontId="0" fillId="8" borderId="9" xfId="0" applyNumberFormat="1"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9" fontId="0" fillId="5" borderId="9" xfId="0" applyNumberFormat="1" applyFill="1" applyBorder="1" applyAlignment="1">
      <alignment horizontal="center" vertical="center" wrapText="1"/>
    </xf>
    <xf numFmtId="9" fontId="0" fillId="7" borderId="9" xfId="0" applyNumberFormat="1" applyFill="1" applyBorder="1" applyAlignment="1">
      <alignment horizontal="center" vertical="center" wrapText="1"/>
    </xf>
    <xf numFmtId="9" fontId="0" fillId="12" borderId="9" xfId="0" applyNumberFormat="1" applyFill="1" applyBorder="1" applyAlignment="1">
      <alignment horizontal="center" vertical="center" wrapText="1"/>
    </xf>
    <xf numFmtId="0" fontId="0" fillId="0" borderId="28" xfId="0" applyBorder="1" applyAlignment="1">
      <alignment horizontal="center" vertical="center" wrapText="1"/>
    </xf>
    <xf numFmtId="9" fontId="0" fillId="9" borderId="9" xfId="0" applyNumberFormat="1" applyFill="1" applyBorder="1" applyAlignment="1">
      <alignment horizontal="center" vertical="center" wrapText="1"/>
    </xf>
    <xf numFmtId="9" fontId="0" fillId="10" borderId="9" xfId="0" applyNumberFormat="1" applyFill="1" applyBorder="1" applyAlignment="1">
      <alignment horizontal="center" vertical="center" wrapText="1"/>
    </xf>
    <xf numFmtId="9" fontId="0" fillId="11" borderId="9" xfId="0" applyNumberFormat="1" applyFill="1" applyBorder="1" applyAlignment="1">
      <alignment horizontal="center" vertical="center" wrapText="1"/>
    </xf>
    <xf numFmtId="9" fontId="0" fillId="12" borderId="6" xfId="0" applyNumberFormat="1" applyFill="1" applyBorder="1" applyAlignment="1">
      <alignment horizontal="center" vertical="center" wrapText="1"/>
    </xf>
    <xf numFmtId="3" fontId="0" fillId="12" borderId="6" xfId="0" applyNumberFormat="1" applyFill="1" applyBorder="1" applyAlignment="1">
      <alignment horizontal="center" vertical="center" wrapText="1"/>
    </xf>
    <xf numFmtId="9" fontId="0" fillId="11" borderId="6" xfId="0" applyNumberFormat="1" applyFill="1" applyBorder="1" applyAlignment="1">
      <alignment horizontal="center" vertical="center" wrapText="1"/>
    </xf>
    <xf numFmtId="9" fontId="0" fillId="8" borderId="6" xfId="0" applyNumberFormat="1" applyFill="1" applyBorder="1" applyAlignment="1">
      <alignment horizontal="center" vertical="center" wrapText="1"/>
    </xf>
    <xf numFmtId="3" fontId="0" fillId="11" borderId="6" xfId="0" applyNumberFormat="1" applyFill="1" applyBorder="1" applyAlignment="1">
      <alignment horizontal="center" vertical="center" wrapText="1"/>
    </xf>
    <xf numFmtId="9" fontId="0" fillId="5" borderId="6" xfId="0" applyNumberFormat="1" applyFill="1" applyBorder="1" applyAlignment="1">
      <alignment horizontal="center" vertical="center" wrapText="1"/>
    </xf>
    <xf numFmtId="9" fontId="0" fillId="10" borderId="6" xfId="0" applyNumberFormat="1" applyFill="1" applyBorder="1" applyAlignment="1">
      <alignment horizontal="center" vertical="center" wrapText="1"/>
    </xf>
    <xf numFmtId="3" fontId="0" fillId="10" borderId="6" xfId="0" applyNumberFormat="1" applyFill="1" applyBorder="1" applyAlignment="1">
      <alignment horizontal="center" vertical="center" wrapText="1"/>
    </xf>
    <xf numFmtId="9" fontId="0" fillId="8" borderId="12" xfId="0" applyNumberFormat="1" applyFill="1" applyBorder="1" applyAlignment="1">
      <alignment horizontal="center" vertical="center" wrapText="1"/>
    </xf>
    <xf numFmtId="3" fontId="0" fillId="12" borderId="12" xfId="0" applyNumberFormat="1" applyFill="1" applyBorder="1" applyAlignment="1">
      <alignment horizontal="center" vertical="center" wrapText="1"/>
    </xf>
    <xf numFmtId="1" fontId="0" fillId="0" borderId="12" xfId="0" applyNumberFormat="1" applyBorder="1" applyAlignment="1">
      <alignment horizontal="center" vertical="center" wrapText="1"/>
    </xf>
    <xf numFmtId="9" fontId="10" fillId="8" borderId="33" xfId="0" applyNumberFormat="1" applyFont="1" applyFill="1" applyBorder="1" applyAlignment="1">
      <alignment horizontal="center" vertical="center" wrapText="1"/>
    </xf>
    <xf numFmtId="2" fontId="10" fillId="5" borderId="33" xfId="0" applyNumberFormat="1" applyFont="1" applyFill="1" applyBorder="1" applyAlignment="1">
      <alignment horizontal="center" vertical="center" wrapText="1"/>
    </xf>
    <xf numFmtId="2" fontId="0" fillId="11" borderId="34" xfId="0" applyNumberFormat="1" applyFill="1" applyBorder="1" applyAlignment="1">
      <alignment horizontal="center" vertical="center" wrapText="1"/>
    </xf>
    <xf numFmtId="0" fontId="11" fillId="9" borderId="0" xfId="0" applyFont="1" applyFill="1" applyAlignment="1">
      <alignment horizontal="center" vertical="center" wrapText="1"/>
    </xf>
    <xf numFmtId="0" fontId="0" fillId="11" borderId="0" xfId="0" applyFill="1" applyAlignment="1">
      <alignment horizontal="center" vertical="center" wrapText="1"/>
    </xf>
    <xf numFmtId="0" fontId="0" fillId="8" borderId="0" xfId="0" applyFill="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6" xfId="0" applyFont="1" applyBorder="1" applyAlignment="1">
      <alignment horizontal="center" vertical="center" wrapText="1"/>
    </xf>
    <xf numFmtId="0" fontId="0" fillId="0" borderId="0" xfId="0" applyAlignment="1">
      <alignment horizontal="right" vertical="center" wrapText="1"/>
    </xf>
    <xf numFmtId="0" fontId="5" fillId="5" borderId="6"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13" fillId="5" borderId="6"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13" fillId="9" borderId="6" xfId="0" applyFont="1" applyFill="1" applyBorder="1" applyAlignment="1">
      <alignment horizontal="center" vertical="center" wrapText="1"/>
    </xf>
    <xf numFmtId="0" fontId="13" fillId="13" borderId="6" xfId="0" applyFont="1" applyFill="1" applyBorder="1" applyAlignment="1">
      <alignment horizontal="center" vertical="center" wrapText="1"/>
    </xf>
    <xf numFmtId="0" fontId="2" fillId="3" borderId="0" xfId="0" applyFont="1" applyFill="1"/>
    <xf numFmtId="0" fontId="0" fillId="0" borderId="0" xfId="0" applyAlignment="1">
      <alignment wrapText="1"/>
    </xf>
    <xf numFmtId="0" fontId="1" fillId="2" borderId="0" xfId="0" applyFont="1" applyFill="1" applyAlignment="1">
      <alignment horizontal="center" vertical="center"/>
    </xf>
    <xf numFmtId="0" fontId="4" fillId="2" borderId="0" xfId="0" applyFont="1" applyFill="1"/>
    <xf numFmtId="0" fontId="5" fillId="5" borderId="6" xfId="0" applyFont="1" applyFill="1" applyBorder="1" applyAlignment="1">
      <alignment horizontal="center" vertical="center" wrapText="1"/>
    </xf>
    <xf numFmtId="0" fontId="5" fillId="11" borderId="6"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13" borderId="6"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horizontal="center" vertical="center"/>
    </xf>
    <xf numFmtId="0" fontId="5" fillId="9" borderId="6" xfId="0" applyFont="1" applyFill="1" applyBorder="1" applyAlignment="1">
      <alignment horizontal="left" vertical="center" wrapText="1"/>
    </xf>
    <xf numFmtId="0" fontId="5" fillId="11" borderId="6" xfId="0" applyFont="1" applyFill="1" applyBorder="1" applyAlignment="1">
      <alignment horizontal="left" vertical="center" wrapText="1"/>
    </xf>
    <xf numFmtId="0" fontId="5" fillId="5" borderId="6" xfId="0" applyFont="1" applyFill="1" applyBorder="1" applyAlignment="1">
      <alignment horizontal="left" vertical="center" wrapText="1"/>
    </xf>
    <xf numFmtId="0" fontId="5" fillId="8" borderId="6" xfId="0" applyFont="1" applyFill="1" applyBorder="1" applyAlignment="1">
      <alignment horizontal="center" vertical="center" wrapText="1"/>
    </xf>
    <xf numFmtId="0" fontId="5" fillId="8" borderId="6" xfId="0" applyFont="1" applyFill="1" applyBorder="1" applyAlignment="1">
      <alignment horizontal="left" vertical="center" wrapText="1"/>
    </xf>
    <xf numFmtId="0" fontId="5" fillId="12" borderId="6" xfId="0" applyFont="1" applyFill="1" applyBorder="1" applyAlignment="1">
      <alignment horizontal="center" vertical="center" wrapText="1"/>
    </xf>
    <xf numFmtId="0" fontId="5" fillId="12" borderId="6" xfId="0" applyFont="1" applyFill="1" applyBorder="1" applyAlignment="1">
      <alignment horizontal="left" vertical="center" wrapText="1"/>
    </xf>
    <xf numFmtId="0" fontId="13" fillId="5" borderId="6"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5" fillId="12" borderId="6" xfId="0" applyFont="1" applyFill="1" applyBorder="1" applyAlignment="1">
      <alignment horizontal="center" vertical="center"/>
    </xf>
    <xf numFmtId="0" fontId="13" fillId="7" borderId="6"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13" borderId="6" xfId="0" applyFont="1" applyFill="1" applyBorder="1" applyAlignment="1">
      <alignment horizontal="center" vertical="center"/>
    </xf>
    <xf numFmtId="0" fontId="13" fillId="9" borderId="6" xfId="0" applyFont="1" applyFill="1" applyBorder="1" applyAlignment="1">
      <alignment horizontal="center" vertical="center" wrapText="1"/>
    </xf>
    <xf numFmtId="0" fontId="13" fillId="13" borderId="6" xfId="0" applyFont="1" applyFill="1" applyBorder="1" applyAlignment="1">
      <alignment horizontal="center" vertical="center" wrapText="1"/>
    </xf>
    <xf numFmtId="0" fontId="5" fillId="9" borderId="6" xfId="0" applyFont="1" applyFill="1" applyBorder="1" applyAlignment="1">
      <alignment horizontal="center" vertical="center"/>
    </xf>
    <xf numFmtId="0" fontId="5" fillId="11" borderId="6" xfId="0" applyFont="1" applyFill="1" applyBorder="1" applyAlignment="1">
      <alignment horizontal="center" vertical="center"/>
    </xf>
    <xf numFmtId="0" fontId="5" fillId="5" borderId="6" xfId="0" applyFont="1" applyFill="1" applyBorder="1" applyAlignment="1">
      <alignment horizontal="center" vertical="center"/>
    </xf>
    <xf numFmtId="0" fontId="12" fillId="0" borderId="12" xfId="0" applyFont="1" applyBorder="1" applyAlignment="1">
      <alignment horizontal="center" vertical="center" wrapText="1"/>
    </xf>
    <xf numFmtId="0" fontId="0" fillId="11" borderId="35" xfId="0" applyFill="1" applyBorder="1" applyAlignment="1">
      <alignment horizontal="center" vertical="center" wrapText="1"/>
    </xf>
    <xf numFmtId="0" fontId="0" fillId="0" borderId="36" xfId="0" applyBorder="1" applyAlignment="1">
      <alignment horizontal="center" vertical="center" wrapText="1"/>
    </xf>
    <xf numFmtId="0" fontId="0" fillId="0" borderId="6" xfId="0" applyBorder="1" applyAlignment="1">
      <alignment horizontal="left" vertical="center" wrapText="1"/>
    </xf>
    <xf numFmtId="0" fontId="0" fillId="0" borderId="12" xfId="0" applyBorder="1" applyAlignment="1">
      <alignment horizontal="left" vertical="center" wrapText="1"/>
    </xf>
    <xf numFmtId="0" fontId="10" fillId="0" borderId="32"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0" xfId="0" applyFont="1" applyBorder="1" applyAlignment="1">
      <alignment horizontal="center" vertical="center" wrapText="1"/>
    </xf>
    <xf numFmtId="2" fontId="7" fillId="4" borderId="6" xfId="0" applyNumberFormat="1" applyFont="1" applyFill="1" applyBorder="1" applyAlignment="1">
      <alignment horizontal="left" vertical="center" wrapText="1"/>
    </xf>
    <xf numFmtId="2" fontId="7" fillId="0" borderId="6" xfId="0" applyNumberFormat="1" applyFont="1" applyBorder="1" applyAlignment="1">
      <alignment horizontal="left" vertical="center" wrapText="1"/>
    </xf>
    <xf numFmtId="0" fontId="0" fillId="14" borderId="15" xfId="0" applyFill="1" applyBorder="1" applyAlignment="1">
      <alignment horizontal="center" vertical="center" wrapText="1"/>
    </xf>
    <xf numFmtId="0" fontId="0" fillId="14" borderId="6" xfId="0" applyFill="1" applyBorder="1" applyAlignment="1">
      <alignment horizontal="center" vertical="center" wrapText="1"/>
    </xf>
    <xf numFmtId="0" fontId="0" fillId="15" borderId="16" xfId="0" applyFill="1" applyBorder="1" applyAlignment="1">
      <alignment horizontal="center" vertical="center" wrapText="1"/>
    </xf>
    <xf numFmtId="0" fontId="0" fillId="15" borderId="19" xfId="0" applyFill="1" applyBorder="1" applyAlignment="1">
      <alignment horizontal="center" vertical="center" wrapText="1"/>
    </xf>
    <xf numFmtId="0" fontId="0" fillId="15" borderId="6" xfId="0" applyFill="1" applyBorder="1" applyAlignment="1">
      <alignment horizontal="center" vertical="center" wrapText="1"/>
    </xf>
    <xf numFmtId="0" fontId="0" fillId="14" borderId="16" xfId="0" applyFill="1" applyBorder="1" applyAlignment="1">
      <alignment horizontal="center" vertical="center" wrapText="1"/>
    </xf>
    <xf numFmtId="0" fontId="0" fillId="14" borderId="19" xfId="0" applyFill="1" applyBorder="1" applyAlignment="1">
      <alignment horizontal="center" vertical="center" wrapText="1"/>
    </xf>
    <xf numFmtId="3" fontId="0" fillId="16" borderId="3" xfId="0" applyNumberFormat="1" applyFill="1" applyBorder="1" applyAlignment="1">
      <alignment horizontal="center" vertical="center" wrapText="1"/>
    </xf>
    <xf numFmtId="0" fontId="0" fillId="15" borderId="23" xfId="0" applyFill="1" applyBorder="1" applyAlignment="1">
      <alignment horizontal="center" vertical="center" wrapText="1"/>
    </xf>
    <xf numFmtId="0" fontId="0" fillId="15" borderId="25" xfId="0" applyFill="1" applyBorder="1" applyAlignment="1">
      <alignment horizontal="center" vertical="center" wrapText="1"/>
    </xf>
    <xf numFmtId="9" fontId="0" fillId="17" borderId="9" xfId="0" applyNumberFormat="1" applyFill="1" applyBorder="1" applyAlignment="1">
      <alignment horizontal="center" vertical="center" wrapText="1"/>
    </xf>
    <xf numFmtId="3" fontId="0" fillId="18" borderId="6" xfId="0" applyNumberFormat="1" applyFill="1" applyBorder="1" applyAlignment="1">
      <alignment horizontal="center" vertical="center" wrapText="1"/>
    </xf>
    <xf numFmtId="9" fontId="0" fillId="19" borderId="9" xfId="0" applyNumberFormat="1" applyFill="1" applyBorder="1" applyAlignment="1">
      <alignment horizontal="center" vertical="center" wrapText="1"/>
    </xf>
    <xf numFmtId="3" fontId="0" fillId="20" borderId="3" xfId="0" applyNumberFormat="1" applyFill="1" applyBorder="1" applyAlignment="1">
      <alignment horizontal="center" vertical="center" wrapText="1"/>
    </xf>
    <xf numFmtId="1" fontId="0" fillId="4" borderId="19" xfId="0" applyNumberFormat="1" applyFill="1" applyBorder="1" applyAlignment="1">
      <alignment horizontal="center" vertical="center" wrapText="1"/>
    </xf>
    <xf numFmtId="0" fontId="14" fillId="0" borderId="18" xfId="0" applyFont="1" applyFill="1" applyBorder="1" applyAlignment="1">
      <alignment horizontal="center" vertical="center" wrapText="1"/>
    </xf>
    <xf numFmtId="0" fontId="0" fillId="0" borderId="24" xfId="0" applyBorder="1" applyAlignment="1">
      <alignment wrapText="1"/>
    </xf>
    <xf numFmtId="0" fontId="0" fillId="0" borderId="24" xfId="0" applyBorder="1"/>
    <xf numFmtId="0" fontId="2" fillId="0" borderId="25" xfId="0" applyFont="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924EA72E"/>
      <rgbColor rgb="FF800080"/>
      <rgbColor rgb="FF156082"/>
      <rgbColor rgb="FFB7B7B7"/>
      <rgbColor rgb="FF808080"/>
      <rgbColor rgb="FF9999FF"/>
      <rgbColor rgb="FF993366"/>
      <rgbColor rgb="FFE8E8E8"/>
      <rgbColor rgb="FFD9EAF7"/>
      <rgbColor rgb="FF660066"/>
      <rgbColor rgb="FFE06666"/>
      <rgbColor rgb="FF0563C1"/>
      <rgbColor rgb="FFD1D1D1"/>
      <rgbColor rgb="FF000080"/>
      <rgbColor rgb="FFFF00FF"/>
      <rgbColor rgb="FFFFFF00"/>
      <rgbColor rgb="FF00FFFF"/>
      <rgbColor rgb="FF800080"/>
      <rgbColor rgb="FF800000"/>
      <rgbColor rgb="FF00B050"/>
      <rgbColor rgb="FF0000FF"/>
      <rgbColor rgb="FF00CCFF"/>
      <rgbColor rgb="FFD9EAD3"/>
      <rgbColor rgb="FFC2F1C8"/>
      <rgbColor rgb="FFFFFF99"/>
      <rgbColor rgb="FFD9D9D9"/>
      <rgbColor rgb="FFFF99CC"/>
      <rgbColor rgb="FFD86ECC"/>
      <rgbColor rgb="FFF4CCCC"/>
      <rgbColor rgb="FF3366FF"/>
      <rgbColor rgb="FF33CCCC"/>
      <rgbColor rgb="FF92D050"/>
      <rgbColor rgb="FFFFC000"/>
      <rgbColor rgb="FFFF9900"/>
      <rgbColor rgb="FFFF5050"/>
      <rgbColor rgb="FF595959"/>
      <rgbColor rgb="FF93C47D"/>
      <rgbColor rgb="FF003366"/>
      <rgbColor rgb="FF4EA72E"/>
      <rgbColor rgb="FF003300"/>
      <rgbColor rgb="FF333300"/>
      <rgbColor rgb="FF993300"/>
      <rgbColor rgb="FF993366"/>
      <rgbColor rgb="FF1F4E78"/>
      <rgbColor rgb="FF404040"/>
      <rgbColor rgb="00003366"/>
      <rgbColor rgb="00339966"/>
      <rgbColor rgb="00003300"/>
      <rgbColor rgb="00333300"/>
      <rgbColor rgb="00993300"/>
      <rgbColor rgb="00993366"/>
      <rgbColor rgb="00333399"/>
      <rgbColor rgb="00333333"/>
    </indexedColors>
    <mruColors>
      <color rgb="FFFB8B75"/>
      <color rgb="FFFA5F40"/>
      <color rgb="FFFEDBD4"/>
      <color rgb="FFFA53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fr-FR" sz="1800" b="1" u="none" strike="noStrike">
                <a:solidFill>
                  <a:srgbClr val="000000"/>
                </a:solidFill>
                <a:uFillTx/>
                <a:latin typeface="Aptos Narrow"/>
              </a:rPr>
              <a:t>Maturité en % (seuil 75%)</a:t>
            </a:r>
          </a:p>
        </c:rich>
      </c:tx>
      <c:overlay val="0"/>
      <c:spPr>
        <a:noFill/>
        <a:ln w="0">
          <a:noFill/>
        </a:ln>
      </c:spPr>
    </c:title>
    <c:autoTitleDeleted val="0"/>
    <c:plotArea>
      <c:layout>
        <c:manualLayout>
          <c:layoutTarget val="inner"/>
          <c:xMode val="edge"/>
          <c:yMode val="edge"/>
          <c:x val="0.31683002429421098"/>
          <c:y val="0.156771889178492"/>
          <c:w val="0.38317835302002201"/>
          <c:h val="0.77941886282459705"/>
        </c:manualLayout>
      </c:layout>
      <c:radarChart>
        <c:radarStyle val="filled"/>
        <c:varyColors val="0"/>
        <c:ser>
          <c:idx val="0"/>
          <c:order val="0"/>
          <c:tx>
            <c:strRef>
              <c:f>'Dashboard Audit'!$C$11</c:f>
              <c:strCache>
                <c:ptCount val="1"/>
                <c:pt idx="0">
                  <c:v>Maturité %</c:v>
                </c:pt>
              </c:strCache>
            </c:strRef>
          </c:tx>
          <c:spPr>
            <a:solidFill>
              <a:srgbClr val="4EA72E">
                <a:alpha val="57000"/>
              </a:srgbClr>
            </a:solidFill>
            <a:ln w="25400">
              <a:solidFill>
                <a:schemeClr val="tx1"/>
              </a:solidFill>
              <a:round/>
            </a:ln>
          </c:spPr>
          <c:dPt>
            <c:idx val="0"/>
            <c:bubble3D val="0"/>
            <c:extLst>
              <c:ext xmlns:c16="http://schemas.microsoft.com/office/drawing/2014/chart" uri="{C3380CC4-5D6E-409C-BE32-E72D297353CC}">
                <c16:uniqueId val="{00000001-ED11-403A-9257-E5570CA03922}"/>
              </c:ext>
            </c:extLst>
          </c:dPt>
          <c:dPt>
            <c:idx val="1"/>
            <c:bubble3D val="0"/>
            <c:extLst>
              <c:ext xmlns:c16="http://schemas.microsoft.com/office/drawing/2014/chart" uri="{C3380CC4-5D6E-409C-BE32-E72D297353CC}">
                <c16:uniqueId val="{00000003-ED11-403A-9257-E5570CA03922}"/>
              </c:ext>
            </c:extLst>
          </c:dPt>
          <c:dPt>
            <c:idx val="2"/>
            <c:bubble3D val="0"/>
            <c:extLst>
              <c:ext xmlns:c16="http://schemas.microsoft.com/office/drawing/2014/chart" uri="{C3380CC4-5D6E-409C-BE32-E72D297353CC}">
                <c16:uniqueId val="{00000005-ED11-403A-9257-E5570CA03922}"/>
              </c:ext>
            </c:extLst>
          </c:dPt>
          <c:dPt>
            <c:idx val="3"/>
            <c:bubble3D val="0"/>
            <c:extLst>
              <c:ext xmlns:c16="http://schemas.microsoft.com/office/drawing/2014/chart" uri="{C3380CC4-5D6E-409C-BE32-E72D297353CC}">
                <c16:uniqueId val="{00000007-ED11-403A-9257-E5570CA03922}"/>
              </c:ext>
            </c:extLst>
          </c:dPt>
          <c:dPt>
            <c:idx val="4"/>
            <c:bubble3D val="0"/>
            <c:extLst>
              <c:ext xmlns:c16="http://schemas.microsoft.com/office/drawing/2014/chart" uri="{C3380CC4-5D6E-409C-BE32-E72D297353CC}">
                <c16:uniqueId val="{00000009-ED11-403A-9257-E5570CA03922}"/>
              </c:ext>
            </c:extLst>
          </c:dPt>
          <c:dPt>
            <c:idx val="5"/>
            <c:bubble3D val="0"/>
            <c:extLst>
              <c:ext xmlns:c16="http://schemas.microsoft.com/office/drawing/2014/chart" uri="{C3380CC4-5D6E-409C-BE32-E72D297353CC}">
                <c16:uniqueId val="{0000000B-ED11-403A-9257-E5570CA03922}"/>
              </c:ext>
            </c:extLst>
          </c:dPt>
          <c:dLbls>
            <c:dLbl>
              <c:idx val="0"/>
              <c:layout>
                <c:manualLayout>
                  <c:x val="9.4644482347779224E-2"/>
                  <c:y val="3.6616138317894968E-3"/>
                </c:manualLayout>
              </c:layout>
              <c:spPr/>
              <c:txPr>
                <a:bodyPr wrap="square"/>
                <a:lstStyle/>
                <a:p>
                  <a:pPr>
                    <a:defRPr sz="900" b="0" u="none" strike="noStrike">
                      <a:solidFill>
                        <a:srgbClr val="404040"/>
                      </a:solidFill>
                      <a:uFillTx/>
                      <a:latin typeface="Aptos Narrow"/>
                    </a:defRPr>
                  </a:pPr>
                  <a:endParaRPr lang="fr-FR"/>
                </a:p>
              </c:txP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ED11-403A-9257-E5570CA03922}"/>
                </c:ext>
              </c:extLst>
            </c:dLbl>
            <c:dLbl>
              <c:idx val="1"/>
              <c:spPr/>
              <c:txPr>
                <a:bodyPr wrap="square"/>
                <a:lstStyle/>
                <a:p>
                  <a:pPr>
                    <a:defRPr sz="900" b="0" u="none" strike="noStrike">
                      <a:solidFill>
                        <a:srgbClr val="40404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D11-403A-9257-E5570CA03922}"/>
                </c:ext>
              </c:extLst>
            </c:dLbl>
            <c:dLbl>
              <c:idx val="2"/>
              <c:spPr/>
              <c:txPr>
                <a:bodyPr wrap="square"/>
                <a:lstStyle/>
                <a:p>
                  <a:pPr>
                    <a:defRPr sz="900" b="0" u="none" strike="noStrike">
                      <a:solidFill>
                        <a:srgbClr val="40404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D11-403A-9257-E5570CA03922}"/>
                </c:ext>
              </c:extLst>
            </c:dLbl>
            <c:dLbl>
              <c:idx val="3"/>
              <c:spPr/>
              <c:txPr>
                <a:bodyPr wrap="square"/>
                <a:lstStyle/>
                <a:p>
                  <a:pPr>
                    <a:defRPr sz="900" b="0" u="none" strike="noStrike">
                      <a:solidFill>
                        <a:srgbClr val="40404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D11-403A-9257-E5570CA03922}"/>
                </c:ext>
              </c:extLst>
            </c:dLbl>
            <c:dLbl>
              <c:idx val="4"/>
              <c:layout>
                <c:manualLayout>
                  <c:x val="0"/>
                  <c:y val="3.6616138317893628E-3"/>
                </c:manualLayout>
              </c:layout>
              <c:spPr/>
              <c:txPr>
                <a:bodyPr wrap="square"/>
                <a:lstStyle/>
                <a:p>
                  <a:pPr>
                    <a:defRPr sz="900" b="0" u="none" strike="noStrike">
                      <a:solidFill>
                        <a:srgbClr val="404040"/>
                      </a:solidFill>
                      <a:uFillTx/>
                      <a:latin typeface="Aptos Narrow"/>
                    </a:defRPr>
                  </a:pPr>
                  <a:endParaRPr lang="fr-FR"/>
                </a:p>
              </c:txP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9-ED11-403A-9257-E5570CA03922}"/>
                </c:ext>
              </c:extLst>
            </c:dLbl>
            <c:dLbl>
              <c:idx val="5"/>
              <c:layout>
                <c:manualLayout>
                  <c:x val="3.7181760922341885E-2"/>
                  <c:y val="-5.4924207476842388E-2"/>
                </c:manualLayout>
              </c:layout>
              <c:spPr/>
              <c:txPr>
                <a:bodyPr wrap="square"/>
                <a:lstStyle/>
                <a:p>
                  <a:pPr>
                    <a:defRPr sz="900" b="0" u="none" strike="noStrike">
                      <a:solidFill>
                        <a:srgbClr val="404040"/>
                      </a:solidFill>
                      <a:uFillTx/>
                      <a:latin typeface="Aptos Narrow"/>
                    </a:defRPr>
                  </a:pPr>
                  <a:endParaRPr lang="fr-FR"/>
                </a:p>
              </c:txP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B-ED11-403A-9257-E5570CA03922}"/>
                </c:ext>
              </c:extLst>
            </c:dLbl>
            <c:spPr>
              <a:noFill/>
              <a:ln>
                <a:noFill/>
              </a:ln>
              <a:effectLst/>
            </c:spPr>
            <c:txPr>
              <a:bodyPr wrap="square"/>
              <a:lstStyle/>
              <a:p>
                <a:pPr>
                  <a:defRPr sz="900" b="0" u="none" strike="noStrike">
                    <a:solidFill>
                      <a:srgbClr val="404040"/>
                    </a:solidFill>
                    <a:uFillTx/>
                    <a:latin typeface="Aptos Narrow"/>
                  </a:defRPr>
                </a:pPr>
                <a:endParaRPr lang="fr-FR"/>
              </a:p>
            </c:txP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Audit'!$C$12:$C$17</c:f>
              <c:numCache>
                <c:formatCode>0%</c:formatCode>
                <c:ptCount val="6"/>
                <c:pt idx="0">
                  <c:v>0.86838383838383837</c:v>
                </c:pt>
                <c:pt idx="1">
                  <c:v>0.69131782945736431</c:v>
                </c:pt>
                <c:pt idx="2">
                  <c:v>0.7336111111111111</c:v>
                </c:pt>
                <c:pt idx="3">
                  <c:v>0.79999999999999993</c:v>
                </c:pt>
                <c:pt idx="4">
                  <c:v>0.35399999999999998</c:v>
                </c:pt>
                <c:pt idx="5">
                  <c:v>0.15</c:v>
                </c:pt>
              </c:numCache>
            </c:numRef>
          </c:val>
          <c:extLst>
            <c:ext xmlns:c16="http://schemas.microsoft.com/office/drawing/2014/chart" uri="{C3380CC4-5D6E-409C-BE32-E72D297353CC}">
              <c16:uniqueId val="{0000000C-ED11-403A-9257-E5570CA03922}"/>
            </c:ext>
          </c:extLst>
        </c:ser>
        <c:ser>
          <c:idx val="1"/>
          <c:order val="1"/>
          <c:tx>
            <c:strRef>
              <c:f>'Dashboard Audit'!$D$11</c:f>
              <c:strCache>
                <c:ptCount val="1"/>
                <c:pt idx="0">
                  <c:v>Seuil maturité</c:v>
                </c:pt>
              </c:strCache>
            </c:strRef>
          </c:tx>
          <c:spPr>
            <a:solidFill>
              <a:srgbClr val="FA5332">
                <a:alpha val="60784"/>
              </a:srgbClr>
            </a:solidFill>
            <a:ln w="28440">
              <a:solidFill>
                <a:srgbClr val="E06666">
                  <a:alpha val="56000"/>
                </a:srgbClr>
              </a:solidFill>
              <a:prstDash val="dash"/>
              <a:round/>
            </a:ln>
          </c:spPr>
          <c:dLbls>
            <c:spPr>
              <a:noFill/>
              <a:ln>
                <a:noFill/>
              </a:ln>
              <a:effectLst/>
            </c:spPr>
            <c:txPr>
              <a:bodyPr wrap="square"/>
              <a:lstStyle/>
              <a:p>
                <a:pPr>
                  <a:defRPr sz="1000" b="0" u="none" strike="noStrike">
                    <a:solidFill>
                      <a:srgbClr val="000000"/>
                    </a:solidFill>
                    <a:uFillTx/>
                    <a:latin typeface="Aptos Narrow"/>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a:solidFill>
                        <a:srgbClr val="E06666"/>
                      </a:solidFill>
                    </a:ln>
                  </c:spPr>
                </c15:leaderLines>
              </c:ext>
            </c:extLst>
          </c:dLbls>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Audit'!$D$12:$D$17</c:f>
              <c:numCache>
                <c:formatCode>0%</c:formatCode>
                <c:ptCount val="6"/>
                <c:pt idx="0">
                  <c:v>0.75</c:v>
                </c:pt>
                <c:pt idx="1">
                  <c:v>0.75</c:v>
                </c:pt>
                <c:pt idx="2">
                  <c:v>0.75</c:v>
                </c:pt>
                <c:pt idx="3">
                  <c:v>0.75</c:v>
                </c:pt>
                <c:pt idx="4">
                  <c:v>0.75</c:v>
                </c:pt>
                <c:pt idx="5">
                  <c:v>0.75</c:v>
                </c:pt>
              </c:numCache>
            </c:numRef>
          </c:val>
          <c:extLst>
            <c:ext xmlns:c16="http://schemas.microsoft.com/office/drawing/2014/chart" uri="{C3380CC4-5D6E-409C-BE32-E72D297353CC}">
              <c16:uniqueId val="{0000000D-ED11-403A-9257-E5570CA03922}"/>
            </c:ext>
          </c:extLst>
        </c:ser>
        <c:dLbls>
          <c:showLegendKey val="0"/>
          <c:showVal val="0"/>
          <c:showCatName val="0"/>
          <c:showSerName val="0"/>
          <c:showPercent val="0"/>
          <c:showBubbleSize val="0"/>
        </c:dLbls>
        <c:axId val="93854403"/>
        <c:axId val="6397624"/>
      </c:radarChart>
      <c:catAx>
        <c:axId val="93854403"/>
        <c:scaling>
          <c:orientation val="maxMin"/>
        </c:scaling>
        <c:delete val="0"/>
        <c:axPos val="b"/>
        <c:numFmt formatCode="General" sourceLinked="0"/>
        <c:majorTickMark val="none"/>
        <c:minorTickMark val="none"/>
        <c:tickLblPos val="nextTo"/>
        <c:spPr>
          <a:ln w="9360">
            <a:noFill/>
          </a:ln>
        </c:spPr>
        <c:txPr>
          <a:bodyPr/>
          <a:lstStyle/>
          <a:p>
            <a:pPr>
              <a:defRPr sz="900" b="0" u="none" strike="noStrike">
                <a:solidFill>
                  <a:srgbClr val="595959"/>
                </a:solidFill>
                <a:uFillTx/>
                <a:latin typeface="Aptos Narrow"/>
              </a:defRPr>
            </a:pPr>
            <a:endParaRPr lang="fr-FR"/>
          </a:p>
        </c:txPr>
        <c:crossAx val="6397624"/>
        <c:crosses val="autoZero"/>
        <c:auto val="1"/>
        <c:lblAlgn val="ctr"/>
        <c:lblOffset val="100"/>
        <c:noMultiLvlLbl val="0"/>
      </c:catAx>
      <c:valAx>
        <c:axId val="6397624"/>
        <c:scaling>
          <c:orientation val="minMax"/>
          <c:max val="1"/>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sz="900" b="0" u="none" strike="noStrike">
                <a:solidFill>
                  <a:srgbClr val="595959"/>
                </a:solidFill>
                <a:uFillTx/>
                <a:latin typeface="Aptos Narrow"/>
              </a:defRPr>
            </a:pPr>
            <a:endParaRPr lang="fr-FR"/>
          </a:p>
        </c:txPr>
        <c:crossAx val="93854403"/>
        <c:crosses val="autoZero"/>
        <c:crossBetween val="midCat"/>
      </c:valAx>
      <c:spPr>
        <a:noFill/>
        <a:ln w="0">
          <a:noFill/>
        </a:ln>
      </c:spPr>
    </c:plotArea>
    <c:legend>
      <c:legendPos val="t"/>
      <c:layout>
        <c:manualLayout>
          <c:xMode val="edge"/>
          <c:yMode val="edge"/>
          <c:x val="7.4245567729116793E-2"/>
          <c:y val="5.1449995250619801E-2"/>
          <c:w val="0.21961301068481101"/>
          <c:h val="5.7997645065150399E-2"/>
        </c:manualLayout>
      </c:layout>
      <c:overlay val="0"/>
      <c:spPr>
        <a:noFill/>
        <a:ln w="0">
          <a:noFill/>
        </a:ln>
      </c:spPr>
      <c:txPr>
        <a:bodyPr/>
        <a:lstStyle/>
        <a:p>
          <a:pPr>
            <a:defRPr sz="900" b="0" u="none" strike="noStrike">
              <a:solidFill>
                <a:srgbClr val="595959"/>
              </a:solidFill>
              <a:uFillTx/>
              <a:latin typeface="Aptos Narrow"/>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fr-FR" sz="1800" b="1" u="none" strike="noStrike">
                <a:solidFill>
                  <a:srgbClr val="000000"/>
                </a:solidFill>
                <a:uFillTx/>
                <a:latin typeface="Aptos Narrow"/>
              </a:rPr>
              <a:t>Criticité (seuil 15)</a:t>
            </a:r>
          </a:p>
        </c:rich>
      </c:tx>
      <c:overlay val="0"/>
      <c:spPr>
        <a:noFill/>
        <a:ln w="0">
          <a:noFill/>
        </a:ln>
      </c:spPr>
    </c:title>
    <c:autoTitleDeleted val="0"/>
    <c:plotArea>
      <c:layout>
        <c:manualLayout>
          <c:layoutTarget val="inner"/>
          <c:xMode val="edge"/>
          <c:yMode val="edge"/>
          <c:x val="0.30547613811304197"/>
          <c:y val="0.152363601495829"/>
          <c:w val="0.42199252254233599"/>
          <c:h val="0.78751558155144297"/>
        </c:manualLayout>
      </c:layout>
      <c:radarChart>
        <c:radarStyle val="filled"/>
        <c:varyColors val="0"/>
        <c:ser>
          <c:idx val="0"/>
          <c:order val="0"/>
          <c:tx>
            <c:strRef>
              <c:f>'Dashboard Audit'!$E$11</c:f>
              <c:strCache>
                <c:ptCount val="1"/>
                <c:pt idx="0">
                  <c:v>Criticité /100</c:v>
                </c:pt>
              </c:strCache>
            </c:strRef>
          </c:tx>
          <c:spPr>
            <a:solidFill>
              <a:srgbClr val="FB8B75"/>
            </a:solidFill>
            <a:ln w="25400" cap="rnd">
              <a:solidFill>
                <a:srgbClr val="000000"/>
              </a:solidFill>
              <a:round/>
            </a:ln>
          </c:spPr>
          <c:dPt>
            <c:idx val="0"/>
            <c:bubble3D val="0"/>
            <c:extLst>
              <c:ext xmlns:c16="http://schemas.microsoft.com/office/drawing/2014/chart" uri="{C3380CC4-5D6E-409C-BE32-E72D297353CC}">
                <c16:uniqueId val="{00000001-501C-4227-B33E-27C7F4668DF1}"/>
              </c:ext>
            </c:extLst>
          </c:dPt>
          <c:dPt>
            <c:idx val="1"/>
            <c:bubble3D val="0"/>
            <c:extLst>
              <c:ext xmlns:c16="http://schemas.microsoft.com/office/drawing/2014/chart" uri="{C3380CC4-5D6E-409C-BE32-E72D297353CC}">
                <c16:uniqueId val="{00000003-501C-4227-B33E-27C7F4668DF1}"/>
              </c:ext>
            </c:extLst>
          </c:dPt>
          <c:dPt>
            <c:idx val="2"/>
            <c:bubble3D val="0"/>
            <c:extLst>
              <c:ext xmlns:c16="http://schemas.microsoft.com/office/drawing/2014/chart" uri="{C3380CC4-5D6E-409C-BE32-E72D297353CC}">
                <c16:uniqueId val="{00000005-501C-4227-B33E-27C7F4668DF1}"/>
              </c:ext>
            </c:extLst>
          </c:dPt>
          <c:dPt>
            <c:idx val="3"/>
            <c:bubble3D val="0"/>
            <c:extLst>
              <c:ext xmlns:c16="http://schemas.microsoft.com/office/drawing/2014/chart" uri="{C3380CC4-5D6E-409C-BE32-E72D297353CC}">
                <c16:uniqueId val="{00000007-501C-4227-B33E-27C7F4668DF1}"/>
              </c:ext>
            </c:extLst>
          </c:dPt>
          <c:dPt>
            <c:idx val="4"/>
            <c:bubble3D val="0"/>
            <c:extLst>
              <c:ext xmlns:c16="http://schemas.microsoft.com/office/drawing/2014/chart" uri="{C3380CC4-5D6E-409C-BE32-E72D297353CC}">
                <c16:uniqueId val="{00000009-501C-4227-B33E-27C7F4668DF1}"/>
              </c:ext>
            </c:extLst>
          </c:dPt>
          <c:dPt>
            <c:idx val="5"/>
            <c:bubble3D val="0"/>
            <c:extLst>
              <c:ext xmlns:c16="http://schemas.microsoft.com/office/drawing/2014/chart" uri="{C3380CC4-5D6E-409C-BE32-E72D297353CC}">
                <c16:uniqueId val="{0000000B-501C-4227-B33E-27C7F4668DF1}"/>
              </c:ext>
            </c:extLst>
          </c:dPt>
          <c:dLbls>
            <c:dLbl>
              <c:idx val="0"/>
              <c:spPr/>
              <c:txPr>
                <a:bodyPr wrap="square"/>
                <a:lstStyle/>
                <a:p>
                  <a:pPr>
                    <a:defRPr lang="en-US" sz="9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501C-4227-B33E-27C7F4668DF1}"/>
                </c:ext>
              </c:extLst>
            </c:dLbl>
            <c:dLbl>
              <c:idx val="1"/>
              <c:spPr/>
              <c:txPr>
                <a:bodyPr wrap="square"/>
                <a:lstStyle/>
                <a:p>
                  <a:pPr>
                    <a:defRPr lang="en-US" sz="9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501C-4227-B33E-27C7F4668DF1}"/>
                </c:ext>
              </c:extLst>
            </c:dLbl>
            <c:dLbl>
              <c:idx val="2"/>
              <c:spPr/>
              <c:txPr>
                <a:bodyPr wrap="square"/>
                <a:lstStyle/>
                <a:p>
                  <a:pPr>
                    <a:defRPr lang="en-US" sz="9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501C-4227-B33E-27C7F4668DF1}"/>
                </c:ext>
              </c:extLst>
            </c:dLbl>
            <c:dLbl>
              <c:idx val="3"/>
              <c:spPr/>
              <c:txPr>
                <a:bodyPr wrap="square"/>
                <a:lstStyle/>
                <a:p>
                  <a:pPr>
                    <a:defRPr lang="en-US" sz="9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501C-4227-B33E-27C7F4668DF1}"/>
                </c:ext>
              </c:extLst>
            </c:dLbl>
            <c:dLbl>
              <c:idx val="4"/>
              <c:spPr/>
              <c:txPr>
                <a:bodyPr wrap="square"/>
                <a:lstStyle/>
                <a:p>
                  <a:pPr>
                    <a:defRPr lang="en-US" sz="9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501C-4227-B33E-27C7F4668DF1}"/>
                </c:ext>
              </c:extLst>
            </c:dLbl>
            <c:dLbl>
              <c:idx val="5"/>
              <c:spPr/>
              <c:txPr>
                <a:bodyPr wrap="square"/>
                <a:lstStyle/>
                <a:p>
                  <a:pPr>
                    <a:defRPr lang="en-US" sz="9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501C-4227-B33E-27C7F4668DF1}"/>
                </c:ext>
              </c:extLst>
            </c:dLbl>
            <c:spPr>
              <a:noFill/>
              <a:ln>
                <a:noFill/>
              </a:ln>
              <a:effectLst/>
            </c:spPr>
            <c:txPr>
              <a:bodyPr wrap="square"/>
              <a:lstStyle/>
              <a:p>
                <a:pPr>
                  <a:defRPr lang="en-US" sz="900" b="0" u="none" strike="noStrike">
                    <a:solidFill>
                      <a:srgbClr val="000000"/>
                    </a:solidFill>
                    <a:uFillTx/>
                    <a:latin typeface="Aptos Narrow"/>
                  </a:defRPr>
                </a:pPr>
                <a:endParaRPr lang="fr-FR"/>
              </a:p>
            </c:txP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Audit'!$E$12:$E$17</c:f>
              <c:numCache>
                <c:formatCode>0.00</c:formatCode>
                <c:ptCount val="6"/>
                <c:pt idx="0">
                  <c:v>2.3861111111111115</c:v>
                </c:pt>
                <c:pt idx="1">
                  <c:v>14.183333333333334</c:v>
                </c:pt>
                <c:pt idx="2">
                  <c:v>3.7270833333333333</c:v>
                </c:pt>
                <c:pt idx="3">
                  <c:v>31.388888888888886</c:v>
                </c:pt>
                <c:pt idx="4">
                  <c:v>38.669047619047618</c:v>
                </c:pt>
                <c:pt idx="5">
                  <c:v>30.4</c:v>
                </c:pt>
              </c:numCache>
            </c:numRef>
          </c:val>
          <c:extLst>
            <c:ext xmlns:c16="http://schemas.microsoft.com/office/drawing/2014/chart" uri="{C3380CC4-5D6E-409C-BE32-E72D297353CC}">
              <c16:uniqueId val="{0000000C-501C-4227-B33E-27C7F4668DF1}"/>
            </c:ext>
          </c:extLst>
        </c:ser>
        <c:ser>
          <c:idx val="1"/>
          <c:order val="1"/>
          <c:tx>
            <c:strRef>
              <c:f>'Dashboard Audit'!$F$11</c:f>
              <c:strCache>
                <c:ptCount val="1"/>
                <c:pt idx="0">
                  <c:v>Seuil criticité</c:v>
                </c:pt>
              </c:strCache>
            </c:strRef>
          </c:tx>
          <c:spPr>
            <a:solidFill>
              <a:schemeClr val="accent6">
                <a:lumMod val="40000"/>
                <a:lumOff val="60000"/>
                <a:alpha val="63000"/>
              </a:schemeClr>
            </a:solidFill>
            <a:ln w="28440" cap="rnd">
              <a:solidFill>
                <a:schemeClr val="accent3">
                  <a:alpha val="58000"/>
                </a:schemeClr>
              </a:solidFill>
              <a:prstDash val="dash"/>
              <a:round/>
            </a:ln>
          </c:spPr>
          <c:dLbls>
            <c:spPr>
              <a:noFill/>
              <a:ln>
                <a:noFill/>
              </a:ln>
              <a:effectLst/>
            </c:spPr>
            <c:txPr>
              <a:bodyPr wrap="square"/>
              <a:lstStyle/>
              <a:p>
                <a:pPr>
                  <a:defRPr sz="1000" b="0" u="none" strike="noStrike">
                    <a:solidFill>
                      <a:srgbClr val="000000"/>
                    </a:solidFill>
                    <a:uFillTx/>
                    <a:latin typeface="Aptos Narrow"/>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a:solidFill>
                        <a:srgbClr val="93C47D"/>
                      </a:solidFill>
                    </a:ln>
                  </c:spPr>
                </c15:leaderLines>
              </c:ext>
            </c:extLst>
          </c:dLbls>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Audit'!$F$12:$F$17</c:f>
              <c:numCache>
                <c:formatCode>0.00</c:formatCode>
                <c:ptCount val="6"/>
                <c:pt idx="0">
                  <c:v>15</c:v>
                </c:pt>
                <c:pt idx="1">
                  <c:v>15</c:v>
                </c:pt>
                <c:pt idx="2">
                  <c:v>15</c:v>
                </c:pt>
                <c:pt idx="3">
                  <c:v>15</c:v>
                </c:pt>
                <c:pt idx="4">
                  <c:v>15</c:v>
                </c:pt>
                <c:pt idx="5">
                  <c:v>15</c:v>
                </c:pt>
              </c:numCache>
            </c:numRef>
          </c:val>
          <c:extLst>
            <c:ext xmlns:c16="http://schemas.microsoft.com/office/drawing/2014/chart" uri="{C3380CC4-5D6E-409C-BE32-E72D297353CC}">
              <c16:uniqueId val="{0000000D-501C-4227-B33E-27C7F4668DF1}"/>
            </c:ext>
          </c:extLst>
        </c:ser>
        <c:dLbls>
          <c:showLegendKey val="0"/>
          <c:showVal val="0"/>
          <c:showCatName val="0"/>
          <c:showSerName val="0"/>
          <c:showPercent val="0"/>
          <c:showBubbleSize val="0"/>
        </c:dLbls>
        <c:axId val="29159017"/>
        <c:axId val="1721399"/>
      </c:radarChart>
      <c:catAx>
        <c:axId val="29159017"/>
        <c:scaling>
          <c:orientation val="maxMin"/>
        </c:scaling>
        <c:delete val="0"/>
        <c:axPos val="b"/>
        <c:numFmt formatCode="General" sourceLinked="0"/>
        <c:majorTickMark val="none"/>
        <c:minorTickMark val="none"/>
        <c:tickLblPos val="nextTo"/>
        <c:spPr>
          <a:ln w="12600">
            <a:noFill/>
          </a:ln>
        </c:spPr>
        <c:txPr>
          <a:bodyPr/>
          <a:lstStyle/>
          <a:p>
            <a:pPr>
              <a:defRPr lang="en-US" sz="900" b="0" u="none" strike="noStrike">
                <a:solidFill>
                  <a:srgbClr val="000000"/>
                </a:solidFill>
                <a:uFillTx/>
                <a:latin typeface="Aptos Narrow"/>
              </a:defRPr>
            </a:pPr>
            <a:endParaRPr lang="fr-FR"/>
          </a:p>
        </c:txPr>
        <c:crossAx val="1721399"/>
        <c:crosses val="autoZero"/>
        <c:auto val="1"/>
        <c:lblAlgn val="ctr"/>
        <c:lblOffset val="100"/>
        <c:noMultiLvlLbl val="0"/>
      </c:catAx>
      <c:valAx>
        <c:axId val="1721399"/>
        <c:scaling>
          <c:orientation val="minMax"/>
          <c:max val="50"/>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lang="en-US" sz="900" b="0" u="none" strike="noStrike">
                <a:solidFill>
                  <a:srgbClr val="000000"/>
                </a:solidFill>
                <a:uFillTx/>
                <a:latin typeface="Aptos Narrow"/>
              </a:defRPr>
            </a:pPr>
            <a:endParaRPr lang="fr-FR"/>
          </a:p>
        </c:txPr>
        <c:crossAx val="29159017"/>
        <c:crosses val="autoZero"/>
        <c:crossBetween val="midCat"/>
      </c:valAx>
      <c:spPr>
        <a:noFill/>
        <a:ln w="0">
          <a:noFill/>
        </a:ln>
      </c:spPr>
    </c:plotArea>
    <c:legend>
      <c:legendPos val="t"/>
      <c:layout>
        <c:manualLayout>
          <c:xMode val="edge"/>
          <c:yMode val="edge"/>
          <c:x val="7.7470686948238596E-2"/>
          <c:y val="4.5045808453224603E-2"/>
          <c:w val="0.310562182469865"/>
          <c:h val="5.76527165890975E-2"/>
        </c:manualLayout>
      </c:layout>
      <c:overlay val="0"/>
      <c:spPr>
        <a:noFill/>
        <a:ln w="0">
          <a:noFill/>
        </a:ln>
      </c:spPr>
      <c:txPr>
        <a:bodyPr/>
        <a:lstStyle/>
        <a:p>
          <a:pPr>
            <a:defRPr lang="en-US" sz="900" b="0" u="none" strike="noStrike">
              <a:solidFill>
                <a:srgbClr val="000000"/>
              </a:solidFill>
              <a:uFillTx/>
              <a:latin typeface="Aptos Narrow"/>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300" b="0" u="none" strike="noStrike">
                <a:uFillTx/>
                <a:latin typeface="Arial"/>
              </a:defRPr>
            </a:pPr>
            <a:r>
              <a:rPr lang="fr-FR" sz="1800" b="1" u="none" strike="noStrike">
                <a:solidFill>
                  <a:srgbClr val="000000"/>
                </a:solidFill>
                <a:uFillTx/>
                <a:latin typeface="Aptos Narrow"/>
              </a:rPr>
              <a:t>Résilience en semaines (seuil 70)</a:t>
            </a:r>
          </a:p>
        </c:rich>
      </c:tx>
      <c:overlay val="0"/>
      <c:spPr>
        <a:noFill/>
        <a:ln w="0">
          <a:noFill/>
        </a:ln>
      </c:spPr>
    </c:title>
    <c:autoTitleDeleted val="0"/>
    <c:plotArea>
      <c:layout>
        <c:manualLayout>
          <c:layoutTarget val="inner"/>
          <c:xMode val="edge"/>
          <c:yMode val="edge"/>
          <c:x val="0.33375452784095699"/>
          <c:y val="0.1430639512656082"/>
          <c:w val="0.47024843051020915"/>
          <c:h val="0.79152495148922652"/>
        </c:manualLayout>
      </c:layout>
      <c:radarChart>
        <c:radarStyle val="marker"/>
        <c:varyColors val="0"/>
        <c:ser>
          <c:idx val="0"/>
          <c:order val="0"/>
          <c:tx>
            <c:strRef>
              <c:f>'Dashboard Audit'!$G$11</c:f>
              <c:strCache>
                <c:ptCount val="1"/>
                <c:pt idx="0">
                  <c:v>Résilience (semaine)</c:v>
                </c:pt>
              </c:strCache>
            </c:strRef>
          </c:tx>
          <c:spPr>
            <a:ln w="25400" cap="rnd">
              <a:solidFill>
                <a:schemeClr val="tx1"/>
              </a:solidFill>
              <a:round/>
            </a:ln>
            <a:effectLst>
              <a:outerShdw blurRad="50800" dist="50800" dir="5400000" algn="ctr" rotWithShape="0">
                <a:schemeClr val="bg1"/>
              </a:outerShdw>
            </a:effectLst>
          </c:spPr>
          <c:marker>
            <c:symbol val="none"/>
          </c:marker>
          <c:dPt>
            <c:idx val="3"/>
            <c:bubble3D val="0"/>
            <c:extLst>
              <c:ext xmlns:c16="http://schemas.microsoft.com/office/drawing/2014/chart" uri="{C3380CC4-5D6E-409C-BE32-E72D297353CC}">
                <c16:uniqueId val="{00000000-4C76-4E2C-BE34-FFF1EEAA1837}"/>
              </c:ext>
            </c:extLst>
          </c:dPt>
          <c:dPt>
            <c:idx val="4"/>
            <c:bubble3D val="0"/>
            <c:extLst>
              <c:ext xmlns:c16="http://schemas.microsoft.com/office/drawing/2014/chart" uri="{C3380CC4-5D6E-409C-BE32-E72D297353CC}">
                <c16:uniqueId val="{00000001-4C76-4E2C-BE34-FFF1EEAA1837}"/>
              </c:ext>
            </c:extLst>
          </c:dPt>
          <c:dPt>
            <c:idx val="5"/>
            <c:bubble3D val="0"/>
            <c:extLst>
              <c:ext xmlns:c16="http://schemas.microsoft.com/office/drawing/2014/chart" uri="{C3380CC4-5D6E-409C-BE32-E72D297353CC}">
                <c16:uniqueId val="{00000002-4C76-4E2C-BE34-FFF1EEAA1837}"/>
              </c:ext>
            </c:extLst>
          </c:dPt>
          <c:dLbls>
            <c:dLbl>
              <c:idx val="0"/>
              <c:layout>
                <c:manualLayout>
                  <c:x val="1.8709194169427498E-2"/>
                  <c:y val="-0.30346283966558224"/>
                </c:manualLayout>
              </c:layout>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9070-4633-8045-01686197097B}"/>
                </c:ext>
              </c:extLst>
            </c:dLbl>
            <c:dLbl>
              <c:idx val="1"/>
              <c:layout>
                <c:manualLayout>
                  <c:x val="-0.13946853835391501"/>
                  <c:y val="-0.14314284889885956"/>
                </c:manualLayout>
              </c:layout>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9070-4633-8045-01686197097B}"/>
                </c:ext>
              </c:extLst>
            </c:dLbl>
            <c:dLbl>
              <c:idx val="2"/>
              <c:layout>
                <c:manualLayout>
                  <c:x val="-0.1156568366837344"/>
                  <c:y val="0.11737713609706472"/>
                </c:manualLayout>
              </c:layout>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9070-4633-8045-01686197097B}"/>
                </c:ext>
              </c:extLst>
            </c:dLbl>
            <c:dLbl>
              <c:idx val="3"/>
              <c:layout>
                <c:manualLayout>
                  <c:x val="-6.2363260139055947E-17"/>
                  <c:y val="0.27769712686378739"/>
                </c:manualLayout>
              </c:layout>
              <c:spPr/>
              <c:txPr>
                <a:bodyPr wrap="square"/>
                <a:lstStyle/>
                <a:p>
                  <a:pPr>
                    <a:defRPr sz="10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0-4C76-4E2C-BE34-FFF1EEAA1837}"/>
                </c:ext>
              </c:extLst>
            </c:dLbl>
            <c:dLbl>
              <c:idx val="4"/>
              <c:layout>
                <c:manualLayout>
                  <c:x val="8.1675238389900637E-2"/>
                  <c:y val="9.7318741073689805E-2"/>
                </c:manualLayout>
              </c:layout>
              <c:spPr/>
              <c:txPr>
                <a:bodyPr wrap="square"/>
                <a:lstStyle/>
                <a:p>
                  <a:pPr>
                    <a:defRPr sz="10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4C76-4E2C-BE34-FFF1EEAA1837}"/>
                </c:ext>
              </c:extLst>
            </c:dLbl>
            <c:dLbl>
              <c:idx val="5"/>
              <c:layout>
                <c:manualLayout>
                  <c:x val="-1.2472652027811189E-16"/>
                  <c:y val="5.7257139559543764E-2"/>
                </c:manualLayout>
              </c:layout>
              <c:spPr/>
              <c:txPr>
                <a:bodyPr wrap="square"/>
                <a:lstStyle/>
                <a:p>
                  <a:pPr>
                    <a:defRPr sz="1000" b="0" u="none" strike="noStrike">
                      <a:solidFill>
                        <a:srgbClr val="000000"/>
                      </a:solidFill>
                      <a:uFillTx/>
                      <a:latin typeface="Aptos Narrow"/>
                    </a:defRPr>
                  </a:pPr>
                  <a:endParaRPr lang="fr-FR"/>
                </a:p>
              </c:txPr>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2-4C76-4E2C-BE34-FFF1EEAA1837}"/>
                </c:ext>
              </c:extLst>
            </c:dLbl>
            <c:spPr>
              <a:noFill/>
              <a:ln>
                <a:noFill/>
              </a:ln>
              <a:effectLst/>
            </c:spPr>
            <c:txPr>
              <a:bodyPr wrap="square"/>
              <a:lstStyle/>
              <a:p>
                <a:pPr>
                  <a:defRPr sz="1000" b="0" u="none" strike="noStrike">
                    <a:solidFill>
                      <a:srgbClr val="000000"/>
                    </a:solidFill>
                    <a:uFillTx/>
                    <a:latin typeface="Aptos Narrow"/>
                  </a:defRPr>
                </a:pPr>
                <a:endParaRPr lang="fr-FR"/>
              </a:p>
            </c:txP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0">
                      <a:solidFill>
                        <a:srgbClr val="000000"/>
                      </a:solidFill>
                    </a:ln>
                  </c:spPr>
                </c15:leaderLines>
              </c:ext>
            </c:extLst>
          </c:dLbls>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Audit'!$G$12:$G$17</c:f>
              <c:numCache>
                <c:formatCode>0</c:formatCode>
                <c:ptCount val="6"/>
                <c:pt idx="0">
                  <c:v>6.5584848484848486</c:v>
                </c:pt>
                <c:pt idx="1">
                  <c:v>14.383333333333333</c:v>
                </c:pt>
                <c:pt idx="2">
                  <c:v>66.497916666666669</c:v>
                </c:pt>
                <c:pt idx="3">
                  <c:v>9.4333333333333336</c:v>
                </c:pt>
                <c:pt idx="4">
                  <c:v>110.69285714285715</c:v>
                </c:pt>
                <c:pt idx="5">
                  <c:v>336.66666666666663</c:v>
                </c:pt>
              </c:numCache>
            </c:numRef>
          </c:val>
          <c:extLst>
            <c:ext xmlns:c16="http://schemas.microsoft.com/office/drawing/2014/chart" uri="{C3380CC4-5D6E-409C-BE32-E72D297353CC}">
              <c16:uniqueId val="{00000003-4C76-4E2C-BE34-FFF1EEAA1837}"/>
            </c:ext>
          </c:extLst>
        </c:ser>
        <c:ser>
          <c:idx val="1"/>
          <c:order val="1"/>
          <c:tx>
            <c:strRef>
              <c:f>'Dashboard Audit'!$H$11</c:f>
              <c:strCache>
                <c:ptCount val="1"/>
                <c:pt idx="0">
                  <c:v>Seuil résilience</c:v>
                </c:pt>
              </c:strCache>
            </c:strRef>
          </c:tx>
          <c:spPr>
            <a:ln w="28440" cap="rnd">
              <a:solidFill>
                <a:srgbClr val="92D050">
                  <a:alpha val="56000"/>
                </a:srgbClr>
              </a:solidFill>
              <a:prstDash val="dash"/>
              <a:round/>
            </a:ln>
            <a:effectLst>
              <a:glow rad="127000">
                <a:schemeClr val="bg1"/>
              </a:glow>
              <a:outerShdw blurRad="50800" dist="50800" dir="6000000" algn="ctr" rotWithShape="0">
                <a:schemeClr val="bg1"/>
              </a:outerShdw>
            </a:effectLst>
          </c:spPr>
          <c:marker>
            <c:spPr>
              <a:solidFill>
                <a:srgbClr val="92D050">
                  <a:alpha val="39000"/>
                </a:srgbClr>
              </a:solidFill>
              <a:ln>
                <a:solidFill>
                  <a:srgbClr val="92D050">
                    <a:alpha val="41000"/>
                  </a:srgbClr>
                </a:solidFill>
              </a:ln>
              <a:effectLst>
                <a:glow rad="127000">
                  <a:schemeClr val="bg1"/>
                </a:glow>
                <a:outerShdw blurRad="50800" dist="50800" dir="6000000" algn="ctr" rotWithShape="0">
                  <a:schemeClr val="bg1"/>
                </a:outerShdw>
              </a:effectLst>
            </c:spPr>
          </c:marker>
          <c:dLbls>
            <c:spPr>
              <a:noFill/>
              <a:ln>
                <a:noFill/>
              </a:ln>
              <a:effectLst/>
            </c:spPr>
            <c:txPr>
              <a:bodyPr wrap="square"/>
              <a:lstStyle/>
              <a:p>
                <a:pPr>
                  <a:defRPr sz="1000" b="0" u="none" strike="noStrike">
                    <a:solidFill>
                      <a:srgbClr val="000000"/>
                    </a:solidFill>
                    <a:uFillTx/>
                    <a:latin typeface="Aptos Narrow"/>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440">
                      <a:solidFill>
                        <a:srgbClr val="000000"/>
                      </a:solidFill>
                    </a:ln>
                  </c:spPr>
                </c15:leaderLines>
              </c:ext>
            </c:extLst>
          </c:dLbls>
          <c:cat>
            <c:strRef>
              <c:f>'Dashboard Audit'!$B$12:$B$17</c:f>
              <c:strCache>
                <c:ptCount val="6"/>
                <c:pt idx="0">
                  <c:v>Technique &amp; production</c:v>
                </c:pt>
                <c:pt idx="1">
                  <c:v>Organisation &amp; données</c:v>
                </c:pt>
                <c:pt idx="2">
                  <c:v>RH &amp; sécurité</c:v>
                </c:pt>
                <c:pt idx="3">
                  <c:v>Risques externes</c:v>
                </c:pt>
                <c:pt idx="4">
                  <c:v>Fournisseurs</c:v>
                </c:pt>
                <c:pt idx="5">
                  <c:v>Activité &amp; marché</c:v>
                </c:pt>
              </c:strCache>
            </c:strRef>
          </c:cat>
          <c:val>
            <c:numRef>
              <c:f>'Dashboard Audit'!$H$12:$H$17</c:f>
              <c:numCache>
                <c:formatCode>0</c:formatCode>
                <c:ptCount val="6"/>
                <c:pt idx="0">
                  <c:v>70</c:v>
                </c:pt>
                <c:pt idx="1">
                  <c:v>70</c:v>
                </c:pt>
                <c:pt idx="2">
                  <c:v>70</c:v>
                </c:pt>
                <c:pt idx="3">
                  <c:v>70</c:v>
                </c:pt>
                <c:pt idx="4">
                  <c:v>70</c:v>
                </c:pt>
                <c:pt idx="5">
                  <c:v>70</c:v>
                </c:pt>
              </c:numCache>
            </c:numRef>
          </c:val>
          <c:extLst>
            <c:ext xmlns:c16="http://schemas.microsoft.com/office/drawing/2014/chart" uri="{C3380CC4-5D6E-409C-BE32-E72D297353CC}">
              <c16:uniqueId val="{00000004-4C76-4E2C-BE34-FFF1EEAA1837}"/>
            </c:ext>
          </c:extLst>
        </c:ser>
        <c:dLbls>
          <c:showLegendKey val="0"/>
          <c:showVal val="0"/>
          <c:showCatName val="0"/>
          <c:showSerName val="0"/>
          <c:showPercent val="0"/>
          <c:showBubbleSize val="0"/>
        </c:dLbls>
        <c:axId val="70153007"/>
        <c:axId val="73790720"/>
      </c:radarChart>
      <c:catAx>
        <c:axId val="70153007"/>
        <c:scaling>
          <c:orientation val="maxMin"/>
        </c:scaling>
        <c:delete val="0"/>
        <c:axPos val="b"/>
        <c:numFmt formatCode="General" sourceLinked="0"/>
        <c:majorTickMark val="none"/>
        <c:minorTickMark val="none"/>
        <c:tickLblPos val="nextTo"/>
        <c:spPr>
          <a:ln w="9360">
            <a:noFill/>
          </a:ln>
        </c:spPr>
        <c:txPr>
          <a:bodyPr/>
          <a:lstStyle/>
          <a:p>
            <a:pPr>
              <a:defRPr lang="en-US" sz="900" b="0" u="none" strike="noStrike">
                <a:solidFill>
                  <a:srgbClr val="000000"/>
                </a:solidFill>
                <a:uFillTx/>
                <a:latin typeface="Aptos Narrow"/>
              </a:defRPr>
            </a:pPr>
            <a:endParaRPr lang="fr-FR"/>
          </a:p>
        </c:txPr>
        <c:crossAx val="73790720"/>
        <c:crosses val="autoZero"/>
        <c:auto val="1"/>
        <c:lblAlgn val="ctr"/>
        <c:lblOffset val="100"/>
        <c:noMultiLvlLbl val="0"/>
      </c:catAx>
      <c:valAx>
        <c:axId val="73790720"/>
        <c:scaling>
          <c:orientation val="minMax"/>
          <c:max val="350"/>
          <c:min val="0"/>
        </c:scaling>
        <c:delete val="0"/>
        <c:axPos val="l"/>
        <c:majorGridlines>
          <c:spPr>
            <a:ln w="9360">
              <a:solidFill>
                <a:srgbClr val="D9D9D9"/>
              </a:solidFill>
              <a:round/>
            </a:ln>
          </c:spPr>
        </c:majorGridlines>
        <c:numFmt formatCode="0" sourceLinked="0"/>
        <c:majorTickMark val="none"/>
        <c:minorTickMark val="none"/>
        <c:tickLblPos val="nextTo"/>
        <c:spPr>
          <a:ln w="12600">
            <a:noFill/>
          </a:ln>
        </c:spPr>
        <c:txPr>
          <a:bodyPr/>
          <a:lstStyle/>
          <a:p>
            <a:pPr>
              <a:defRPr lang="en-US" sz="900" b="0" u="none" strike="noStrike">
                <a:solidFill>
                  <a:srgbClr val="000000"/>
                </a:solidFill>
                <a:uFillTx/>
                <a:latin typeface="Aptos Narrow"/>
              </a:defRPr>
            </a:pPr>
            <a:endParaRPr lang="fr-FR"/>
          </a:p>
        </c:txPr>
        <c:crossAx val="70153007"/>
        <c:crosses val="autoZero"/>
        <c:crossBetween val="midCat"/>
        <c:majorUnit val="40"/>
      </c:valAx>
      <c:spPr>
        <a:noFill/>
        <a:ln w="0">
          <a:noFill/>
        </a:ln>
      </c:spPr>
    </c:plotArea>
    <c:legend>
      <c:legendPos val="t"/>
      <c:layout>
        <c:manualLayout>
          <c:xMode val="edge"/>
          <c:yMode val="edge"/>
          <c:x val="3.2824834661893502E-2"/>
          <c:y val="8.4397424306355356E-2"/>
          <c:w val="0.2164345225118707"/>
          <c:h val="0.12321211630538202"/>
        </c:manualLayout>
      </c:layout>
      <c:overlay val="0"/>
      <c:spPr>
        <a:noFill/>
        <a:ln w="0">
          <a:noFill/>
        </a:ln>
      </c:spPr>
      <c:txPr>
        <a:bodyPr/>
        <a:lstStyle/>
        <a:p>
          <a:pPr>
            <a:defRPr lang="en-US" sz="900" b="0" u="none" strike="noStrike">
              <a:solidFill>
                <a:srgbClr val="000000"/>
              </a:solidFill>
              <a:uFillTx/>
              <a:latin typeface="Aptos Narrow"/>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84710</xdr:colOff>
      <xdr:row>25</xdr:row>
      <xdr:rowOff>29153</xdr:rowOff>
    </xdr:from>
    <xdr:to>
      <xdr:col>6</xdr:col>
      <xdr:colOff>842000</xdr:colOff>
      <xdr:row>46</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1251411</xdr:colOff>
      <xdr:row>25</xdr:row>
      <xdr:rowOff>1642</xdr:rowOff>
    </xdr:from>
    <xdr:to>
      <xdr:col>12</xdr:col>
      <xdr:colOff>701841</xdr:colOff>
      <xdr:row>46</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136327</xdr:colOff>
      <xdr:row>48</xdr:row>
      <xdr:rowOff>31210</xdr:rowOff>
    </xdr:from>
    <xdr:to>
      <xdr:col>6</xdr:col>
      <xdr:colOff>857527</xdr:colOff>
      <xdr:row>74</xdr:row>
      <xdr:rowOff>97044</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85" zoomScaleNormal="85" workbookViewId="0">
      <pane xSplit="1" ySplit="10" topLeftCell="B11" activePane="bottomRight" state="frozen"/>
      <selection pane="topRight" activeCell="B1" sqref="B1"/>
      <selection pane="bottomLeft" activeCell="A15" sqref="A15"/>
      <selection pane="bottomRight" activeCell="B2" sqref="B2:I3"/>
    </sheetView>
  </sheetViews>
  <sheetFormatPr baseColWidth="10" defaultColWidth="8.88671875" defaultRowHeight="14.25" customHeight="1" x14ac:dyDescent="0.3"/>
  <cols>
    <col min="1" max="1" width="3" customWidth="1"/>
    <col min="2" max="2" width="28" customWidth="1"/>
    <col min="3" max="3" width="16" customWidth="1"/>
    <col min="4" max="6" width="18" customWidth="1"/>
    <col min="7" max="7" width="20.33203125" customWidth="1"/>
    <col min="8" max="8" width="22" customWidth="1"/>
    <col min="9" max="9" width="18.77734375" customWidth="1"/>
    <col min="10" max="10" width="4" customWidth="1"/>
    <col min="11" max="11" width="28" customWidth="1"/>
    <col min="12" max="14" width="16" customWidth="1"/>
  </cols>
  <sheetData>
    <row r="2" spans="2:9" ht="14.4" x14ac:dyDescent="0.3">
      <c r="B2" s="122" t="s">
        <v>0</v>
      </c>
      <c r="C2" s="122"/>
      <c r="D2" s="122"/>
      <c r="E2" s="122"/>
      <c r="F2" s="122"/>
      <c r="G2" s="122"/>
      <c r="H2" s="122"/>
      <c r="I2" s="122"/>
    </row>
    <row r="3" spans="2:9" ht="14.4" x14ac:dyDescent="0.3">
      <c r="B3" s="122"/>
      <c r="C3" s="122"/>
      <c r="D3" s="122"/>
      <c r="E3" s="122"/>
      <c r="F3" s="122"/>
      <c r="G3" s="122"/>
      <c r="H3" s="122"/>
      <c r="I3" s="122"/>
    </row>
    <row r="5" spans="2:9" ht="22.2" customHeight="1" x14ac:dyDescent="0.3">
      <c r="B5" s="177" t="s">
        <v>1</v>
      </c>
      <c r="C5" s="175" t="str">
        <f>'Critères de résilience'!D2</f>
        <v>RAJA</v>
      </c>
      <c r="E5" s="177" t="s">
        <v>2</v>
      </c>
      <c r="F5" s="175" t="str">
        <f>'Critères de résilience'!K2</f>
        <v>Packaging</v>
      </c>
    </row>
    <row r="6" spans="2:9" ht="34.799999999999997" customHeight="1" x14ac:dyDescent="0.3">
      <c r="B6" s="177" t="s">
        <v>3</v>
      </c>
      <c r="C6" s="175" t="str">
        <f>'Critères de résilience'!R2</f>
        <v>SDC - VD0993480A Simulation</v>
      </c>
      <c r="E6" s="177" t="s">
        <v>4</v>
      </c>
      <c r="F6" s="175"/>
    </row>
    <row r="7" spans="2:9" ht="14.4" x14ac:dyDescent="0.3">
      <c r="B7" s="177" t="s">
        <v>358</v>
      </c>
      <c r="C7" s="175"/>
    </row>
    <row r="8" spans="2:9" ht="14.25" customHeight="1" x14ac:dyDescent="0.3">
      <c r="B8" s="177" t="s">
        <v>357</v>
      </c>
      <c r="C8" s="176"/>
    </row>
    <row r="11" spans="2:9" ht="30" customHeight="1" x14ac:dyDescent="0.3">
      <c r="B11" s="1" t="s">
        <v>5</v>
      </c>
      <c r="C11" s="1" t="s">
        <v>6</v>
      </c>
      <c r="D11" s="1" t="s">
        <v>7</v>
      </c>
      <c r="E11" s="1" t="s">
        <v>8</v>
      </c>
      <c r="F11" s="1" t="s">
        <v>9</v>
      </c>
      <c r="G11" s="1" t="s">
        <v>10</v>
      </c>
      <c r="H11" s="1" t="s">
        <v>11</v>
      </c>
      <c r="I11" s="1" t="s">
        <v>12</v>
      </c>
    </row>
    <row r="12" spans="2:9" ht="14.4" x14ac:dyDescent="0.3">
      <c r="B12" s="2" t="s">
        <v>13</v>
      </c>
      <c r="C12" s="3">
        <f>AVERAGE('Critères de résilience'!F31,'Critères de résilience'!F32,'Critères de résilience'!F33,'Critères de résilience'!F36,'Critères de résilience'!F37,'Critères de résilience'!F38)</f>
        <v>0.86838383838383837</v>
      </c>
      <c r="D12" s="3">
        <v>0.75</v>
      </c>
      <c r="E12" s="4">
        <f>AVERAGE('Critères de résilience'!G31,'Critères de résilience'!G32,'Critères de résilience'!G33,'Critères de résilience'!G36,'Critères de résilience'!G37,'Critères de résilience'!G38)</f>
        <v>2.3861111111111115</v>
      </c>
      <c r="F12" s="4">
        <v>15</v>
      </c>
      <c r="G12" s="5">
        <f>AVERAGE('Critères de résilience'!H31,'Critères de résilience'!H32,'Critères de résilience'!H33,'Critères de résilience'!H36,'Critères de résilience'!H37,'Critères de résilience'!H38)</f>
        <v>6.5584848484848486</v>
      </c>
      <c r="H12" s="5">
        <v>70</v>
      </c>
      <c r="I12" s="5">
        <f t="shared" ref="I12:I18" si="0">MIN(100,E12*0.4+MIN(G12/30,100)*0.4+(100-C12)*0.2)</f>
        <v>20.868214141414143</v>
      </c>
    </row>
    <row r="13" spans="2:9" ht="14.4" x14ac:dyDescent="0.3">
      <c r="B13" s="2" t="s">
        <v>14</v>
      </c>
      <c r="C13" s="3">
        <f>AVERAGE('Critères de résilience'!F35,'Critères de résilience'!F39,'Critères de résilience'!F49,'Critères de résilience'!F57)</f>
        <v>0.69131782945736431</v>
      </c>
      <c r="D13" s="3">
        <v>0.75</v>
      </c>
      <c r="E13" s="4">
        <f>AVERAGE('Critères de résilience'!G35,'Critères de résilience'!G39,'Critères de résilience'!G49,'Critères de résilience'!G57)</f>
        <v>14.183333333333334</v>
      </c>
      <c r="F13" s="4">
        <v>15</v>
      </c>
      <c r="G13" s="5">
        <f>AVERAGE('Critères de résilience'!H35,'Critères de résilience'!H39,'Critères de résilience'!H49,'Critères de résilience'!H57)</f>
        <v>14.383333333333333</v>
      </c>
      <c r="H13" s="5">
        <v>70</v>
      </c>
      <c r="I13" s="5">
        <f t="shared" si="0"/>
        <v>25.726847545219641</v>
      </c>
    </row>
    <row r="14" spans="2:9" ht="14.4" x14ac:dyDescent="0.3">
      <c r="B14" s="2" t="s">
        <v>15</v>
      </c>
      <c r="C14" s="3">
        <f>AVERAGE('Critères de résilience'!F34,'Critères de résilience'!F40,'Critères de résilience'!F41,'Critères de résilience'!F42,'Critères de résilience'!F43,'Critères de résilience'!F44,'Critères de résilience'!F45,'Critères de résilience'!F46)</f>
        <v>0.7336111111111111</v>
      </c>
      <c r="D14" s="3">
        <v>0.75</v>
      </c>
      <c r="E14" s="4">
        <f>AVERAGE('Critères de résilience'!G34,'Critères de résilience'!G40,'Critères de résilience'!G41,'Critères de résilience'!G42,'Critères de résilience'!G43,'Critères de résilience'!G44,'Critères de résilience'!G45,'Critères de résilience'!G46)</f>
        <v>3.7270833333333333</v>
      </c>
      <c r="F14" s="4">
        <v>15</v>
      </c>
      <c r="G14" s="5">
        <f>AVERAGE('Critères de résilience'!H34,'Critères de résilience'!H40,'Critères de résilience'!H41,'Critères de résilience'!H42,'Critères de résilience'!H43,'Critères de résilience'!H44,'Critères de résilience'!H45,'Critères de résilience'!H46)</f>
        <v>66.497916666666669</v>
      </c>
      <c r="H14" s="5">
        <v>70</v>
      </c>
      <c r="I14" s="5">
        <f t="shared" si="0"/>
        <v>22.23075</v>
      </c>
    </row>
    <row r="15" spans="2:9" ht="14.4" x14ac:dyDescent="0.3">
      <c r="B15" s="2" t="s">
        <v>16</v>
      </c>
      <c r="C15" s="3">
        <f>AVERAGE('Critères de résilience'!F47,'Critères de résilience'!F48,'Critères de résilience'!F58)</f>
        <v>0.79999999999999993</v>
      </c>
      <c r="D15" s="3">
        <v>0.75</v>
      </c>
      <c r="E15" s="4">
        <f>AVERAGE('Critères de résilience'!G47,'Critères de résilience'!G48,'Critères de résilience'!G58)</f>
        <v>31.388888888888886</v>
      </c>
      <c r="F15" s="4">
        <v>15</v>
      </c>
      <c r="G15" s="5">
        <f>AVERAGE('Critères de résilience'!H47,'Critères de résilience'!H48,'Critères de résilience'!H58)</f>
        <v>9.4333333333333336</v>
      </c>
      <c r="H15" s="5">
        <v>70</v>
      </c>
      <c r="I15" s="5">
        <f t="shared" si="0"/>
        <v>32.521333333333338</v>
      </c>
    </row>
    <row r="16" spans="2:9" ht="14.4" x14ac:dyDescent="0.3">
      <c r="B16" s="2" t="s">
        <v>17</v>
      </c>
      <c r="C16" s="3">
        <f>AVERAGE('Critères de résilience'!F52,'Critères de résilience'!F53,'Critères de résilience'!F54,'Critères de résilience'!F55,'Critères de résilience'!F56)</f>
        <v>0.35399999999999998</v>
      </c>
      <c r="D16" s="3">
        <v>0.75</v>
      </c>
      <c r="E16" s="4">
        <f>AVERAGE('Critères de résilience'!G52,'Critères de résilience'!G53,'Critères de résilience'!G54,'Critères de résilience'!G55,'Critères de résilience'!G56)</f>
        <v>38.669047619047618</v>
      </c>
      <c r="F16" s="4">
        <v>15</v>
      </c>
      <c r="G16" s="5">
        <f>AVERAGE('Critères de résilience'!H52,'Critères de résilience'!H53,'Critères de résilience'!H54,'Critères de résilience'!H55,'Critères de résilience'!H56)</f>
        <v>110.69285714285715</v>
      </c>
      <c r="H16" s="5">
        <v>70</v>
      </c>
      <c r="I16" s="5">
        <f t="shared" si="0"/>
        <v>36.872723809523812</v>
      </c>
    </row>
    <row r="17" spans="2:9" ht="14.4" x14ac:dyDescent="0.3">
      <c r="B17" s="2" t="s">
        <v>18</v>
      </c>
      <c r="C17" s="3">
        <f>AVERAGE('Critères de résilience'!F51)</f>
        <v>0.15</v>
      </c>
      <c r="D17" s="3">
        <v>0.75</v>
      </c>
      <c r="E17" s="4">
        <f>AVERAGE('Critères de résilience'!G51)</f>
        <v>30.4</v>
      </c>
      <c r="F17" s="4">
        <v>15</v>
      </c>
      <c r="G17" s="5">
        <f>AVERAGE('Critères de résilience'!H51)</f>
        <v>336.66666666666663</v>
      </c>
      <c r="H17" s="5">
        <v>70</v>
      </c>
      <c r="I17" s="5">
        <f t="shared" si="0"/>
        <v>36.61888888888889</v>
      </c>
    </row>
    <row r="18" spans="2:9" ht="14.4" x14ac:dyDescent="0.3">
      <c r="B18" s="6" t="s">
        <v>19</v>
      </c>
      <c r="C18" s="7">
        <f>AVERAGE(C12:C17)</f>
        <v>0.59955212982538564</v>
      </c>
      <c r="D18" s="7"/>
      <c r="E18" s="8">
        <f>AVERAGE(E12:E17)</f>
        <v>20.125744047619047</v>
      </c>
      <c r="F18" s="8"/>
      <c r="G18" s="8">
        <f>AVERAGE(G12:G17)</f>
        <v>90.705431998556989</v>
      </c>
      <c r="H18" s="8"/>
      <c r="I18" s="9">
        <f t="shared" si="0"/>
        <v>29.139792953063306</v>
      </c>
    </row>
    <row r="20" spans="2:9" ht="16.350000000000001" customHeight="1" x14ac:dyDescent="0.3">
      <c r="B20" s="120" t="s">
        <v>20</v>
      </c>
      <c r="C20" s="120"/>
      <c r="D20" s="121" t="s">
        <v>21</v>
      </c>
      <c r="E20" s="121"/>
      <c r="F20" s="121"/>
      <c r="G20" s="121"/>
      <c r="H20" s="121"/>
      <c r="I20" s="121"/>
    </row>
    <row r="21" spans="2:9" ht="16.350000000000001" customHeight="1" x14ac:dyDescent="0.3">
      <c r="B21" s="120" t="s">
        <v>22</v>
      </c>
      <c r="C21" s="120"/>
      <c r="D21" s="121" t="s">
        <v>23</v>
      </c>
      <c r="E21" s="121"/>
      <c r="F21" s="121"/>
      <c r="G21" s="121"/>
      <c r="H21" s="121"/>
      <c r="I21" s="121"/>
    </row>
    <row r="22" spans="2:9" ht="16.350000000000001" customHeight="1" x14ac:dyDescent="0.3">
      <c r="B22" s="120" t="s">
        <v>24</v>
      </c>
      <c r="C22" s="120"/>
      <c r="D22" s="121" t="s">
        <v>25</v>
      </c>
      <c r="E22" s="121"/>
      <c r="F22" s="121"/>
      <c r="G22" s="121"/>
      <c r="H22" s="121"/>
      <c r="I22" s="121"/>
    </row>
    <row r="23" spans="2:9" ht="16.350000000000001" customHeight="1" x14ac:dyDescent="0.3">
      <c r="B23" s="120" t="s">
        <v>26</v>
      </c>
      <c r="C23" s="120"/>
      <c r="D23" s="121" t="s">
        <v>27</v>
      </c>
      <c r="E23" s="121"/>
      <c r="F23" s="121"/>
      <c r="G23" s="121"/>
      <c r="H23" s="121"/>
      <c r="I23" s="121"/>
    </row>
  </sheetData>
  <mergeCells count="9">
    <mergeCell ref="B22:C22"/>
    <mergeCell ref="D22:I22"/>
    <mergeCell ref="B23:C23"/>
    <mergeCell ref="D23:I23"/>
    <mergeCell ref="B2:I3"/>
    <mergeCell ref="B20:C20"/>
    <mergeCell ref="D20:I20"/>
    <mergeCell ref="B21:C21"/>
    <mergeCell ref="D21:I2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32"/>
  <sheetViews>
    <sheetView zoomScaleNormal="100" workbookViewId="0">
      <selection activeCell="L17" sqref="L17"/>
    </sheetView>
  </sheetViews>
  <sheetFormatPr baseColWidth="10" defaultColWidth="10.5546875" defaultRowHeight="14.25" customHeight="1" x14ac:dyDescent="0.3"/>
  <cols>
    <col min="2" max="2" width="51" customWidth="1"/>
    <col min="5" max="5" width="16.88671875" customWidth="1"/>
    <col min="8" max="8" width="21.88671875" customWidth="1"/>
    <col min="10" max="10" width="12" customWidth="1"/>
    <col min="11" max="11" width="16.109375" customWidth="1"/>
    <col min="12" max="12" width="12" customWidth="1"/>
  </cols>
  <sheetData>
    <row r="1" spans="2:12" ht="15" customHeight="1" x14ac:dyDescent="0.3"/>
    <row r="2" spans="2:12" ht="15" customHeight="1" x14ac:dyDescent="0.3">
      <c r="B2" s="10">
        <f>'Critères de résilience'!C30</f>
        <v>0</v>
      </c>
      <c r="C2" s="11" t="str">
        <f>'Critères de résilience'!F30</f>
        <v>% maturité</v>
      </c>
      <c r="D2" s="11" t="str">
        <f>'Critères de résilience'!G30</f>
        <v>Criticité</v>
      </c>
      <c r="E2" s="12" t="str">
        <f>'Critères de résilience'!H30</f>
        <v>R (client) en jours</v>
      </c>
      <c r="H2" s="10" t="str">
        <f>'Dashboard Audit'!B11</f>
        <v>Famille</v>
      </c>
      <c r="I2" s="11" t="str">
        <f>'Dashboard Audit'!C11</f>
        <v>Maturité %</v>
      </c>
      <c r="J2" s="11" t="str">
        <f>'Dashboard Audit'!E11</f>
        <v>Criticité /100</v>
      </c>
      <c r="K2" s="11" t="str">
        <f>'Dashboard Audit'!G11</f>
        <v>Résilience (semaine)</v>
      </c>
      <c r="L2" s="12" t="str">
        <f>'Dashboard Audit'!I11</f>
        <v>Priorité /100</v>
      </c>
    </row>
    <row r="3" spans="2:12" ht="14.25" customHeight="1" x14ac:dyDescent="0.3">
      <c r="B3" s="13" t="str">
        <f>'Critères de résilience'!C31</f>
        <v>Propreté des lieux</v>
      </c>
      <c r="C3" s="14">
        <f>'Critères de résilience'!F31</f>
        <v>1</v>
      </c>
      <c r="D3" s="15">
        <f>'Critères de résilience'!G31</f>
        <v>1</v>
      </c>
      <c r="E3" s="16">
        <f>'Critères de résilience'!H31</f>
        <v>0</v>
      </c>
      <c r="H3" s="13" t="str">
        <f>'Dashboard Audit'!B12</f>
        <v>Technique &amp; production</v>
      </c>
      <c r="I3" s="14">
        <f>'Dashboard Audit'!C12</f>
        <v>0.86838383838383837</v>
      </c>
      <c r="J3" s="17">
        <f>'Dashboard Audit'!E12</f>
        <v>2.3861111111111115</v>
      </c>
      <c r="K3" s="18">
        <f>'Dashboard Audit'!G12</f>
        <v>6.5584848484848486</v>
      </c>
      <c r="L3" s="16">
        <f>'Dashboard Audit'!I12</f>
        <v>20.868214141414143</v>
      </c>
    </row>
    <row r="4" spans="2:12" ht="14.25" customHeight="1" x14ac:dyDescent="0.3">
      <c r="B4" s="13" t="str">
        <f>'Critères de résilience'!C32</f>
        <v>Outillage / Qualité</v>
      </c>
      <c r="C4" s="14">
        <f>'Critères de résilience'!F32</f>
        <v>0.96363636363636362</v>
      </c>
      <c r="D4" s="15">
        <f>'Critères de résilience'!G32</f>
        <v>4.166666666666667</v>
      </c>
      <c r="E4" s="16">
        <f>'Critères de résilience'!H32</f>
        <v>2.46</v>
      </c>
      <c r="H4" s="13" t="str">
        <f>'Dashboard Audit'!B13</f>
        <v>Organisation &amp; données</v>
      </c>
      <c r="I4" s="14">
        <f>'Dashboard Audit'!C13</f>
        <v>0.69131782945736431</v>
      </c>
      <c r="J4" s="17">
        <f>'Dashboard Audit'!E13</f>
        <v>14.183333333333334</v>
      </c>
      <c r="K4" s="18">
        <f>'Dashboard Audit'!G13</f>
        <v>14.383333333333333</v>
      </c>
      <c r="L4" s="16">
        <f>'Dashboard Audit'!I13</f>
        <v>25.726847545219641</v>
      </c>
    </row>
    <row r="5" spans="2:12" ht="14.4" x14ac:dyDescent="0.3">
      <c r="B5" s="13" t="str">
        <f>'Critères de résilience'!C33</f>
        <v>Atelier</v>
      </c>
      <c r="C5" s="14">
        <f>'Critères de résilience'!F33</f>
        <v>0.76666666666666672</v>
      </c>
      <c r="D5" s="15">
        <f>'Critères de résilience'!G33</f>
        <v>7</v>
      </c>
      <c r="E5" s="16">
        <f>'Critères de résilience'!H33</f>
        <v>36.090909090909093</v>
      </c>
      <c r="H5" s="13" t="str">
        <f>'Dashboard Audit'!B14</f>
        <v>RH &amp; sécurité</v>
      </c>
      <c r="I5" s="14">
        <f>'Dashboard Audit'!C14</f>
        <v>0.7336111111111111</v>
      </c>
      <c r="J5" s="17">
        <f>'Dashboard Audit'!E14</f>
        <v>3.7270833333333333</v>
      </c>
      <c r="K5" s="18">
        <f>'Dashboard Audit'!G14</f>
        <v>66.497916666666669</v>
      </c>
      <c r="L5" s="16">
        <f>'Dashboard Audit'!I14</f>
        <v>22.23075</v>
      </c>
    </row>
    <row r="6" spans="2:12" ht="14.4" x14ac:dyDescent="0.3">
      <c r="B6" s="13" t="str">
        <f>'Critères de résilience'!C34</f>
        <v>Sûreté</v>
      </c>
      <c r="C6" s="14">
        <f>'Critères de résilience'!F34</f>
        <v>0.88888888888888884</v>
      </c>
      <c r="D6" s="15">
        <f>'Critères de résilience'!G34</f>
        <v>3.5</v>
      </c>
      <c r="E6" s="16">
        <f>'Critères de résilience'!H34</f>
        <v>0.25</v>
      </c>
      <c r="H6" s="13" t="str">
        <f>'Dashboard Audit'!B15</f>
        <v>Risques externes</v>
      </c>
      <c r="I6" s="14">
        <f>'Dashboard Audit'!C15</f>
        <v>0.79999999999999993</v>
      </c>
      <c r="J6" s="18">
        <f>'Dashboard Audit'!E15</f>
        <v>31.388888888888886</v>
      </c>
      <c r="K6" s="18">
        <f>'Dashboard Audit'!G15</f>
        <v>9.4333333333333336</v>
      </c>
      <c r="L6" s="16">
        <f>'Dashboard Audit'!I15</f>
        <v>32.521333333333338</v>
      </c>
    </row>
    <row r="7" spans="2:12" ht="14.25" customHeight="1" x14ac:dyDescent="0.3">
      <c r="B7" s="13" t="str">
        <f>'Critères de résilience'!C35</f>
        <v>Conservation des données</v>
      </c>
      <c r="C7" s="14">
        <f>'Critères de résilience'!F35</f>
        <v>0.41860465116279072</v>
      </c>
      <c r="D7" s="15">
        <f>'Critères de résilience'!G35</f>
        <v>7.333333333333333</v>
      </c>
      <c r="E7" s="16">
        <f>'Critères de résilience'!H35</f>
        <v>42.4</v>
      </c>
      <c r="H7" s="13" t="str">
        <f>'Dashboard Audit'!B16</f>
        <v>Fournisseurs</v>
      </c>
      <c r="I7" s="14">
        <f>'Dashboard Audit'!C16</f>
        <v>0.35399999999999998</v>
      </c>
      <c r="J7" s="17">
        <f>'Dashboard Audit'!E16</f>
        <v>38.669047619047618</v>
      </c>
      <c r="K7" s="18">
        <f>'Dashboard Audit'!G16</f>
        <v>110.69285714285715</v>
      </c>
      <c r="L7" s="16">
        <f>'Dashboard Audit'!I16</f>
        <v>36.872723809523812</v>
      </c>
    </row>
    <row r="8" spans="2:12" ht="14.4" x14ac:dyDescent="0.3">
      <c r="B8" s="13" t="str">
        <f>'Critères de résilience'!C36</f>
        <v>Maintenance</v>
      </c>
      <c r="C8" s="14">
        <f>'Critères de résilience'!F36</f>
        <v>1</v>
      </c>
      <c r="D8" s="15">
        <f>'Critères de résilience'!G36</f>
        <v>0</v>
      </c>
      <c r="E8" s="16">
        <f>'Critères de résilience'!H36</f>
        <v>0</v>
      </c>
      <c r="H8" s="13" t="str">
        <f>'Dashboard Audit'!B17</f>
        <v>Activité &amp; marché</v>
      </c>
      <c r="I8" s="14">
        <f>'Dashboard Audit'!C17</f>
        <v>0.15</v>
      </c>
      <c r="J8" s="17">
        <f>'Dashboard Audit'!E17</f>
        <v>30.4</v>
      </c>
      <c r="K8" s="18">
        <f>'Dashboard Audit'!G17</f>
        <v>336.66666666666663</v>
      </c>
      <c r="L8" s="16">
        <f>'Dashboard Audit'!I17</f>
        <v>36.61888888888889</v>
      </c>
    </row>
    <row r="9" spans="2:12" ht="14.25" customHeight="1" x14ac:dyDescent="0.3">
      <c r="B9" s="13" t="str">
        <f>'Critères de résilience'!C37</f>
        <v>Formation maintenance</v>
      </c>
      <c r="C9" s="14">
        <f>'Critères de résilience'!F37</f>
        <v>0.88</v>
      </c>
      <c r="D9" s="15">
        <f>'Critères de résilience'!G37</f>
        <v>0.4</v>
      </c>
      <c r="E9" s="16">
        <f>'Critères de résilience'!H37</f>
        <v>0.8</v>
      </c>
      <c r="H9" s="19" t="str">
        <f>'Dashboard Audit'!B18</f>
        <v>TOTAL / MOYENNE</v>
      </c>
      <c r="I9" s="20">
        <f>'Dashboard Audit'!C18</f>
        <v>0.59955212982538564</v>
      </c>
      <c r="J9" s="21">
        <f>'Dashboard Audit'!E18</f>
        <v>20.125744047619047</v>
      </c>
      <c r="K9" s="21">
        <f>'Dashboard Audit'!G18</f>
        <v>90.705431998556989</v>
      </c>
      <c r="L9" s="22">
        <f>'Dashboard Audit'!I18</f>
        <v>29.139792953063306</v>
      </c>
    </row>
    <row r="10" spans="2:12" ht="14.25" customHeight="1" x14ac:dyDescent="0.3">
      <c r="B10" s="13" t="str">
        <f>'Critères de résilience'!C38</f>
        <v>Disponibilité des pièces détachées pour mes fabrications</v>
      </c>
      <c r="C10" s="14">
        <f>'Critères de résilience'!F38</f>
        <v>0.6</v>
      </c>
      <c r="D10" s="15">
        <f>'Critères de résilience'!G38</f>
        <v>1.75</v>
      </c>
      <c r="E10" s="16">
        <f>'Critères de résilience'!H38</f>
        <v>0</v>
      </c>
    </row>
    <row r="11" spans="2:12" ht="14.25" customHeight="1" x14ac:dyDescent="0.3">
      <c r="B11" s="13" t="str">
        <f>'Critères de résilience'!C39</f>
        <v>Amélioration continue</v>
      </c>
      <c r="C11" s="14">
        <f>'Critères de résilience'!F39</f>
        <v>0.68</v>
      </c>
      <c r="D11" s="15">
        <f>'Critères de résilience'!G39</f>
        <v>14.25</v>
      </c>
      <c r="E11" s="16">
        <f>'Critères de résilience'!H39</f>
        <v>3.1333333333333333</v>
      </c>
    </row>
    <row r="12" spans="2:12" ht="14.25" customHeight="1" x14ac:dyDescent="0.3">
      <c r="B12" s="13" t="str">
        <f>'Critères de résilience'!C40</f>
        <v>Formation des salariés</v>
      </c>
      <c r="C12" s="14">
        <f>'Critères de résilience'!F40</f>
        <v>0.9</v>
      </c>
      <c r="D12" s="15">
        <f>'Critères de résilience'!G40</f>
        <v>1.1666666666666667</v>
      </c>
      <c r="E12" s="16">
        <f>'Critères de résilience'!H40</f>
        <v>3.1333333333333333</v>
      </c>
    </row>
    <row r="13" spans="2:12" ht="14.25" customHeight="1" x14ac:dyDescent="0.3">
      <c r="B13" s="13" t="str">
        <f>'Critères de résilience'!C41</f>
        <v>Connaissance des employés</v>
      </c>
      <c r="C13" s="14">
        <f>'Critères de résilience'!F41</f>
        <v>0.88</v>
      </c>
      <c r="D13" s="15">
        <f>'Critères de résilience'!G41</f>
        <v>14.25</v>
      </c>
      <c r="E13" s="16">
        <f>'Critères de résilience'!H41</f>
        <v>3.6</v>
      </c>
    </row>
    <row r="14" spans="2:12" ht="14.4" x14ac:dyDescent="0.3">
      <c r="B14" s="13" t="str">
        <f>'Critères de résilience'!C42</f>
        <v>Turn-over</v>
      </c>
      <c r="C14" s="14">
        <f>'Critères de résilience'!F42</f>
        <v>1</v>
      </c>
      <c r="D14" s="15">
        <f>'Critères de résilience'!G42</f>
        <v>1</v>
      </c>
      <c r="E14" s="16">
        <f>'Critères de résilience'!H42</f>
        <v>48</v>
      </c>
    </row>
    <row r="15" spans="2:12" ht="14.25" customHeight="1" x14ac:dyDescent="0.3">
      <c r="B15" s="13" t="str">
        <f>'Critères de résilience'!C43</f>
        <v>Accidentologie TG</v>
      </c>
      <c r="C15" s="14">
        <f>'Critères de résilience'!F43</f>
        <v>0.5</v>
      </c>
      <c r="D15" s="15">
        <f>'Critères de résilience'!G43</f>
        <v>1.25</v>
      </c>
      <c r="E15" s="16">
        <f>'Critères de résilience'!H43</f>
        <v>45</v>
      </c>
    </row>
    <row r="16" spans="2:12" ht="14.25" customHeight="1" x14ac:dyDescent="0.3">
      <c r="B16" s="13" t="str">
        <f>'Critères de résilience'!C44</f>
        <v>Accidentologie TF1</v>
      </c>
      <c r="C16" s="14">
        <f>'Critères de résilience'!F44</f>
        <v>0.5</v>
      </c>
      <c r="D16" s="15">
        <f>'Critères de résilience'!G44</f>
        <v>3.75</v>
      </c>
      <c r="E16" s="16">
        <f>'Critères de résilience'!H44</f>
        <v>270</v>
      </c>
    </row>
    <row r="17" spans="2:5" ht="14.25" customHeight="1" x14ac:dyDescent="0.3">
      <c r="B17" s="13" t="str">
        <f>'Critères de résilience'!C45</f>
        <v>Accidentologie TF2</v>
      </c>
      <c r="C17" s="14">
        <f>'Critères de résilience'!F45</f>
        <v>0.2</v>
      </c>
      <c r="D17" s="15">
        <f>'Critères de résilience'!G45</f>
        <v>4.5</v>
      </c>
      <c r="E17" s="16">
        <f>'Critères de résilience'!H45</f>
        <v>162</v>
      </c>
    </row>
    <row r="18" spans="2:5" ht="14.25" customHeight="1" x14ac:dyDescent="0.3">
      <c r="B18" s="13" t="str">
        <f>'Critères de résilience'!C46</f>
        <v>Dossier de recherche de cause accident</v>
      </c>
      <c r="C18" s="14">
        <f>'Critères de résilience'!F46</f>
        <v>1</v>
      </c>
      <c r="D18" s="15">
        <f>'Critères de résilience'!G46</f>
        <v>0.4</v>
      </c>
      <c r="E18" s="16">
        <f>'Critères de résilience'!H46</f>
        <v>0</v>
      </c>
    </row>
    <row r="19" spans="2:5" ht="14.25" customHeight="1" x14ac:dyDescent="0.3">
      <c r="B19" s="13" t="str">
        <f>'Critères de résilience'!C47</f>
        <v>Aléas climatiques</v>
      </c>
      <c r="C19" s="14">
        <f>'Critères de résilience'!F47</f>
        <v>0.4</v>
      </c>
      <c r="D19" s="15">
        <f>'Critères de résilience'!G47</f>
        <v>15.333333333333334</v>
      </c>
      <c r="E19" s="16">
        <f>'Critères de résilience'!H47</f>
        <v>28.3</v>
      </c>
    </row>
    <row r="20" spans="2:5" ht="14.25" customHeight="1" x14ac:dyDescent="0.3">
      <c r="B20" s="13" t="str">
        <f>'Critères de résilience'!C48</f>
        <v>Aléas industriels</v>
      </c>
      <c r="C20" s="14">
        <f>'Critères de résilience'!F48</f>
        <v>1</v>
      </c>
      <c r="D20" s="15">
        <f>'Critères de résilience'!G48</f>
        <v>10</v>
      </c>
      <c r="E20" s="16">
        <f>'Critères de résilience'!H48</f>
        <v>0</v>
      </c>
    </row>
    <row r="21" spans="2:5" ht="14.25" customHeight="1" x14ac:dyDescent="0.3">
      <c r="B21" s="13" t="str">
        <f>'Critères de résilience'!C49</f>
        <v>Communication interne</v>
      </c>
      <c r="C21" s="14">
        <f>'Critères de résilience'!F49</f>
        <v>0.73333333333333328</v>
      </c>
      <c r="D21" s="15">
        <f>'Critères de résilience'!G49</f>
        <v>2.75</v>
      </c>
      <c r="E21" s="16">
        <f>'Critères de résilience'!H49</f>
        <v>12</v>
      </c>
    </row>
    <row r="22" spans="2:5" ht="14.25" customHeight="1" x14ac:dyDescent="0.3">
      <c r="B22" s="13" t="str">
        <f>'Critères de résilience'!C50</f>
        <v>Risques sociaux</v>
      </c>
      <c r="C22" s="14">
        <f>'Critères de résilience'!F50</f>
        <v>1</v>
      </c>
      <c r="D22" s="15">
        <f>'Critères de résilience'!G50</f>
        <v>0</v>
      </c>
      <c r="E22" s="16">
        <f>'Critères de résilience'!H50</f>
        <v>0</v>
      </c>
    </row>
    <row r="23" spans="2:5" ht="14.25" customHeight="1" x14ac:dyDescent="0.3">
      <c r="B23" s="13" t="str">
        <f>'Critères de résilience'!C51</f>
        <v>Diversification du Chiffre d'Affaire</v>
      </c>
      <c r="C23" s="14">
        <f>'Critères de résilience'!F51</f>
        <v>0.15</v>
      </c>
      <c r="D23" s="15">
        <f>'Critères de résilience'!G51</f>
        <v>30.4</v>
      </c>
      <c r="E23" s="16">
        <f>'Critères de résilience'!H51</f>
        <v>336.66666666666663</v>
      </c>
    </row>
    <row r="24" spans="2:5" ht="14.25" customHeight="1" x14ac:dyDescent="0.3">
      <c r="B24" s="13" t="str">
        <f>'Critères de résilience'!C52</f>
        <v>Diversification des fournisseurs</v>
      </c>
      <c r="C24" s="14">
        <f>'Critères de résilience'!F52</f>
        <v>0.16666666666666666</v>
      </c>
      <c r="D24" s="15">
        <f>'Critères de résilience'!G52</f>
        <v>45.25</v>
      </c>
      <c r="E24" s="16">
        <f>'Critères de résilience'!H52</f>
        <v>190.25</v>
      </c>
    </row>
    <row r="25" spans="2:5" ht="14.25" customHeight="1" x14ac:dyDescent="0.3">
      <c r="B25" s="13" t="str">
        <f>'Critères de résilience'!C53</f>
        <v>Audits fournisseurs de rang 1</v>
      </c>
      <c r="C25" s="14">
        <f>'Critères de résilience'!F53</f>
        <v>0.93333333333333335</v>
      </c>
      <c r="D25" s="15">
        <f>'Critères de résilience'!G53</f>
        <v>91.666666666666671</v>
      </c>
      <c r="E25" s="16">
        <f>'Critères de résilience'!H53</f>
        <v>31.5</v>
      </c>
    </row>
    <row r="26" spans="2:5" ht="14.25" customHeight="1" x14ac:dyDescent="0.3">
      <c r="B26" s="13" t="str">
        <f>'Critères de résilience'!C54</f>
        <v>Suivi des fournisseurs de rang 1</v>
      </c>
      <c r="C26" s="14">
        <f>'Critères de résilience'!F54</f>
        <v>0.65</v>
      </c>
      <c r="D26" s="15">
        <f>'Critères de résilience'!G54</f>
        <v>15</v>
      </c>
      <c r="E26" s="16">
        <f>'Critères de résilience'!H54</f>
        <v>11.714285714285714</v>
      </c>
    </row>
    <row r="27" spans="2:5" ht="14.25" customHeight="1" x14ac:dyDescent="0.3">
      <c r="B27" s="13" t="str">
        <f>'Critères de résilience'!C55</f>
        <v>Identification des fournisseurs de rang 2</v>
      </c>
      <c r="C27" s="14">
        <f>'Critères de résilience'!F55</f>
        <v>0</v>
      </c>
      <c r="D27" s="15">
        <f>'Critères de résilience'!G55</f>
        <v>20</v>
      </c>
      <c r="E27" s="16">
        <f>'Critères de résilience'!H55</f>
        <v>200</v>
      </c>
    </row>
    <row r="28" spans="2:5" ht="14.25" customHeight="1" x14ac:dyDescent="0.3">
      <c r="B28" s="13" t="str">
        <f>'Critères de résilience'!C56</f>
        <v>Audits des fournisseurs de rang 2</v>
      </c>
      <c r="C28" s="14">
        <f>'Critères de résilience'!F56</f>
        <v>0.02</v>
      </c>
      <c r="D28" s="15">
        <f>'Critères de résilience'!G56</f>
        <v>21.428571428571427</v>
      </c>
      <c r="E28" s="16">
        <f>'Critères de résilience'!H56</f>
        <v>120</v>
      </c>
    </row>
    <row r="29" spans="2:5" ht="14.25" customHeight="1" x14ac:dyDescent="0.3">
      <c r="B29" s="13" t="str">
        <f>'Critères de résilience'!C57</f>
        <v>Plan de continuité d'activité</v>
      </c>
      <c r="C29" s="14">
        <f>'Critères de résilience'!F57</f>
        <v>0.93333333333333335</v>
      </c>
      <c r="D29" s="15">
        <f>'Critères de résilience'!G57</f>
        <v>32.4</v>
      </c>
      <c r="E29" s="16">
        <f>'Critères de résilience'!H57</f>
        <v>0</v>
      </c>
    </row>
    <row r="30" spans="2:5" ht="15" customHeight="1" x14ac:dyDescent="0.3">
      <c r="B30" s="23" t="str">
        <f>'Critères de résilience'!C58</f>
        <v>Transporteurs</v>
      </c>
      <c r="C30" s="24">
        <f>'Critères de résilience'!F58</f>
        <v>1</v>
      </c>
      <c r="D30" s="25">
        <f>'Critères de résilience'!G58</f>
        <v>68.833333333333329</v>
      </c>
      <c r="E30" s="26">
        <f>'Critères de résilience'!H58</f>
        <v>0</v>
      </c>
    </row>
    <row r="31" spans="2:5" ht="24" customHeight="1" x14ac:dyDescent="0.3">
      <c r="B31" s="10" t="str">
        <f>'Critères de résilience'!C59</f>
        <v>Total de la société auditée</v>
      </c>
      <c r="C31" s="27">
        <f>'Critères de résilience'!F59</f>
        <v>0.68444511560790622</v>
      </c>
      <c r="D31" s="28">
        <f>'Critères de résilience'!G59</f>
        <v>14.956377551020408</v>
      </c>
      <c r="E31" s="29">
        <f>'Critères de résilience'!H59</f>
        <v>1.1512637858173573</v>
      </c>
    </row>
    <row r="32" spans="2:5" ht="15" customHeight="1" x14ac:dyDescent="0.3">
      <c r="B32" s="19">
        <f>'Critères de résilience'!C60</f>
        <v>0</v>
      </c>
      <c r="C32" s="30" t="str">
        <f>'Critères de résilience'!F60</f>
        <v>% maturité</v>
      </c>
      <c r="D32" s="30" t="str">
        <f>'Critères de résilience'!G60</f>
        <v>Criticité</v>
      </c>
      <c r="E32" s="31" t="str">
        <f>'Critères de résilience'!H60</f>
        <v>R (client) en semaine</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10"/>
  <sheetViews>
    <sheetView zoomScaleNormal="100" workbookViewId="0"/>
  </sheetViews>
  <sheetFormatPr baseColWidth="10" defaultColWidth="8.88671875" defaultRowHeight="14.25" customHeight="1" x14ac:dyDescent="0.3"/>
  <cols>
    <col min="2" max="2" width="110" customWidth="1"/>
  </cols>
  <sheetData>
    <row r="2" spans="2:8" ht="14.4" x14ac:dyDescent="0.3">
      <c r="B2" s="123" t="s">
        <v>28</v>
      </c>
      <c r="C2" s="123"/>
      <c r="D2" s="123"/>
      <c r="E2" s="123"/>
      <c r="F2" s="123"/>
      <c r="G2" s="123"/>
      <c r="H2" s="123"/>
    </row>
    <row r="3" spans="2:8" ht="14.4" x14ac:dyDescent="0.3">
      <c r="B3" s="123"/>
      <c r="C3" s="123"/>
      <c r="D3" s="123"/>
      <c r="E3" s="123"/>
      <c r="F3" s="123"/>
      <c r="G3" s="123"/>
      <c r="H3" s="123"/>
    </row>
    <row r="5" spans="2:8" ht="14.4" x14ac:dyDescent="0.3">
      <c r="B5" s="32" t="s">
        <v>29</v>
      </c>
    </row>
    <row r="6" spans="2:8" ht="14.4" x14ac:dyDescent="0.3">
      <c r="B6" s="32" t="s">
        <v>30</v>
      </c>
    </row>
    <row r="7" spans="2:8" ht="14.4" x14ac:dyDescent="0.3">
      <c r="B7" s="32" t="s">
        <v>31</v>
      </c>
    </row>
    <row r="8" spans="2:8" ht="14.4" x14ac:dyDescent="0.3">
      <c r="B8" s="32" t="s">
        <v>32</v>
      </c>
    </row>
    <row r="9" spans="2:8" ht="14.4" x14ac:dyDescent="0.3">
      <c r="B9" s="32" t="s">
        <v>33</v>
      </c>
    </row>
    <row r="10" spans="2:8" ht="14.4" x14ac:dyDescent="0.3">
      <c r="B10" s="32" t="s">
        <v>34</v>
      </c>
    </row>
  </sheetData>
  <mergeCells count="1">
    <mergeCell ref="B2:H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GP104"/>
  <sheetViews>
    <sheetView zoomScale="70" zoomScaleNormal="70" workbookViewId="0">
      <selection activeCell="C10" sqref="C10"/>
    </sheetView>
  </sheetViews>
  <sheetFormatPr baseColWidth="10" defaultColWidth="15.5546875" defaultRowHeight="14.25" customHeight="1" x14ac:dyDescent="0.3"/>
  <cols>
    <col min="1" max="2" width="15.5546875" style="33"/>
    <col min="3" max="3" width="29" style="33" customWidth="1"/>
    <col min="4" max="5" width="6.6640625" style="33" customWidth="1"/>
    <col min="6" max="6" width="9.5546875" style="33" customWidth="1"/>
    <col min="7" max="7" width="10.44140625" style="33" customWidth="1"/>
    <col min="8" max="8" width="15.21875" style="33" customWidth="1"/>
    <col min="9" max="9" width="6.6640625" style="33" customWidth="1"/>
    <col min="10" max="10" width="32.109375" style="33" customWidth="1"/>
    <col min="11" max="14" width="6.6640625" style="33" customWidth="1"/>
    <col min="15" max="15" width="10.44140625" style="33" customWidth="1"/>
    <col min="16" max="16" width="12.6640625" style="33" customWidth="1"/>
    <col min="17" max="17" width="71.109375" style="33" customWidth="1"/>
    <col min="18" max="20" width="6.6640625" style="33" customWidth="1"/>
    <col min="21" max="22" width="10.6640625" style="33" customWidth="1"/>
    <col min="23" max="23" width="10" style="33" customWidth="1"/>
    <col min="24" max="24" width="31.44140625" style="33" customWidth="1"/>
    <col min="25" max="30" width="6.6640625" style="33" customWidth="1"/>
    <col min="31" max="31" width="29.44140625" style="33" customWidth="1"/>
    <col min="32" max="37" width="6.6640625" style="33" customWidth="1"/>
    <col min="38" max="38" width="31.33203125" style="33" customWidth="1"/>
    <col min="39" max="44" width="6.6640625" style="33" customWidth="1"/>
    <col min="45" max="45" width="27.88671875" style="33" customWidth="1"/>
    <col min="46" max="50" width="6.6640625" style="33" customWidth="1"/>
    <col min="51" max="51" width="8.6640625" style="33" customWidth="1"/>
    <col min="52" max="52" width="42.6640625" style="33" customWidth="1"/>
    <col min="53" max="58" width="6.6640625" style="33" customWidth="1"/>
    <col min="59" max="59" width="38.88671875" style="33" customWidth="1"/>
    <col min="60" max="64" width="6.6640625" style="33" customWidth="1"/>
    <col min="65" max="65" width="8.33203125" style="33" customWidth="1"/>
    <col min="66" max="66" width="31.5546875" style="33" customWidth="1"/>
    <col min="67" max="72" width="6.6640625" style="33" customWidth="1"/>
    <col min="73" max="73" width="35.44140625" style="33" customWidth="1"/>
    <col min="74" max="79" width="6.6640625" style="33" customWidth="1"/>
    <col min="80" max="80" width="26.109375" style="33" customWidth="1"/>
    <col min="81" max="86" width="6.6640625" style="33" customWidth="1"/>
    <col min="87" max="87" width="28.44140625" style="33" customWidth="1"/>
    <col min="88" max="93" width="6.6640625" style="33" customWidth="1"/>
    <col min="94" max="94" width="33" style="33" customWidth="1"/>
    <col min="95" max="100" width="6.6640625" style="33" customWidth="1"/>
    <col min="101" max="101" width="29.5546875" style="33" customWidth="1"/>
    <col min="102" max="107" width="6.6640625" style="33" customWidth="1"/>
    <col min="108" max="108" width="32.33203125" style="33" customWidth="1"/>
    <col min="109" max="114" width="6.6640625" style="33" customWidth="1"/>
    <col min="115" max="115" width="29.44140625" style="33" customWidth="1"/>
    <col min="116" max="121" width="6.6640625" style="33" customWidth="1"/>
    <col min="122" max="122" width="24.6640625" style="33" customWidth="1"/>
    <col min="123" max="128" width="6.6640625" style="33" customWidth="1"/>
    <col min="129" max="129" width="32.44140625" style="33" customWidth="1"/>
    <col min="130" max="135" width="6.6640625" style="33" customWidth="1"/>
    <col min="136" max="136" width="32.44140625" style="33" customWidth="1"/>
    <col min="137" max="137" width="6.6640625" style="33" customWidth="1"/>
    <col min="138" max="138" width="9.33203125" style="33" customWidth="1"/>
    <col min="139" max="142" width="6.6640625" style="33" customWidth="1"/>
    <col min="143" max="143" width="29.88671875" style="33" customWidth="1"/>
    <col min="144" max="148" width="6.6640625" style="33" customWidth="1"/>
    <col min="149" max="149" width="8.33203125" style="33" customWidth="1"/>
    <col min="150" max="150" width="30.33203125" style="33" customWidth="1"/>
    <col min="151" max="155" width="6.6640625" style="33" customWidth="1"/>
    <col min="156" max="156" width="8.33203125" style="33" customWidth="1"/>
    <col min="157" max="157" width="34.88671875" style="33" customWidth="1"/>
    <col min="158" max="163" width="6.6640625" style="33" customWidth="1"/>
    <col min="164" max="164" width="29" style="33" customWidth="1"/>
    <col min="165" max="165" width="5.6640625" style="33" customWidth="1"/>
    <col min="166" max="170" width="6.6640625" style="33" customWidth="1"/>
    <col min="171" max="171" width="31.109375" style="33" customWidth="1"/>
    <col min="172" max="172" width="5.6640625" style="33" customWidth="1"/>
    <col min="173" max="177" width="6.6640625" style="33" customWidth="1"/>
    <col min="178" max="178" width="36.5546875" style="33" customWidth="1"/>
    <col min="179" max="184" width="6.6640625" style="33" customWidth="1"/>
    <col min="185" max="185" width="27" style="33" customWidth="1"/>
    <col min="186" max="191" width="6.6640625" style="33" customWidth="1"/>
    <col min="192" max="192" width="24.6640625" style="33" customWidth="1"/>
    <col min="193" max="198" width="6.6640625" style="33" customWidth="1"/>
    <col min="199" max="16384" width="15.5546875" style="33"/>
  </cols>
  <sheetData>
    <row r="1" spans="3:198" ht="15" customHeight="1" x14ac:dyDescent="0.3"/>
    <row r="2" spans="3:198" ht="18.75" customHeight="1" x14ac:dyDescent="0.3">
      <c r="C2" s="34" t="s">
        <v>35</v>
      </c>
      <c r="D2" s="159" t="s">
        <v>354</v>
      </c>
      <c r="E2" s="159"/>
      <c r="F2" s="159"/>
      <c r="G2" s="159"/>
      <c r="H2" s="159"/>
      <c r="J2" s="34" t="s">
        <v>36</v>
      </c>
      <c r="K2" s="159" t="s">
        <v>355</v>
      </c>
      <c r="L2" s="159"/>
      <c r="M2" s="159"/>
      <c r="N2" s="159"/>
      <c r="O2" s="159"/>
      <c r="Q2" s="34" t="s">
        <v>3</v>
      </c>
      <c r="R2" s="159" t="s">
        <v>37</v>
      </c>
      <c r="S2" s="159"/>
      <c r="T2" s="159"/>
      <c r="U2" s="159"/>
      <c r="V2" s="159"/>
    </row>
    <row r="3" spans="3:198" ht="15" customHeight="1" x14ac:dyDescent="0.3"/>
    <row r="4" spans="3:198" ht="61.5" customHeight="1" x14ac:dyDescent="0.3">
      <c r="C4" s="35" t="s">
        <v>38</v>
      </c>
      <c r="D4" s="157" t="s">
        <v>39</v>
      </c>
      <c r="E4" s="157"/>
      <c r="F4" s="157"/>
      <c r="G4" s="157"/>
      <c r="H4" s="157"/>
      <c r="I4" s="157"/>
      <c r="J4" s="157"/>
      <c r="K4" s="157"/>
      <c r="L4" s="157"/>
    </row>
    <row r="5" spans="3:198" ht="14.25" customHeight="1" x14ac:dyDescent="0.3">
      <c r="C5" s="36"/>
      <c r="D5" s="158" t="s">
        <v>40</v>
      </c>
      <c r="E5" s="158"/>
      <c r="F5" s="158"/>
      <c r="G5" s="158"/>
      <c r="H5" s="158"/>
      <c r="I5" s="158"/>
      <c r="J5" s="158"/>
      <c r="K5" s="158"/>
      <c r="L5" s="158"/>
    </row>
    <row r="6" spans="3:198" ht="14.25" customHeight="1" x14ac:dyDescent="0.3">
      <c r="C6" s="36"/>
      <c r="D6" s="158" t="s">
        <v>41</v>
      </c>
      <c r="E6" s="158"/>
      <c r="F6" s="158"/>
      <c r="G6" s="158"/>
      <c r="H6" s="158"/>
      <c r="I6" s="158"/>
      <c r="J6" s="158"/>
      <c r="K6" s="158"/>
      <c r="L6" s="158"/>
    </row>
    <row r="7" spans="3:198" ht="14.25" customHeight="1" x14ac:dyDescent="0.3">
      <c r="C7" s="36"/>
      <c r="D7" s="158" t="s">
        <v>42</v>
      </c>
      <c r="E7" s="158"/>
      <c r="F7" s="158"/>
      <c r="G7" s="158"/>
      <c r="H7" s="158"/>
      <c r="I7" s="158"/>
      <c r="J7" s="158"/>
      <c r="K7" s="158"/>
      <c r="L7" s="158"/>
    </row>
    <row r="8" spans="3:198" ht="14.25" customHeight="1" x14ac:dyDescent="0.3">
      <c r="C8" s="36"/>
      <c r="D8" s="158" t="s">
        <v>43</v>
      </c>
      <c r="E8" s="158"/>
      <c r="F8" s="158"/>
      <c r="G8" s="158"/>
      <c r="H8" s="158"/>
      <c r="I8" s="158"/>
      <c r="J8" s="158"/>
      <c r="K8" s="158"/>
      <c r="L8" s="158"/>
    </row>
    <row r="9" spans="3:198" ht="14.25" customHeight="1" x14ac:dyDescent="0.3">
      <c r="C9" s="36"/>
      <c r="D9" s="37"/>
      <c r="E9" s="37"/>
      <c r="F9" s="37"/>
      <c r="G9" s="37"/>
      <c r="H9" s="37"/>
      <c r="I9" s="37"/>
      <c r="J9" s="37"/>
    </row>
    <row r="10" spans="3:198" ht="14.4" x14ac:dyDescent="0.3">
      <c r="C10" s="38" t="s">
        <v>44</v>
      </c>
    </row>
    <row r="11" spans="3:198" ht="15" customHeight="1" thickBot="1" x14ac:dyDescent="0.35"/>
    <row r="12" spans="3:198" ht="48.6" customHeight="1" thickBot="1" x14ac:dyDescent="0.35">
      <c r="C12" s="174" t="s">
        <v>45</v>
      </c>
      <c r="D12" s="40" t="s">
        <v>46</v>
      </c>
      <c r="E12" s="164" t="s">
        <v>47</v>
      </c>
      <c r="F12" s="164" t="s">
        <v>48</v>
      </c>
      <c r="G12" s="39" t="s">
        <v>49</v>
      </c>
      <c r="H12" s="161" t="s">
        <v>50</v>
      </c>
      <c r="I12" s="41" t="s">
        <v>51</v>
      </c>
      <c r="J12" s="174" t="s">
        <v>52</v>
      </c>
      <c r="K12" s="40" t="s">
        <v>46</v>
      </c>
      <c r="L12" s="164" t="s">
        <v>47</v>
      </c>
      <c r="M12" s="164" t="s">
        <v>48</v>
      </c>
      <c r="N12" s="39" t="s">
        <v>49</v>
      </c>
      <c r="O12" s="161" t="s">
        <v>50</v>
      </c>
      <c r="P12" s="41" t="s">
        <v>51</v>
      </c>
      <c r="Q12" s="174" t="s">
        <v>53</v>
      </c>
      <c r="R12" s="40" t="s">
        <v>46</v>
      </c>
      <c r="S12" s="164" t="s">
        <v>47</v>
      </c>
      <c r="T12" s="164" t="s">
        <v>48</v>
      </c>
      <c r="U12" s="39" t="s">
        <v>49</v>
      </c>
      <c r="V12" s="161" t="s">
        <v>50</v>
      </c>
      <c r="W12" s="41" t="s">
        <v>51</v>
      </c>
      <c r="X12" s="174" t="s">
        <v>54</v>
      </c>
      <c r="Y12" s="40" t="s">
        <v>46</v>
      </c>
      <c r="Z12" s="164" t="s">
        <v>47</v>
      </c>
      <c r="AA12" s="164" t="s">
        <v>48</v>
      </c>
      <c r="AB12" s="39" t="s">
        <v>49</v>
      </c>
      <c r="AC12" s="161" t="s">
        <v>50</v>
      </c>
      <c r="AD12" s="41" t="s">
        <v>51</v>
      </c>
      <c r="AE12" s="174" t="s">
        <v>55</v>
      </c>
      <c r="AF12" s="40">
        <v>0</v>
      </c>
      <c r="AG12" s="164" t="s">
        <v>47</v>
      </c>
      <c r="AH12" s="164" t="s">
        <v>48</v>
      </c>
      <c r="AI12" s="39" t="s">
        <v>49</v>
      </c>
      <c r="AJ12" s="161" t="s">
        <v>50</v>
      </c>
      <c r="AK12" s="41" t="s">
        <v>51</v>
      </c>
      <c r="AL12" s="174" t="s">
        <v>56</v>
      </c>
      <c r="AM12" s="40" t="s">
        <v>46</v>
      </c>
      <c r="AN12" s="164" t="s">
        <v>47</v>
      </c>
      <c r="AO12" s="164" t="s">
        <v>48</v>
      </c>
      <c r="AP12" s="39" t="s">
        <v>49</v>
      </c>
      <c r="AQ12" s="161" t="s">
        <v>50</v>
      </c>
      <c r="AR12" s="41" t="s">
        <v>51</v>
      </c>
      <c r="AS12" s="174" t="s">
        <v>57</v>
      </c>
      <c r="AT12" s="40" t="s">
        <v>46</v>
      </c>
      <c r="AU12" s="164" t="s">
        <v>47</v>
      </c>
      <c r="AV12" s="164" t="s">
        <v>48</v>
      </c>
      <c r="AW12" s="39" t="s">
        <v>49</v>
      </c>
      <c r="AX12" s="161" t="s">
        <v>50</v>
      </c>
      <c r="AY12" s="41" t="s">
        <v>51</v>
      </c>
      <c r="AZ12" s="174" t="s">
        <v>58</v>
      </c>
      <c r="BA12" s="40" t="s">
        <v>46</v>
      </c>
      <c r="BB12" s="164" t="s">
        <v>47</v>
      </c>
      <c r="BC12" s="164" t="s">
        <v>48</v>
      </c>
      <c r="BD12" s="39" t="s">
        <v>49</v>
      </c>
      <c r="BE12" s="161" t="s">
        <v>50</v>
      </c>
      <c r="BF12" s="41" t="s">
        <v>51</v>
      </c>
      <c r="BG12" s="174" t="s">
        <v>59</v>
      </c>
      <c r="BH12" s="40" t="s">
        <v>46</v>
      </c>
      <c r="BI12" s="164" t="s">
        <v>47</v>
      </c>
      <c r="BJ12" s="164" t="s">
        <v>48</v>
      </c>
      <c r="BK12" s="39" t="s">
        <v>49</v>
      </c>
      <c r="BL12" s="161" t="s">
        <v>50</v>
      </c>
      <c r="BM12" s="41" t="s">
        <v>51</v>
      </c>
      <c r="BN12" s="174" t="s">
        <v>60</v>
      </c>
      <c r="BO12" s="40" t="s">
        <v>46</v>
      </c>
      <c r="BP12" s="164" t="s">
        <v>47</v>
      </c>
      <c r="BQ12" s="164" t="s">
        <v>48</v>
      </c>
      <c r="BR12" s="39" t="s">
        <v>49</v>
      </c>
      <c r="BS12" s="161" t="s">
        <v>50</v>
      </c>
      <c r="BT12" s="41" t="s">
        <v>51</v>
      </c>
      <c r="BU12" s="174" t="s">
        <v>61</v>
      </c>
      <c r="BV12" s="40" t="s">
        <v>46</v>
      </c>
      <c r="BW12" s="164" t="s">
        <v>47</v>
      </c>
      <c r="BX12" s="164" t="s">
        <v>48</v>
      </c>
      <c r="BY12" s="39" t="s">
        <v>49</v>
      </c>
      <c r="BZ12" s="161" t="s">
        <v>50</v>
      </c>
      <c r="CA12" s="41" t="s">
        <v>51</v>
      </c>
      <c r="CB12" s="174" t="s">
        <v>62</v>
      </c>
      <c r="CC12" s="40" t="s">
        <v>46</v>
      </c>
      <c r="CD12" s="164" t="s">
        <v>47</v>
      </c>
      <c r="CE12" s="164" t="s">
        <v>48</v>
      </c>
      <c r="CF12" s="39" t="s">
        <v>49</v>
      </c>
      <c r="CG12" s="161" t="s">
        <v>50</v>
      </c>
      <c r="CH12" s="41" t="s">
        <v>51</v>
      </c>
      <c r="CI12" s="174" t="s">
        <v>63</v>
      </c>
      <c r="CJ12" s="40" t="s">
        <v>46</v>
      </c>
      <c r="CK12" s="164" t="s">
        <v>47</v>
      </c>
      <c r="CL12" s="164" t="s">
        <v>48</v>
      </c>
      <c r="CM12" s="39" t="s">
        <v>49</v>
      </c>
      <c r="CN12" s="161" t="s">
        <v>50</v>
      </c>
      <c r="CO12" s="41" t="s">
        <v>51</v>
      </c>
      <c r="CP12" s="174" t="s">
        <v>64</v>
      </c>
      <c r="CQ12" s="40" t="s">
        <v>46</v>
      </c>
      <c r="CR12" s="164" t="s">
        <v>47</v>
      </c>
      <c r="CS12" s="164" t="s">
        <v>48</v>
      </c>
      <c r="CT12" s="39" t="s">
        <v>49</v>
      </c>
      <c r="CU12" s="161" t="s">
        <v>50</v>
      </c>
      <c r="CV12" s="41" t="s">
        <v>51</v>
      </c>
      <c r="CW12" s="174" t="s">
        <v>65</v>
      </c>
      <c r="CX12" s="40" t="s">
        <v>46</v>
      </c>
      <c r="CY12" s="164" t="s">
        <v>47</v>
      </c>
      <c r="CZ12" s="164" t="s">
        <v>48</v>
      </c>
      <c r="DA12" s="39" t="s">
        <v>49</v>
      </c>
      <c r="DB12" s="161" t="s">
        <v>50</v>
      </c>
      <c r="DC12" s="41" t="s">
        <v>51</v>
      </c>
      <c r="DD12" s="174" t="s">
        <v>66</v>
      </c>
      <c r="DE12" s="40" t="s">
        <v>46</v>
      </c>
      <c r="DF12" s="164" t="s">
        <v>47</v>
      </c>
      <c r="DG12" s="164" t="s">
        <v>48</v>
      </c>
      <c r="DH12" s="39" t="s">
        <v>49</v>
      </c>
      <c r="DI12" s="161" t="s">
        <v>50</v>
      </c>
      <c r="DJ12" s="41" t="s">
        <v>51</v>
      </c>
      <c r="DK12" s="174" t="s">
        <v>67</v>
      </c>
      <c r="DL12" s="40" t="s">
        <v>46</v>
      </c>
      <c r="DM12" s="164" t="s">
        <v>47</v>
      </c>
      <c r="DN12" s="164" t="s">
        <v>48</v>
      </c>
      <c r="DO12" s="39" t="s">
        <v>49</v>
      </c>
      <c r="DP12" s="161" t="s">
        <v>50</v>
      </c>
      <c r="DQ12" s="41" t="s">
        <v>51</v>
      </c>
      <c r="DR12" s="174" t="s">
        <v>68</v>
      </c>
      <c r="DS12" s="40" t="s">
        <v>46</v>
      </c>
      <c r="DT12" s="164" t="s">
        <v>47</v>
      </c>
      <c r="DU12" s="164" t="s">
        <v>48</v>
      </c>
      <c r="DV12" s="39" t="s">
        <v>49</v>
      </c>
      <c r="DW12" s="161" t="s">
        <v>50</v>
      </c>
      <c r="DX12" s="41" t="s">
        <v>51</v>
      </c>
      <c r="DY12" s="174" t="s">
        <v>69</v>
      </c>
      <c r="DZ12" s="40" t="s">
        <v>46</v>
      </c>
      <c r="EA12" s="164" t="s">
        <v>47</v>
      </c>
      <c r="EB12" s="164" t="s">
        <v>48</v>
      </c>
      <c r="EC12" s="39" t="s">
        <v>49</v>
      </c>
      <c r="ED12" s="161" t="s">
        <v>50</v>
      </c>
      <c r="EE12" s="41" t="s">
        <v>51</v>
      </c>
      <c r="EF12" s="174" t="s">
        <v>70</v>
      </c>
      <c r="EG12" s="40" t="s">
        <v>46</v>
      </c>
      <c r="EH12" s="164" t="s">
        <v>47</v>
      </c>
      <c r="EI12" s="164" t="s">
        <v>48</v>
      </c>
      <c r="EJ12" s="39" t="s">
        <v>49</v>
      </c>
      <c r="EK12" s="161" t="s">
        <v>50</v>
      </c>
      <c r="EL12" s="41" t="s">
        <v>51</v>
      </c>
      <c r="EM12" s="174" t="s">
        <v>71</v>
      </c>
      <c r="EN12" s="40" t="s">
        <v>46</v>
      </c>
      <c r="EO12" s="164" t="s">
        <v>47</v>
      </c>
      <c r="EP12" s="164" t="s">
        <v>48</v>
      </c>
      <c r="EQ12" s="39" t="s">
        <v>49</v>
      </c>
      <c r="ER12" s="161" t="s">
        <v>50</v>
      </c>
      <c r="ES12" s="41" t="s">
        <v>51</v>
      </c>
      <c r="ET12" s="174" t="s">
        <v>72</v>
      </c>
      <c r="EU12" s="40" t="s">
        <v>46</v>
      </c>
      <c r="EV12" s="164" t="s">
        <v>47</v>
      </c>
      <c r="EW12" s="164" t="s">
        <v>48</v>
      </c>
      <c r="EX12" s="39" t="s">
        <v>49</v>
      </c>
      <c r="EY12" s="161" t="s">
        <v>50</v>
      </c>
      <c r="EZ12" s="41" t="s">
        <v>51</v>
      </c>
      <c r="FA12" s="174" t="s">
        <v>73</v>
      </c>
      <c r="FB12" s="40" t="s">
        <v>46</v>
      </c>
      <c r="FC12" s="164" t="s">
        <v>47</v>
      </c>
      <c r="FD12" s="164" t="s">
        <v>48</v>
      </c>
      <c r="FE12" s="39" t="s">
        <v>49</v>
      </c>
      <c r="FF12" s="161" t="s">
        <v>50</v>
      </c>
      <c r="FG12" s="41" t="s">
        <v>51</v>
      </c>
      <c r="FH12" s="174" t="s">
        <v>74</v>
      </c>
      <c r="FI12" s="40" t="s">
        <v>46</v>
      </c>
      <c r="FJ12" s="164" t="s">
        <v>47</v>
      </c>
      <c r="FK12" s="164" t="s">
        <v>48</v>
      </c>
      <c r="FL12" s="39" t="s">
        <v>49</v>
      </c>
      <c r="FM12" s="161" t="s">
        <v>50</v>
      </c>
      <c r="FN12" s="41" t="s">
        <v>51</v>
      </c>
      <c r="FO12" s="174" t="s">
        <v>75</v>
      </c>
      <c r="FP12" s="40" t="s">
        <v>46</v>
      </c>
      <c r="FQ12" s="164" t="s">
        <v>47</v>
      </c>
      <c r="FR12" s="164" t="s">
        <v>48</v>
      </c>
      <c r="FS12" s="39" t="s">
        <v>49</v>
      </c>
      <c r="FT12" s="161" t="s">
        <v>50</v>
      </c>
      <c r="FU12" s="41" t="s">
        <v>51</v>
      </c>
      <c r="FV12" s="174" t="s">
        <v>76</v>
      </c>
      <c r="FW12" s="40" t="s">
        <v>46</v>
      </c>
      <c r="FX12" s="164" t="s">
        <v>47</v>
      </c>
      <c r="FY12" s="164" t="s">
        <v>48</v>
      </c>
      <c r="FZ12" s="39" t="s">
        <v>49</v>
      </c>
      <c r="GA12" s="161" t="s">
        <v>50</v>
      </c>
      <c r="GB12" s="41" t="s">
        <v>51</v>
      </c>
      <c r="GC12" s="174" t="s">
        <v>77</v>
      </c>
      <c r="GD12" s="40" t="s">
        <v>46</v>
      </c>
      <c r="GE12" s="164" t="s">
        <v>47</v>
      </c>
      <c r="GF12" s="164" t="s">
        <v>48</v>
      </c>
      <c r="GG12" s="39" t="s">
        <v>49</v>
      </c>
      <c r="GH12" s="161" t="s">
        <v>50</v>
      </c>
      <c r="GI12" s="41" t="s">
        <v>51</v>
      </c>
      <c r="GJ12" s="174" t="s">
        <v>78</v>
      </c>
      <c r="GK12" s="40" t="s">
        <v>46</v>
      </c>
      <c r="GL12" s="164" t="s">
        <v>47</v>
      </c>
      <c r="GM12" s="164" t="s">
        <v>48</v>
      </c>
      <c r="GN12" s="39" t="s">
        <v>49</v>
      </c>
      <c r="GO12" s="161" t="s">
        <v>50</v>
      </c>
      <c r="GP12" s="41" t="s">
        <v>51</v>
      </c>
    </row>
    <row r="13" spans="3:198" ht="57" customHeight="1" thickTop="1" x14ac:dyDescent="0.3">
      <c r="C13" s="45" t="s">
        <v>79</v>
      </c>
      <c r="D13" s="173">
        <v>5</v>
      </c>
      <c r="E13" s="165">
        <v>1</v>
      </c>
      <c r="F13" s="165">
        <v>1</v>
      </c>
      <c r="G13" s="42">
        <f t="shared" ref="G13:G20" si="0">E13*F13</f>
        <v>1</v>
      </c>
      <c r="H13" s="162">
        <v>0</v>
      </c>
      <c r="I13" s="44">
        <f t="shared" ref="I13:I20" si="1">H13*G13</f>
        <v>0</v>
      </c>
      <c r="J13" s="45" t="s">
        <v>80</v>
      </c>
      <c r="K13" s="43">
        <v>5</v>
      </c>
      <c r="L13" s="165">
        <v>1</v>
      </c>
      <c r="M13" s="165">
        <v>2</v>
      </c>
      <c r="N13" s="42">
        <f t="shared" ref="N13:N22" si="2">L13*M13</f>
        <v>2</v>
      </c>
      <c r="O13" s="162">
        <v>0</v>
      </c>
      <c r="P13" s="44">
        <f t="shared" ref="P13:P22" si="3">O13*N13</f>
        <v>0</v>
      </c>
      <c r="Q13" s="45" t="s">
        <v>81</v>
      </c>
      <c r="R13" s="43">
        <v>5</v>
      </c>
      <c r="S13" s="165">
        <v>1</v>
      </c>
      <c r="T13" s="165">
        <v>2</v>
      </c>
      <c r="U13" s="42">
        <f t="shared" ref="U13:U23" si="4">S13*T13</f>
        <v>2</v>
      </c>
      <c r="V13" s="162">
        <v>45</v>
      </c>
      <c r="W13" s="44">
        <f t="shared" ref="W13:W23" si="5">V13*U13</f>
        <v>90</v>
      </c>
      <c r="X13" s="45" t="s">
        <v>82</v>
      </c>
      <c r="Y13" s="43">
        <v>5</v>
      </c>
      <c r="Z13" s="165">
        <v>1</v>
      </c>
      <c r="AA13" s="165">
        <v>2</v>
      </c>
      <c r="AB13" s="42">
        <f t="shared" ref="AB13:AB20" si="6">Z13*AA13</f>
        <v>2</v>
      </c>
      <c r="AC13" s="162">
        <v>0</v>
      </c>
      <c r="AD13" s="44">
        <f t="shared" ref="AD13:AD20" si="7">AC13*AB13</f>
        <v>0</v>
      </c>
      <c r="AE13" s="45" t="s">
        <v>83</v>
      </c>
      <c r="AF13" s="43">
        <v>0</v>
      </c>
      <c r="AG13" s="165">
        <v>2</v>
      </c>
      <c r="AH13" s="165">
        <v>10</v>
      </c>
      <c r="AI13" s="42">
        <f t="shared" ref="AI13:AI18" si="8">AG13*AH13</f>
        <v>20</v>
      </c>
      <c r="AJ13" s="162">
        <v>45</v>
      </c>
      <c r="AK13" s="44">
        <f t="shared" ref="AK13:AK18" si="9">AJ13*AI13</f>
        <v>900</v>
      </c>
      <c r="AL13" s="46" t="s">
        <v>84</v>
      </c>
      <c r="AM13" s="43">
        <v>5</v>
      </c>
      <c r="AN13" s="165">
        <v>1</v>
      </c>
      <c r="AO13" s="165">
        <v>0</v>
      </c>
      <c r="AP13" s="42">
        <f t="shared" ref="AP13:AP18" si="10">AN13*AO13</f>
        <v>0</v>
      </c>
      <c r="AQ13" s="162">
        <v>0</v>
      </c>
      <c r="AR13" s="44">
        <f t="shared" ref="AR13:AR18" si="11">AQ13*AP13</f>
        <v>0</v>
      </c>
      <c r="AS13" s="45" t="s">
        <v>85</v>
      </c>
      <c r="AT13" s="43">
        <v>5</v>
      </c>
      <c r="AU13" s="165">
        <v>1</v>
      </c>
      <c r="AV13" s="165">
        <v>0</v>
      </c>
      <c r="AW13" s="42">
        <f>AU13*AV13</f>
        <v>0</v>
      </c>
      <c r="AX13" s="162">
        <v>0</v>
      </c>
      <c r="AY13" s="44">
        <f>AX13*AW13</f>
        <v>0</v>
      </c>
      <c r="AZ13" s="45" t="s">
        <v>86</v>
      </c>
      <c r="BA13" s="43">
        <v>0</v>
      </c>
      <c r="BB13" s="165">
        <v>0</v>
      </c>
      <c r="BC13" s="165">
        <v>0</v>
      </c>
      <c r="BD13" s="42">
        <f>BB13*BC13</f>
        <v>0</v>
      </c>
      <c r="BE13" s="162">
        <v>45</v>
      </c>
      <c r="BF13" s="44">
        <f>BE13*BD13</f>
        <v>0</v>
      </c>
      <c r="BG13" s="46" t="s">
        <v>87</v>
      </c>
      <c r="BH13" s="43">
        <v>5</v>
      </c>
      <c r="BI13" s="165">
        <v>6</v>
      </c>
      <c r="BJ13" s="165">
        <v>3</v>
      </c>
      <c r="BK13" s="42">
        <f>BI13*BJ13</f>
        <v>18</v>
      </c>
      <c r="BL13" s="167">
        <v>80</v>
      </c>
      <c r="BM13" s="44">
        <f>BL13*BK13</f>
        <v>1440</v>
      </c>
      <c r="BN13" s="45" t="s">
        <v>88</v>
      </c>
      <c r="BO13" s="43">
        <v>9</v>
      </c>
      <c r="BP13" s="165">
        <v>1</v>
      </c>
      <c r="BQ13" s="165">
        <v>2</v>
      </c>
      <c r="BR13" s="42">
        <f t="shared" ref="BR13:BR18" si="12">BP13*BQ13</f>
        <v>2</v>
      </c>
      <c r="BS13" s="162">
        <v>45</v>
      </c>
      <c r="BT13" s="44">
        <f t="shared" ref="BT13:BT18" si="13">BS13*BR13</f>
        <v>90</v>
      </c>
      <c r="BU13" s="45" t="s">
        <v>89</v>
      </c>
      <c r="BV13" s="43">
        <v>4</v>
      </c>
      <c r="BW13" s="165">
        <v>1</v>
      </c>
      <c r="BX13" s="165">
        <v>4</v>
      </c>
      <c r="BY13" s="42">
        <f>BW13*BX13</f>
        <v>4</v>
      </c>
      <c r="BZ13" s="162">
        <v>20</v>
      </c>
      <c r="CA13" s="44">
        <f>BZ13*BY13</f>
        <v>80</v>
      </c>
      <c r="CB13" s="45" t="s">
        <v>90</v>
      </c>
      <c r="CC13" s="43">
        <v>0</v>
      </c>
      <c r="CD13" s="165">
        <v>0</v>
      </c>
      <c r="CE13" s="165">
        <v>0</v>
      </c>
      <c r="CF13" s="42">
        <f>CD13*CE13</f>
        <v>0</v>
      </c>
      <c r="CG13" s="162">
        <v>0</v>
      </c>
      <c r="CH13" s="44">
        <f>CG13*CF13</f>
        <v>0</v>
      </c>
      <c r="CI13" s="45" t="s">
        <v>91</v>
      </c>
      <c r="CJ13" s="43">
        <v>0</v>
      </c>
      <c r="CK13" s="165">
        <v>0</v>
      </c>
      <c r="CL13" s="165">
        <v>0</v>
      </c>
      <c r="CM13" s="42">
        <f>CK13*CL13</f>
        <v>0</v>
      </c>
      <c r="CN13" s="162">
        <v>0</v>
      </c>
      <c r="CO13" s="47">
        <f>CN13*CM13</f>
        <v>0</v>
      </c>
      <c r="CP13" s="45" t="s">
        <v>92</v>
      </c>
      <c r="CQ13" s="43">
        <v>0</v>
      </c>
      <c r="CR13" s="165">
        <v>0</v>
      </c>
      <c r="CS13" s="165">
        <v>0</v>
      </c>
      <c r="CT13" s="42">
        <f>CR13*CS13</f>
        <v>0</v>
      </c>
      <c r="CU13" s="162">
        <v>0</v>
      </c>
      <c r="CV13" s="44">
        <f>CU13*CT13</f>
        <v>0</v>
      </c>
      <c r="CW13" s="46" t="s">
        <v>93</v>
      </c>
      <c r="CX13" s="43">
        <v>0</v>
      </c>
      <c r="CY13" s="165">
        <v>0</v>
      </c>
      <c r="CZ13" s="165">
        <v>0</v>
      </c>
      <c r="DA13" s="42">
        <f>CY13*CZ13</f>
        <v>0</v>
      </c>
      <c r="DB13" s="162">
        <v>0</v>
      </c>
      <c r="DC13" s="44">
        <f>DB13*DA13</f>
        <v>0</v>
      </c>
      <c r="DD13" s="45" t="s">
        <v>94</v>
      </c>
      <c r="DE13" s="43">
        <v>10</v>
      </c>
      <c r="DF13" s="165">
        <v>1</v>
      </c>
      <c r="DG13" s="165">
        <v>2</v>
      </c>
      <c r="DH13" s="42">
        <f>DF13*DG13</f>
        <v>2</v>
      </c>
      <c r="DI13" s="162">
        <v>0</v>
      </c>
      <c r="DJ13" s="44">
        <f>DI13*DH13</f>
        <v>0</v>
      </c>
      <c r="DK13" s="45" t="s">
        <v>95</v>
      </c>
      <c r="DL13" s="43">
        <v>10</v>
      </c>
      <c r="DM13" s="165">
        <v>1</v>
      </c>
      <c r="DN13" s="165">
        <v>10</v>
      </c>
      <c r="DO13" s="42">
        <f t="shared" ref="DO13:DO18" si="14">DM13*DN13</f>
        <v>10</v>
      </c>
      <c r="DP13" s="162">
        <v>0</v>
      </c>
      <c r="DQ13" s="44">
        <f t="shared" ref="DQ13:DQ18" si="15">DP13*DO13</f>
        <v>0</v>
      </c>
      <c r="DR13" s="45" t="s">
        <v>96</v>
      </c>
      <c r="DS13" s="43">
        <v>10</v>
      </c>
      <c r="DT13" s="165">
        <v>2</v>
      </c>
      <c r="DU13" s="165">
        <v>6</v>
      </c>
      <c r="DV13" s="42">
        <f>DT13*DU13</f>
        <v>12</v>
      </c>
      <c r="DW13" s="162">
        <v>0</v>
      </c>
      <c r="DX13" s="44">
        <f>DW13*DV13</f>
        <v>0</v>
      </c>
      <c r="DY13" s="45" t="s">
        <v>97</v>
      </c>
      <c r="DZ13" s="43">
        <v>5</v>
      </c>
      <c r="EA13" s="165">
        <v>1</v>
      </c>
      <c r="EB13" s="165">
        <v>1</v>
      </c>
      <c r="EC13" s="42">
        <f>EA13*EB13</f>
        <v>1</v>
      </c>
      <c r="ED13" s="162">
        <v>0</v>
      </c>
      <c r="EE13" s="47">
        <f>ED13*EC13</f>
        <v>0</v>
      </c>
      <c r="EF13" s="45" t="s">
        <v>98</v>
      </c>
      <c r="EG13" s="43">
        <v>20</v>
      </c>
      <c r="EH13" s="165">
        <v>0</v>
      </c>
      <c r="EI13" s="165">
        <v>0</v>
      </c>
      <c r="EJ13" s="42">
        <f t="shared" ref="EJ13:EJ18" si="16">EH13*EI13</f>
        <v>0</v>
      </c>
      <c r="EK13" s="162">
        <v>0</v>
      </c>
      <c r="EL13" s="44">
        <f t="shared" ref="EL13:EL18" si="17">EK13*EJ13</f>
        <v>0</v>
      </c>
      <c r="EM13" s="46" t="s">
        <v>99</v>
      </c>
      <c r="EN13" s="43">
        <v>0</v>
      </c>
      <c r="EO13" s="165">
        <v>2</v>
      </c>
      <c r="EP13" s="165">
        <v>8</v>
      </c>
      <c r="EQ13" s="42">
        <f t="shared" ref="EQ13:EQ18" si="18">EO13*EP13</f>
        <v>16</v>
      </c>
      <c r="ER13" s="162">
        <v>50</v>
      </c>
      <c r="ES13" s="44">
        <f t="shared" ref="ES13:ES18" si="19">ER13*EQ13</f>
        <v>800</v>
      </c>
      <c r="ET13" s="45" t="s">
        <v>100</v>
      </c>
      <c r="EU13" s="43">
        <v>0</v>
      </c>
      <c r="EV13" s="165">
        <v>1</v>
      </c>
      <c r="EW13" s="165">
        <v>5</v>
      </c>
      <c r="EX13" s="42">
        <f>EV13*EW13</f>
        <v>5</v>
      </c>
      <c r="EY13" s="162">
        <v>1</v>
      </c>
      <c r="EZ13" s="44">
        <f>EY13*EX13</f>
        <v>5</v>
      </c>
      <c r="FA13" s="45" t="s">
        <v>101</v>
      </c>
      <c r="FB13" s="43">
        <v>10</v>
      </c>
      <c r="FC13" s="165">
        <v>10</v>
      </c>
      <c r="FD13" s="165">
        <v>10</v>
      </c>
      <c r="FE13" s="42">
        <f t="shared" ref="FE13:FE22" si="20">FC13*FD13</f>
        <v>100</v>
      </c>
      <c r="FF13" s="162">
        <v>0</v>
      </c>
      <c r="FG13" s="44">
        <f t="shared" ref="FG13:FG22" si="21">FF13*FE13</f>
        <v>0</v>
      </c>
      <c r="FH13" s="45" t="s">
        <v>102</v>
      </c>
      <c r="FI13" s="43">
        <v>8</v>
      </c>
      <c r="FJ13" s="165">
        <v>2</v>
      </c>
      <c r="FK13" s="165">
        <v>9</v>
      </c>
      <c r="FL13" s="42">
        <f t="shared" ref="FL13:FL19" si="22">FJ13*FK13</f>
        <v>18</v>
      </c>
      <c r="FM13" s="162">
        <v>10</v>
      </c>
      <c r="FN13" s="44">
        <f t="shared" ref="FN13:FN19" si="23">FM13*FL13</f>
        <v>180</v>
      </c>
      <c r="FO13" s="45" t="s">
        <v>103</v>
      </c>
      <c r="FP13" s="43">
        <v>0</v>
      </c>
      <c r="FQ13" s="165">
        <v>0</v>
      </c>
      <c r="FR13" s="165">
        <v>0</v>
      </c>
      <c r="FS13" s="42">
        <f>FQ13*FR13</f>
        <v>0</v>
      </c>
      <c r="FT13" s="162">
        <v>0</v>
      </c>
      <c r="FU13" s="44">
        <f>FT13*FS13</f>
        <v>0</v>
      </c>
      <c r="FV13" s="45" t="s">
        <v>104</v>
      </c>
      <c r="FW13" s="43">
        <v>0</v>
      </c>
      <c r="FX13" s="165">
        <v>0</v>
      </c>
      <c r="FY13" s="165">
        <v>0</v>
      </c>
      <c r="FZ13" s="42">
        <f>FX13*FY13</f>
        <v>0</v>
      </c>
      <c r="GA13" s="162">
        <v>0</v>
      </c>
      <c r="GB13" s="44">
        <f t="shared" ref="GB13:GB22" si="24">GA13*FZ13</f>
        <v>0</v>
      </c>
      <c r="GC13" s="45" t="s">
        <v>105</v>
      </c>
      <c r="GD13" s="43">
        <v>14</v>
      </c>
      <c r="GE13" s="165">
        <v>2</v>
      </c>
      <c r="GF13" s="165">
        <v>1</v>
      </c>
      <c r="GG13" s="42">
        <f>GE13*GF13</f>
        <v>2</v>
      </c>
      <c r="GH13" s="162">
        <v>0</v>
      </c>
      <c r="GI13" s="44">
        <f>GH13*GG13</f>
        <v>0</v>
      </c>
      <c r="GJ13" s="45" t="s">
        <v>106</v>
      </c>
      <c r="GK13" s="43">
        <v>30</v>
      </c>
      <c r="GL13" s="165">
        <v>15</v>
      </c>
      <c r="GM13" s="165">
        <v>10</v>
      </c>
      <c r="GN13" s="42">
        <f t="shared" ref="GN13:GN18" si="25">GL13*GM13</f>
        <v>150</v>
      </c>
      <c r="GO13" s="162">
        <v>0</v>
      </c>
      <c r="GP13" s="44">
        <f t="shared" ref="GP13:GP18" si="26">GO13*GN13</f>
        <v>0</v>
      </c>
    </row>
    <row r="14" spans="3:198" ht="72" customHeight="1" x14ac:dyDescent="0.3">
      <c r="C14" s="48" t="s">
        <v>107</v>
      </c>
      <c r="D14" s="49">
        <v>5</v>
      </c>
      <c r="E14" s="160">
        <v>1</v>
      </c>
      <c r="F14" s="160">
        <v>1</v>
      </c>
      <c r="G14" s="50">
        <f t="shared" si="0"/>
        <v>1</v>
      </c>
      <c r="H14" s="163">
        <v>0</v>
      </c>
      <c r="I14" s="44">
        <f t="shared" si="1"/>
        <v>0</v>
      </c>
      <c r="J14" s="48" t="s">
        <v>108</v>
      </c>
      <c r="K14" s="51">
        <v>5</v>
      </c>
      <c r="L14" s="160">
        <v>1</v>
      </c>
      <c r="M14" s="160">
        <v>10</v>
      </c>
      <c r="N14" s="50">
        <f t="shared" si="2"/>
        <v>10</v>
      </c>
      <c r="O14" s="163">
        <v>0</v>
      </c>
      <c r="P14" s="44">
        <f t="shared" si="3"/>
        <v>0</v>
      </c>
      <c r="Q14" s="48" t="s">
        <v>109</v>
      </c>
      <c r="R14" s="51">
        <v>5</v>
      </c>
      <c r="S14" s="160">
        <v>1</v>
      </c>
      <c r="T14" s="160">
        <v>3</v>
      </c>
      <c r="U14" s="50">
        <f t="shared" si="4"/>
        <v>3</v>
      </c>
      <c r="V14" s="163">
        <v>45</v>
      </c>
      <c r="W14" s="44">
        <f t="shared" si="5"/>
        <v>135</v>
      </c>
      <c r="X14" s="48" t="s">
        <v>110</v>
      </c>
      <c r="Y14" s="51">
        <v>5</v>
      </c>
      <c r="Z14" s="160">
        <v>1</v>
      </c>
      <c r="AA14" s="160">
        <v>1</v>
      </c>
      <c r="AB14" s="50">
        <f t="shared" si="6"/>
        <v>1</v>
      </c>
      <c r="AC14" s="163">
        <v>0</v>
      </c>
      <c r="AD14" s="44">
        <f t="shared" si="7"/>
        <v>0</v>
      </c>
      <c r="AE14" s="48" t="s">
        <v>111</v>
      </c>
      <c r="AF14" s="51">
        <v>15</v>
      </c>
      <c r="AG14" s="160">
        <v>2</v>
      </c>
      <c r="AH14" s="160">
        <v>4</v>
      </c>
      <c r="AI14" s="50">
        <f t="shared" si="8"/>
        <v>8</v>
      </c>
      <c r="AJ14" s="163">
        <v>45</v>
      </c>
      <c r="AK14" s="44">
        <f t="shared" si="9"/>
        <v>360</v>
      </c>
      <c r="AL14" s="52" t="s">
        <v>112</v>
      </c>
      <c r="AM14" s="51">
        <v>5</v>
      </c>
      <c r="AN14" s="160">
        <v>1</v>
      </c>
      <c r="AO14" s="160">
        <v>0</v>
      </c>
      <c r="AP14" s="50">
        <f t="shared" si="10"/>
        <v>0</v>
      </c>
      <c r="AQ14" s="163">
        <v>0</v>
      </c>
      <c r="AR14" s="44">
        <f t="shared" si="11"/>
        <v>0</v>
      </c>
      <c r="AS14" s="48" t="s">
        <v>113</v>
      </c>
      <c r="AT14" s="51">
        <v>5</v>
      </c>
      <c r="AU14" s="160">
        <v>1</v>
      </c>
      <c r="AV14" s="160">
        <v>0</v>
      </c>
      <c r="AW14" s="50">
        <f>AU14*AV14</f>
        <v>0</v>
      </c>
      <c r="AX14" s="163">
        <v>0</v>
      </c>
      <c r="AY14" s="44">
        <f>AX14*AW14</f>
        <v>0</v>
      </c>
      <c r="AZ14" s="48" t="s">
        <v>114</v>
      </c>
      <c r="BA14" s="51">
        <v>0</v>
      </c>
      <c r="BB14" s="160">
        <v>0</v>
      </c>
      <c r="BC14" s="160">
        <v>0</v>
      </c>
      <c r="BD14" s="50">
        <f>BB14*BC14</f>
        <v>0</v>
      </c>
      <c r="BE14" s="163">
        <v>45</v>
      </c>
      <c r="BF14" s="44">
        <f>BE14*BD14</f>
        <v>0</v>
      </c>
      <c r="BG14" s="52" t="s">
        <v>115</v>
      </c>
      <c r="BH14" s="51">
        <v>7</v>
      </c>
      <c r="BI14" s="160">
        <v>5</v>
      </c>
      <c r="BJ14" s="160">
        <v>3</v>
      </c>
      <c r="BK14" s="50">
        <f>BI14*BJ14</f>
        <v>15</v>
      </c>
      <c r="BL14" s="168">
        <v>60</v>
      </c>
      <c r="BM14" s="44">
        <f>BL14*BK14</f>
        <v>900</v>
      </c>
      <c r="BN14" s="48" t="s">
        <v>116</v>
      </c>
      <c r="BO14" s="51">
        <v>10</v>
      </c>
      <c r="BP14" s="160">
        <v>1</v>
      </c>
      <c r="BQ14" s="160">
        <v>1</v>
      </c>
      <c r="BR14" s="50">
        <f t="shared" si="12"/>
        <v>1</v>
      </c>
      <c r="BS14" s="163">
        <v>0</v>
      </c>
      <c r="BT14" s="44">
        <f t="shared" si="13"/>
        <v>0</v>
      </c>
      <c r="BU14" s="48" t="s">
        <v>117</v>
      </c>
      <c r="BV14" s="51">
        <v>5</v>
      </c>
      <c r="BW14" s="160">
        <v>1</v>
      </c>
      <c r="BX14" s="160">
        <v>4</v>
      </c>
      <c r="BY14" s="50">
        <f>BW14*BX14</f>
        <v>4</v>
      </c>
      <c r="BZ14" s="163">
        <v>0</v>
      </c>
      <c r="CA14" s="44">
        <f>BZ14*BY14</f>
        <v>0</v>
      </c>
      <c r="CB14" s="48" t="s">
        <v>118</v>
      </c>
      <c r="CC14" s="51">
        <v>0</v>
      </c>
      <c r="CD14" s="165">
        <v>0</v>
      </c>
      <c r="CE14" s="165">
        <v>0</v>
      </c>
      <c r="CF14" s="50">
        <f>CD14*CE14</f>
        <v>0</v>
      </c>
      <c r="CG14" s="163">
        <v>0</v>
      </c>
      <c r="CH14" s="44">
        <f>CG14*CF14</f>
        <v>0</v>
      </c>
      <c r="CI14" s="48" t="s">
        <v>119</v>
      </c>
      <c r="CJ14" s="51">
        <v>5</v>
      </c>
      <c r="CK14" s="160">
        <v>1</v>
      </c>
      <c r="CL14" s="160">
        <v>5</v>
      </c>
      <c r="CM14" s="50">
        <f>CK14*CL14</f>
        <v>5</v>
      </c>
      <c r="CN14" s="163">
        <v>180</v>
      </c>
      <c r="CO14" s="47">
        <f>CN14*CM14</f>
        <v>900</v>
      </c>
      <c r="CP14" s="48" t="s">
        <v>120</v>
      </c>
      <c r="CQ14" s="51">
        <v>5</v>
      </c>
      <c r="CR14" s="160">
        <v>5</v>
      </c>
      <c r="CS14" s="160">
        <v>3</v>
      </c>
      <c r="CT14" s="50">
        <f>CR14*CS14</f>
        <v>15</v>
      </c>
      <c r="CU14" s="163">
        <v>360</v>
      </c>
      <c r="CV14" s="53">
        <f>CU14*CT14</f>
        <v>5400</v>
      </c>
      <c r="CW14" s="52" t="s">
        <v>121</v>
      </c>
      <c r="CX14" s="51">
        <v>0</v>
      </c>
      <c r="CY14" s="160">
        <v>0</v>
      </c>
      <c r="CZ14" s="160">
        <v>0</v>
      </c>
      <c r="DA14" s="50">
        <f>CY14*CZ14</f>
        <v>0</v>
      </c>
      <c r="DB14" s="163">
        <v>0</v>
      </c>
      <c r="DC14" s="44">
        <f>DB14*DA14</f>
        <v>0</v>
      </c>
      <c r="DD14" s="48" t="s">
        <v>122</v>
      </c>
      <c r="DE14" s="51">
        <v>0</v>
      </c>
      <c r="DF14" s="160">
        <v>0</v>
      </c>
      <c r="DG14" s="160">
        <v>0</v>
      </c>
      <c r="DH14" s="50">
        <f>DF14*DG14</f>
        <v>0</v>
      </c>
      <c r="DI14" s="163">
        <v>0</v>
      </c>
      <c r="DJ14" s="44">
        <f>DI14*DH14</f>
        <v>0</v>
      </c>
      <c r="DK14" s="48" t="s">
        <v>123</v>
      </c>
      <c r="DL14" s="51">
        <v>4</v>
      </c>
      <c r="DM14" s="160">
        <v>5</v>
      </c>
      <c r="DN14" s="160">
        <v>10</v>
      </c>
      <c r="DO14" s="50">
        <f t="shared" si="14"/>
        <v>50</v>
      </c>
      <c r="DP14" s="163">
        <v>15</v>
      </c>
      <c r="DQ14" s="44">
        <f t="shared" si="15"/>
        <v>750</v>
      </c>
      <c r="DR14" s="48" t="s">
        <v>124</v>
      </c>
      <c r="DS14" s="51">
        <v>10</v>
      </c>
      <c r="DT14" s="160">
        <v>2</v>
      </c>
      <c r="DU14" s="160">
        <v>6</v>
      </c>
      <c r="DV14" s="50">
        <f>DT14*DU14</f>
        <v>12</v>
      </c>
      <c r="DW14" s="163">
        <v>0</v>
      </c>
      <c r="DX14" s="44">
        <f>DW14*DV14</f>
        <v>0</v>
      </c>
      <c r="DY14" s="48" t="s">
        <v>125</v>
      </c>
      <c r="DZ14" s="51">
        <v>7</v>
      </c>
      <c r="EA14" s="160">
        <v>2</v>
      </c>
      <c r="EB14" s="160">
        <v>1</v>
      </c>
      <c r="EC14" s="50">
        <f>EA14*EB14</f>
        <v>2</v>
      </c>
      <c r="ED14" s="163">
        <v>30</v>
      </c>
      <c r="EE14" s="47">
        <f>ED14*EC14</f>
        <v>60</v>
      </c>
      <c r="EF14" s="48" t="s">
        <v>126</v>
      </c>
      <c r="EG14" s="51">
        <v>0</v>
      </c>
      <c r="EH14" s="160">
        <v>4</v>
      </c>
      <c r="EI14" s="160">
        <v>2</v>
      </c>
      <c r="EJ14" s="42">
        <f t="shared" si="16"/>
        <v>8</v>
      </c>
      <c r="EK14" s="163">
        <v>0</v>
      </c>
      <c r="EL14" s="44">
        <f t="shared" si="17"/>
        <v>0</v>
      </c>
      <c r="EM14" s="52" t="s">
        <v>127</v>
      </c>
      <c r="EN14" s="51">
        <v>0</v>
      </c>
      <c r="EO14" s="160">
        <v>2</v>
      </c>
      <c r="EP14" s="160">
        <v>8</v>
      </c>
      <c r="EQ14" s="50">
        <f t="shared" si="18"/>
        <v>16</v>
      </c>
      <c r="ER14" s="163">
        <v>50</v>
      </c>
      <c r="ES14" s="44">
        <f t="shared" si="19"/>
        <v>800</v>
      </c>
      <c r="ET14" s="48" t="s">
        <v>128</v>
      </c>
      <c r="EU14" s="51">
        <v>0</v>
      </c>
      <c r="EV14" s="160">
        <v>4</v>
      </c>
      <c r="EW14" s="160">
        <v>7</v>
      </c>
      <c r="EX14" s="50">
        <f>EV14*EW14</f>
        <v>28</v>
      </c>
      <c r="EY14" s="163">
        <v>50</v>
      </c>
      <c r="EZ14" s="44">
        <f>EY14*EX14</f>
        <v>1400</v>
      </c>
      <c r="FA14" s="48" t="s">
        <v>129</v>
      </c>
      <c r="FB14" s="51">
        <v>7</v>
      </c>
      <c r="FC14" s="160">
        <v>10</v>
      </c>
      <c r="FD14" s="160">
        <v>10</v>
      </c>
      <c r="FE14" s="50">
        <f t="shared" si="20"/>
        <v>100</v>
      </c>
      <c r="FF14" s="163">
        <v>15</v>
      </c>
      <c r="FG14" s="44">
        <f t="shared" si="21"/>
        <v>1500</v>
      </c>
      <c r="FH14" s="48" t="s">
        <v>130</v>
      </c>
      <c r="FI14" s="51">
        <v>10</v>
      </c>
      <c r="FJ14" s="160">
        <v>5</v>
      </c>
      <c r="FK14" s="160">
        <v>5</v>
      </c>
      <c r="FL14" s="50">
        <f t="shared" si="22"/>
        <v>25</v>
      </c>
      <c r="FM14" s="163">
        <v>0</v>
      </c>
      <c r="FN14" s="44">
        <f t="shared" si="23"/>
        <v>0</v>
      </c>
      <c r="FO14" s="48" t="s">
        <v>131</v>
      </c>
      <c r="FP14" s="51">
        <v>0</v>
      </c>
      <c r="FQ14" s="160">
        <v>0</v>
      </c>
      <c r="FR14" s="160">
        <v>0</v>
      </c>
      <c r="FS14" s="50">
        <f>FQ14*FR14</f>
        <v>0</v>
      </c>
      <c r="FT14" s="163">
        <v>0</v>
      </c>
      <c r="FU14" s="44">
        <f>FT14*FS14</f>
        <v>0</v>
      </c>
      <c r="FV14" s="48" t="s">
        <v>132</v>
      </c>
      <c r="FW14" s="51">
        <v>0</v>
      </c>
      <c r="FX14" s="160">
        <v>0</v>
      </c>
      <c r="FY14" s="160">
        <v>0</v>
      </c>
      <c r="FZ14" s="50">
        <f>FX14*FY14</f>
        <v>0</v>
      </c>
      <c r="GA14" s="163">
        <v>0</v>
      </c>
      <c r="GB14" s="44">
        <f t="shared" si="24"/>
        <v>0</v>
      </c>
      <c r="GC14" s="48" t="s">
        <v>133</v>
      </c>
      <c r="GD14" s="51">
        <v>0</v>
      </c>
      <c r="GE14" s="160">
        <v>2</v>
      </c>
      <c r="GF14" s="160">
        <v>10</v>
      </c>
      <c r="GG14" s="50">
        <f>GE14*GF14</f>
        <v>20</v>
      </c>
      <c r="GH14" s="163">
        <v>0</v>
      </c>
      <c r="GI14" s="44">
        <f>GH14*GG14</f>
        <v>0</v>
      </c>
      <c r="GJ14" s="48" t="s">
        <v>134</v>
      </c>
      <c r="GK14" s="51">
        <v>0</v>
      </c>
      <c r="GL14" s="160">
        <v>3</v>
      </c>
      <c r="GM14" s="160">
        <v>1</v>
      </c>
      <c r="GN14" s="50">
        <f t="shared" si="25"/>
        <v>3</v>
      </c>
      <c r="GO14" s="163">
        <v>0</v>
      </c>
      <c r="GP14" s="44">
        <f t="shared" si="26"/>
        <v>0</v>
      </c>
    </row>
    <row r="15" spans="3:198" ht="72" customHeight="1" x14ac:dyDescent="0.3">
      <c r="C15" s="48" t="s">
        <v>135</v>
      </c>
      <c r="D15" s="49">
        <v>5</v>
      </c>
      <c r="E15" s="160">
        <v>1</v>
      </c>
      <c r="F15" s="160">
        <v>1</v>
      </c>
      <c r="G15" s="50">
        <f t="shared" si="0"/>
        <v>1</v>
      </c>
      <c r="H15" s="163">
        <v>0</v>
      </c>
      <c r="I15" s="44">
        <f t="shared" si="1"/>
        <v>0</v>
      </c>
      <c r="J15" s="48" t="s">
        <v>136</v>
      </c>
      <c r="K15" s="51">
        <v>5</v>
      </c>
      <c r="L15" s="160">
        <v>1</v>
      </c>
      <c r="M15" s="160">
        <v>10</v>
      </c>
      <c r="N15" s="50">
        <f t="shared" si="2"/>
        <v>10</v>
      </c>
      <c r="O15" s="163">
        <v>0</v>
      </c>
      <c r="P15" s="44">
        <f t="shared" si="3"/>
        <v>0</v>
      </c>
      <c r="Q15" s="48" t="s">
        <v>137</v>
      </c>
      <c r="R15" s="51">
        <v>2</v>
      </c>
      <c r="S15" s="160">
        <v>5</v>
      </c>
      <c r="T15" s="160">
        <v>3</v>
      </c>
      <c r="U15" s="50">
        <f t="shared" si="4"/>
        <v>15</v>
      </c>
      <c r="V15" s="163">
        <v>10</v>
      </c>
      <c r="W15" s="44">
        <f t="shared" si="5"/>
        <v>150</v>
      </c>
      <c r="X15" s="48" t="s">
        <v>138</v>
      </c>
      <c r="Y15" s="51">
        <v>5</v>
      </c>
      <c r="Z15" s="160">
        <v>1</v>
      </c>
      <c r="AA15" s="160">
        <v>1</v>
      </c>
      <c r="AB15" s="50">
        <f t="shared" si="6"/>
        <v>1</v>
      </c>
      <c r="AC15" s="163">
        <v>0</v>
      </c>
      <c r="AD15" s="44">
        <f t="shared" si="7"/>
        <v>0</v>
      </c>
      <c r="AE15" s="48" t="s">
        <v>139</v>
      </c>
      <c r="AF15" s="51">
        <v>9</v>
      </c>
      <c r="AG15" s="160">
        <v>4</v>
      </c>
      <c r="AH15" s="160">
        <v>1</v>
      </c>
      <c r="AI15" s="50">
        <f t="shared" si="8"/>
        <v>4</v>
      </c>
      <c r="AJ15" s="163">
        <v>0</v>
      </c>
      <c r="AK15" s="44">
        <f t="shared" si="9"/>
        <v>0</v>
      </c>
      <c r="AL15" s="52" t="s">
        <v>140</v>
      </c>
      <c r="AM15" s="51">
        <v>5</v>
      </c>
      <c r="AN15" s="160">
        <v>1</v>
      </c>
      <c r="AO15" s="160">
        <v>0</v>
      </c>
      <c r="AP15" s="50">
        <f t="shared" si="10"/>
        <v>0</v>
      </c>
      <c r="AQ15" s="163">
        <v>0</v>
      </c>
      <c r="AR15" s="44">
        <f t="shared" si="11"/>
        <v>0</v>
      </c>
      <c r="AS15" s="48" t="s">
        <v>141</v>
      </c>
      <c r="AT15" s="51">
        <v>5</v>
      </c>
      <c r="AU15" s="160">
        <v>1</v>
      </c>
      <c r="AV15" s="160">
        <v>0</v>
      </c>
      <c r="AW15" s="50">
        <f>AU15*AV15</f>
        <v>0</v>
      </c>
      <c r="AX15" s="163">
        <v>0</v>
      </c>
      <c r="AY15" s="44">
        <f>AX15*AW15</f>
        <v>0</v>
      </c>
      <c r="AZ15" s="48" t="s">
        <v>142</v>
      </c>
      <c r="BA15" s="51">
        <v>5</v>
      </c>
      <c r="BB15" s="160">
        <v>1</v>
      </c>
      <c r="BC15" s="160">
        <v>2</v>
      </c>
      <c r="BD15" s="50">
        <f>BB15*BC15</f>
        <v>2</v>
      </c>
      <c r="BE15" s="163">
        <v>0</v>
      </c>
      <c r="BF15" s="44">
        <f>BE15*BD15</f>
        <v>0</v>
      </c>
      <c r="BG15" s="52" t="s">
        <v>143</v>
      </c>
      <c r="BH15" s="51">
        <v>5</v>
      </c>
      <c r="BI15" s="160">
        <v>6</v>
      </c>
      <c r="BJ15" s="160">
        <v>4</v>
      </c>
      <c r="BK15" s="50">
        <f>BI15*BJ15</f>
        <v>24</v>
      </c>
      <c r="BL15" s="168">
        <v>0</v>
      </c>
      <c r="BM15" s="44">
        <f>BL15*BK15</f>
        <v>0</v>
      </c>
      <c r="BN15" s="48" t="s">
        <v>356</v>
      </c>
      <c r="BO15" s="51">
        <v>10</v>
      </c>
      <c r="BP15" s="160">
        <v>0</v>
      </c>
      <c r="BQ15" s="160">
        <v>0</v>
      </c>
      <c r="BR15" s="50">
        <f t="shared" si="12"/>
        <v>0</v>
      </c>
      <c r="BS15" s="163">
        <v>0</v>
      </c>
      <c r="BT15" s="44">
        <f t="shared" si="13"/>
        <v>0</v>
      </c>
      <c r="BU15" s="48" t="s">
        <v>144</v>
      </c>
      <c r="BV15" s="51">
        <v>3</v>
      </c>
      <c r="BW15" s="160">
        <v>1</v>
      </c>
      <c r="BX15" s="160">
        <v>1</v>
      </c>
      <c r="BY15" s="50">
        <f>BW15*BX15</f>
        <v>1</v>
      </c>
      <c r="BZ15" s="163">
        <v>10</v>
      </c>
      <c r="CA15" s="44">
        <f>BZ15*BY15</f>
        <v>10</v>
      </c>
      <c r="CB15" s="48" t="s">
        <v>145</v>
      </c>
      <c r="CC15" s="51">
        <v>10</v>
      </c>
      <c r="CD15" s="160">
        <v>2</v>
      </c>
      <c r="CE15" s="160">
        <v>2</v>
      </c>
      <c r="CF15" s="50">
        <f>CD15*CE15</f>
        <v>4</v>
      </c>
      <c r="CG15" s="163">
        <v>60</v>
      </c>
      <c r="CH15" s="44">
        <f>CG15*CF15</f>
        <v>240</v>
      </c>
      <c r="CI15" s="48" t="s">
        <v>146</v>
      </c>
      <c r="CJ15" s="51">
        <v>0</v>
      </c>
      <c r="CK15" s="160">
        <v>0</v>
      </c>
      <c r="CL15" s="160">
        <v>0</v>
      </c>
      <c r="CM15" s="50">
        <f>CK15*CL15</f>
        <v>0</v>
      </c>
      <c r="CN15" s="163">
        <v>0</v>
      </c>
      <c r="CO15" s="47">
        <f>CN15*CM15</f>
        <v>0</v>
      </c>
      <c r="CP15" s="48" t="s">
        <v>147</v>
      </c>
      <c r="CQ15" s="51">
        <v>0</v>
      </c>
      <c r="CR15" s="160">
        <v>0</v>
      </c>
      <c r="CS15" s="160">
        <v>0</v>
      </c>
      <c r="CT15" s="50">
        <f>CR15*CS15</f>
        <v>0</v>
      </c>
      <c r="CU15" s="163">
        <v>0</v>
      </c>
      <c r="CV15" s="53">
        <f>CU15*CT15</f>
        <v>0</v>
      </c>
      <c r="CW15" s="52" t="s">
        <v>148</v>
      </c>
      <c r="CX15" s="51">
        <v>2</v>
      </c>
      <c r="CY15" s="160">
        <v>6</v>
      </c>
      <c r="CZ15" s="160">
        <v>3</v>
      </c>
      <c r="DA15" s="50">
        <f>CY15*CZ15</f>
        <v>18</v>
      </c>
      <c r="DB15" s="163">
        <v>180</v>
      </c>
      <c r="DC15" s="44">
        <f>DB15*DA15</f>
        <v>3240</v>
      </c>
      <c r="DD15" s="48" t="s">
        <v>149</v>
      </c>
      <c r="DE15" s="51">
        <v>0</v>
      </c>
      <c r="DF15" s="160">
        <v>0</v>
      </c>
      <c r="DG15" s="160">
        <v>0</v>
      </c>
      <c r="DH15" s="50">
        <f>DF15*DG15</f>
        <v>0</v>
      </c>
      <c r="DI15" s="163">
        <v>0</v>
      </c>
      <c r="DJ15" s="44">
        <f>DI15*DH15</f>
        <v>0</v>
      </c>
      <c r="DK15" s="48" t="s">
        <v>150</v>
      </c>
      <c r="DL15" s="51">
        <v>4</v>
      </c>
      <c r="DM15" s="160">
        <v>3</v>
      </c>
      <c r="DN15" s="160">
        <v>3</v>
      </c>
      <c r="DO15" s="50">
        <f t="shared" si="14"/>
        <v>9</v>
      </c>
      <c r="DP15" s="163">
        <v>6</v>
      </c>
      <c r="DQ15" s="44">
        <f t="shared" si="15"/>
        <v>54</v>
      </c>
      <c r="DR15" s="48" t="s">
        <v>151</v>
      </c>
      <c r="DS15" s="51">
        <v>10</v>
      </c>
      <c r="DT15" s="160">
        <v>2</v>
      </c>
      <c r="DU15" s="160">
        <v>8</v>
      </c>
      <c r="DV15" s="50">
        <f>DT15*DU15</f>
        <v>16</v>
      </c>
      <c r="DW15" s="163">
        <v>0</v>
      </c>
      <c r="DX15" s="44">
        <f>DW15*DV15</f>
        <v>0</v>
      </c>
      <c r="DY15" s="48" t="s">
        <v>152</v>
      </c>
      <c r="DZ15" s="51">
        <v>5</v>
      </c>
      <c r="EA15" s="160">
        <v>2</v>
      </c>
      <c r="EB15" s="160">
        <v>2</v>
      </c>
      <c r="EC15" s="50">
        <f>EA15*EB15</f>
        <v>4</v>
      </c>
      <c r="ED15" s="163">
        <v>45</v>
      </c>
      <c r="EE15" s="47">
        <f>ED15*EC15</f>
        <v>180</v>
      </c>
      <c r="EF15" s="45" t="s">
        <v>153</v>
      </c>
      <c r="EG15" s="43">
        <v>0</v>
      </c>
      <c r="EH15" s="165">
        <v>0</v>
      </c>
      <c r="EI15" s="165">
        <v>0</v>
      </c>
      <c r="EJ15" s="42">
        <f t="shared" si="16"/>
        <v>0</v>
      </c>
      <c r="EK15" s="162">
        <v>0</v>
      </c>
      <c r="EL15" s="44">
        <f t="shared" si="17"/>
        <v>0</v>
      </c>
      <c r="EM15" s="52" t="s">
        <v>154</v>
      </c>
      <c r="EN15" s="51">
        <v>1</v>
      </c>
      <c r="EO15" s="160">
        <v>2</v>
      </c>
      <c r="EP15" s="160">
        <v>10</v>
      </c>
      <c r="EQ15" s="50">
        <f t="shared" si="18"/>
        <v>20</v>
      </c>
      <c r="ER15" s="163">
        <v>50</v>
      </c>
      <c r="ES15" s="44">
        <f t="shared" si="19"/>
        <v>1000</v>
      </c>
      <c r="ET15" s="48" t="s">
        <v>155</v>
      </c>
      <c r="EU15" s="51">
        <v>0</v>
      </c>
      <c r="EV15" s="160">
        <v>6</v>
      </c>
      <c r="EW15" s="160">
        <v>8</v>
      </c>
      <c r="EX15" s="50">
        <f>EV15*EW15</f>
        <v>48</v>
      </c>
      <c r="EY15" s="163">
        <v>50</v>
      </c>
      <c r="EZ15" s="44">
        <f>EY15*EX15</f>
        <v>2400</v>
      </c>
      <c r="FA15" s="48" t="s">
        <v>156</v>
      </c>
      <c r="FB15" s="51">
        <v>10</v>
      </c>
      <c r="FC15" s="160">
        <v>10</v>
      </c>
      <c r="FD15" s="160">
        <v>10</v>
      </c>
      <c r="FE15" s="50">
        <f t="shared" si="20"/>
        <v>100</v>
      </c>
      <c r="FF15" s="163">
        <v>0</v>
      </c>
      <c r="FG15" s="44">
        <f t="shared" si="21"/>
        <v>0</v>
      </c>
      <c r="FH15" s="48" t="s">
        <v>157</v>
      </c>
      <c r="FI15" s="51">
        <v>10</v>
      </c>
      <c r="FJ15" s="160">
        <v>1</v>
      </c>
      <c r="FK15" s="160">
        <v>5</v>
      </c>
      <c r="FL15" s="50">
        <f t="shared" si="22"/>
        <v>5</v>
      </c>
      <c r="FM15" s="163">
        <v>0</v>
      </c>
      <c r="FN15" s="44">
        <f t="shared" si="23"/>
        <v>0</v>
      </c>
      <c r="FO15" s="48" t="s">
        <v>158</v>
      </c>
      <c r="FP15" s="51">
        <v>0</v>
      </c>
      <c r="FQ15" s="160">
        <v>10</v>
      </c>
      <c r="FR15" s="160">
        <v>10</v>
      </c>
      <c r="FS15" s="50">
        <f>FQ15*FR15</f>
        <v>100</v>
      </c>
      <c r="FT15" s="163">
        <v>50</v>
      </c>
      <c r="FU15" s="44">
        <f>FT15*FS15</f>
        <v>5000</v>
      </c>
      <c r="FV15" s="45" t="s">
        <v>159</v>
      </c>
      <c r="FW15" s="51">
        <v>0</v>
      </c>
      <c r="FX15" s="160">
        <v>0</v>
      </c>
      <c r="FY15" s="160">
        <v>0</v>
      </c>
      <c r="FZ15" s="50">
        <f>FX15*FY15</f>
        <v>0</v>
      </c>
      <c r="GA15" s="163">
        <v>0</v>
      </c>
      <c r="GB15" s="44">
        <f t="shared" si="24"/>
        <v>0</v>
      </c>
      <c r="GC15" s="48" t="s">
        <v>160</v>
      </c>
      <c r="GD15" s="51">
        <v>0</v>
      </c>
      <c r="GE15" s="160">
        <v>4</v>
      </c>
      <c r="GF15" s="160">
        <v>10</v>
      </c>
      <c r="GG15" s="50">
        <f>GE15*GF15</f>
        <v>40</v>
      </c>
      <c r="GH15" s="163">
        <v>0</v>
      </c>
      <c r="GI15" s="44">
        <f>GH15*GG15</f>
        <v>0</v>
      </c>
      <c r="GJ15" s="48" t="s">
        <v>161</v>
      </c>
      <c r="GK15" s="51">
        <v>0</v>
      </c>
      <c r="GL15" s="160">
        <v>10</v>
      </c>
      <c r="GM15" s="160">
        <v>10</v>
      </c>
      <c r="GN15" s="50">
        <f t="shared" si="25"/>
        <v>100</v>
      </c>
      <c r="GO15" s="163">
        <v>0</v>
      </c>
      <c r="GP15" s="44">
        <f t="shared" si="26"/>
        <v>0</v>
      </c>
    </row>
    <row r="16" spans="3:198" ht="63" customHeight="1" x14ac:dyDescent="0.3">
      <c r="C16" s="48" t="s">
        <v>162</v>
      </c>
      <c r="D16" s="49">
        <v>5</v>
      </c>
      <c r="E16" s="160">
        <v>1</v>
      </c>
      <c r="F16" s="160">
        <v>1</v>
      </c>
      <c r="G16" s="50">
        <f t="shared" si="0"/>
        <v>1</v>
      </c>
      <c r="H16" s="163">
        <v>0</v>
      </c>
      <c r="I16" s="44">
        <f t="shared" si="1"/>
        <v>0</v>
      </c>
      <c r="J16" s="48" t="s">
        <v>163</v>
      </c>
      <c r="K16" s="51">
        <v>5</v>
      </c>
      <c r="L16" s="160">
        <v>1</v>
      </c>
      <c r="M16" s="160">
        <v>1</v>
      </c>
      <c r="N16" s="50">
        <f t="shared" si="2"/>
        <v>1</v>
      </c>
      <c r="O16" s="163">
        <v>0</v>
      </c>
      <c r="P16" s="44">
        <f t="shared" si="3"/>
        <v>0</v>
      </c>
      <c r="Q16" s="48" t="s">
        <v>164</v>
      </c>
      <c r="R16" s="51">
        <v>2</v>
      </c>
      <c r="S16" s="160">
        <v>5</v>
      </c>
      <c r="T16" s="160">
        <v>3</v>
      </c>
      <c r="U16" s="50">
        <f t="shared" si="4"/>
        <v>15</v>
      </c>
      <c r="V16" s="163">
        <v>4</v>
      </c>
      <c r="W16" s="44">
        <f t="shared" si="5"/>
        <v>60</v>
      </c>
      <c r="X16" s="48" t="s">
        <v>165</v>
      </c>
      <c r="Y16" s="51">
        <v>5</v>
      </c>
      <c r="Z16" s="160">
        <v>2</v>
      </c>
      <c r="AA16" s="160">
        <v>1</v>
      </c>
      <c r="AB16" s="50">
        <f t="shared" si="6"/>
        <v>2</v>
      </c>
      <c r="AC16" s="163">
        <v>0</v>
      </c>
      <c r="AD16" s="44">
        <f t="shared" si="7"/>
        <v>0</v>
      </c>
      <c r="AE16" s="48" t="s">
        <v>166</v>
      </c>
      <c r="AF16" s="51">
        <v>5</v>
      </c>
      <c r="AG16" s="160">
        <v>4</v>
      </c>
      <c r="AH16" s="160">
        <v>1</v>
      </c>
      <c r="AI16" s="50">
        <f t="shared" si="8"/>
        <v>4</v>
      </c>
      <c r="AJ16" s="163">
        <v>0</v>
      </c>
      <c r="AK16" s="44">
        <f t="shared" si="9"/>
        <v>0</v>
      </c>
      <c r="AL16" s="52" t="s">
        <v>167</v>
      </c>
      <c r="AM16" s="51">
        <v>5</v>
      </c>
      <c r="AN16" s="160">
        <v>1</v>
      </c>
      <c r="AO16" s="160">
        <v>0</v>
      </c>
      <c r="AP16" s="50">
        <f t="shared" si="10"/>
        <v>0</v>
      </c>
      <c r="AQ16" s="163">
        <v>0</v>
      </c>
      <c r="AR16" s="44">
        <f t="shared" si="11"/>
        <v>0</v>
      </c>
      <c r="AS16" s="48" t="s">
        <v>168</v>
      </c>
      <c r="AT16" s="51">
        <v>5</v>
      </c>
      <c r="AU16" s="160">
        <v>1</v>
      </c>
      <c r="AV16" s="160">
        <v>0</v>
      </c>
      <c r="AW16" s="50">
        <f>AU16*AV16</f>
        <v>0</v>
      </c>
      <c r="AX16" s="163">
        <v>0</v>
      </c>
      <c r="AY16" s="44">
        <f>AX16*AW16</f>
        <v>0</v>
      </c>
      <c r="AZ16" s="48" t="s">
        <v>169</v>
      </c>
      <c r="BA16" s="51">
        <v>10</v>
      </c>
      <c r="BB16" s="160">
        <v>5</v>
      </c>
      <c r="BC16" s="160">
        <v>1</v>
      </c>
      <c r="BD16" s="50">
        <f>BB16*BC16</f>
        <v>5</v>
      </c>
      <c r="BE16" s="163">
        <v>0</v>
      </c>
      <c r="BF16" s="44">
        <f>BE16*BD16</f>
        <v>0</v>
      </c>
      <c r="BG16" s="52" t="s">
        <v>170</v>
      </c>
      <c r="BH16" s="51">
        <v>0</v>
      </c>
      <c r="BI16" s="160">
        <v>0</v>
      </c>
      <c r="BJ16" s="160">
        <v>0</v>
      </c>
      <c r="BK16" s="50">
        <f>BI16*BJ16</f>
        <v>0</v>
      </c>
      <c r="BL16" s="168">
        <v>0</v>
      </c>
      <c r="BM16" s="44">
        <f>BL16*BK16</f>
        <v>0</v>
      </c>
      <c r="BN16" s="48" t="s">
        <v>171</v>
      </c>
      <c r="BO16" s="51">
        <v>6</v>
      </c>
      <c r="BP16" s="160">
        <v>2</v>
      </c>
      <c r="BQ16" s="160">
        <v>1</v>
      </c>
      <c r="BR16" s="50">
        <f t="shared" si="12"/>
        <v>2</v>
      </c>
      <c r="BS16" s="163">
        <v>1</v>
      </c>
      <c r="BT16" s="44">
        <f t="shared" si="13"/>
        <v>2</v>
      </c>
      <c r="BU16" s="48" t="s">
        <v>172</v>
      </c>
      <c r="BV16" s="51">
        <v>5</v>
      </c>
      <c r="BW16" s="160">
        <v>1</v>
      </c>
      <c r="BX16" s="160">
        <v>1</v>
      </c>
      <c r="BY16" s="50">
        <f>BW16*BX16</f>
        <v>1</v>
      </c>
      <c r="BZ16" s="163">
        <v>0</v>
      </c>
      <c r="CA16" s="44">
        <f>BZ16*BY16</f>
        <v>0</v>
      </c>
      <c r="CB16" s="48" t="s">
        <v>173</v>
      </c>
      <c r="CC16" s="51">
        <v>0</v>
      </c>
      <c r="CD16" s="160">
        <v>0</v>
      </c>
      <c r="CE16" s="160">
        <v>0</v>
      </c>
      <c r="CF16" s="50">
        <f>CD16*CE16</f>
        <v>0</v>
      </c>
      <c r="CG16" s="163">
        <v>0</v>
      </c>
      <c r="CH16" s="44">
        <f>CG16*CF16</f>
        <v>0</v>
      </c>
      <c r="CI16" s="48" t="s">
        <v>174</v>
      </c>
      <c r="CJ16" s="51">
        <v>0</v>
      </c>
      <c r="CK16" s="160">
        <v>0</v>
      </c>
      <c r="CL16" s="160">
        <v>0</v>
      </c>
      <c r="CM16" s="50">
        <f>CK16*CL16</f>
        <v>0</v>
      </c>
      <c r="CN16" s="163">
        <v>0</v>
      </c>
      <c r="CO16" s="47">
        <f>CN16*CM16</f>
        <v>0</v>
      </c>
      <c r="CP16" s="48" t="s">
        <v>175</v>
      </c>
      <c r="CQ16" s="51">
        <v>0</v>
      </c>
      <c r="CR16" s="160">
        <v>0</v>
      </c>
      <c r="CS16" s="160">
        <v>0</v>
      </c>
      <c r="CT16" s="50">
        <f>CR16*CS16</f>
        <v>0</v>
      </c>
      <c r="CU16" s="163">
        <v>0</v>
      </c>
      <c r="CV16" s="53">
        <f>CU16*CT16</f>
        <v>0</v>
      </c>
      <c r="CW16" s="52" t="s">
        <v>176</v>
      </c>
      <c r="CX16" s="51">
        <v>0</v>
      </c>
      <c r="CY16" s="160">
        <v>0</v>
      </c>
      <c r="CZ16" s="160">
        <v>0</v>
      </c>
      <c r="DA16" s="50">
        <f>CY16*CZ16</f>
        <v>0</v>
      </c>
      <c r="DB16" s="163">
        <v>0</v>
      </c>
      <c r="DC16" s="44">
        <f>DB16*DA16</f>
        <v>0</v>
      </c>
      <c r="DD16" s="48" t="s">
        <v>177</v>
      </c>
      <c r="DE16" s="51">
        <v>0</v>
      </c>
      <c r="DF16" s="160">
        <v>0</v>
      </c>
      <c r="DG16" s="160">
        <v>0</v>
      </c>
      <c r="DH16" s="50">
        <f>DF16*DG16</f>
        <v>0</v>
      </c>
      <c r="DI16" s="163">
        <v>0</v>
      </c>
      <c r="DJ16" s="44">
        <f>DI16*DH16</f>
        <v>0</v>
      </c>
      <c r="DK16" s="48" t="s">
        <v>178</v>
      </c>
      <c r="DL16" s="51">
        <v>1</v>
      </c>
      <c r="DM16" s="160">
        <v>1</v>
      </c>
      <c r="DN16" s="160">
        <v>2</v>
      </c>
      <c r="DO16" s="50">
        <f t="shared" si="14"/>
        <v>2</v>
      </c>
      <c r="DP16" s="163">
        <v>1</v>
      </c>
      <c r="DQ16" s="44">
        <f t="shared" si="15"/>
        <v>2</v>
      </c>
      <c r="DR16" s="48" t="s">
        <v>179</v>
      </c>
      <c r="DS16" s="51">
        <v>10</v>
      </c>
      <c r="DT16" s="160">
        <v>0</v>
      </c>
      <c r="DU16" s="160">
        <v>0</v>
      </c>
      <c r="DV16" s="50">
        <f>DT16*DU16</f>
        <v>0</v>
      </c>
      <c r="DW16" s="163">
        <v>0</v>
      </c>
      <c r="DX16" s="44">
        <f>DW16*DV16</f>
        <v>0</v>
      </c>
      <c r="DY16" s="48" t="s">
        <v>180</v>
      </c>
      <c r="DZ16" s="51">
        <v>5</v>
      </c>
      <c r="EA16" s="160">
        <v>2</v>
      </c>
      <c r="EB16" s="160">
        <v>2</v>
      </c>
      <c r="EC16" s="50">
        <f>EA16*EB16</f>
        <v>4</v>
      </c>
      <c r="ED16" s="163">
        <v>0</v>
      </c>
      <c r="EE16" s="47">
        <f>ED16*EC16</f>
        <v>0</v>
      </c>
      <c r="EF16" s="48" t="s">
        <v>181</v>
      </c>
      <c r="EG16" s="51">
        <v>0</v>
      </c>
      <c r="EH16" s="160">
        <v>0</v>
      </c>
      <c r="EI16" s="160">
        <v>0</v>
      </c>
      <c r="EJ16" s="50">
        <f t="shared" si="16"/>
        <v>0</v>
      </c>
      <c r="EK16" s="163">
        <v>0</v>
      </c>
      <c r="EL16" s="44">
        <f t="shared" si="17"/>
        <v>0</v>
      </c>
      <c r="EM16" s="52" t="s">
        <v>182</v>
      </c>
      <c r="EN16" s="51">
        <v>0</v>
      </c>
      <c r="EO16" s="160">
        <v>5</v>
      </c>
      <c r="EP16" s="160">
        <v>8</v>
      </c>
      <c r="EQ16" s="50">
        <v>50</v>
      </c>
      <c r="ER16" s="163">
        <v>50</v>
      </c>
      <c r="ES16" s="44">
        <f t="shared" si="19"/>
        <v>2500</v>
      </c>
      <c r="ET16" s="48" t="s">
        <v>183</v>
      </c>
      <c r="EU16" s="51">
        <v>5</v>
      </c>
      <c r="EV16" s="160">
        <v>10</v>
      </c>
      <c r="EW16" s="160">
        <v>10</v>
      </c>
      <c r="EX16" s="50">
        <f>EV16*EW16</f>
        <v>100</v>
      </c>
      <c r="EY16" s="163">
        <v>0</v>
      </c>
      <c r="EZ16" s="44">
        <f>EY16*EX16</f>
        <v>0</v>
      </c>
      <c r="FA16" s="48" t="s">
        <v>184</v>
      </c>
      <c r="FB16" s="51">
        <v>5</v>
      </c>
      <c r="FC16" s="160">
        <v>10</v>
      </c>
      <c r="FD16" s="160">
        <v>10</v>
      </c>
      <c r="FE16" s="50">
        <f t="shared" si="20"/>
        <v>100</v>
      </c>
      <c r="FF16" s="163">
        <v>0</v>
      </c>
      <c r="FG16" s="44">
        <f t="shared" si="21"/>
        <v>0</v>
      </c>
      <c r="FH16" s="48" t="s">
        <v>185</v>
      </c>
      <c r="FI16" s="51">
        <v>10</v>
      </c>
      <c r="FJ16" s="160">
        <v>1</v>
      </c>
      <c r="FK16" s="160">
        <v>1</v>
      </c>
      <c r="FL16" s="50">
        <f t="shared" si="22"/>
        <v>1</v>
      </c>
      <c r="FM16" s="163">
        <v>0</v>
      </c>
      <c r="FN16" s="44">
        <f t="shared" si="23"/>
        <v>0</v>
      </c>
      <c r="FO16" s="48" t="s">
        <v>186</v>
      </c>
      <c r="FP16" s="51">
        <v>0</v>
      </c>
      <c r="FQ16" s="160">
        <v>0</v>
      </c>
      <c r="FR16" s="160">
        <v>0</v>
      </c>
      <c r="FS16" s="50">
        <f>FQ16*FR16</f>
        <v>0</v>
      </c>
      <c r="FT16" s="163">
        <v>0</v>
      </c>
      <c r="FU16" s="44">
        <f>FT16*FS16</f>
        <v>0</v>
      </c>
      <c r="FV16" s="48" t="s">
        <v>187</v>
      </c>
      <c r="FW16" s="51">
        <v>0</v>
      </c>
      <c r="FX16" s="160">
        <v>10</v>
      </c>
      <c r="FY16" s="160">
        <v>0</v>
      </c>
      <c r="FZ16" s="50">
        <v>50</v>
      </c>
      <c r="GA16" s="163">
        <v>0</v>
      </c>
      <c r="GB16" s="44">
        <f t="shared" si="24"/>
        <v>0</v>
      </c>
      <c r="GC16" s="48" t="s">
        <v>188</v>
      </c>
      <c r="GD16" s="51">
        <v>0</v>
      </c>
      <c r="GE16" s="160">
        <v>2</v>
      </c>
      <c r="GF16" s="160">
        <v>10</v>
      </c>
      <c r="GG16" s="50">
        <f>GE16*GF16</f>
        <v>20</v>
      </c>
      <c r="GH16" s="163">
        <v>0</v>
      </c>
      <c r="GI16" s="44">
        <f>GH16*GG16</f>
        <v>0</v>
      </c>
      <c r="GJ16" s="48" t="s">
        <v>189</v>
      </c>
      <c r="GK16" s="51">
        <v>0</v>
      </c>
      <c r="GL16" s="160">
        <v>5</v>
      </c>
      <c r="GM16" s="160">
        <v>10</v>
      </c>
      <c r="GN16" s="50">
        <f t="shared" si="25"/>
        <v>50</v>
      </c>
      <c r="GO16" s="163">
        <v>0</v>
      </c>
      <c r="GP16" s="44">
        <f t="shared" si="26"/>
        <v>0</v>
      </c>
    </row>
    <row r="17" spans="3:198" ht="57" customHeight="1" x14ac:dyDescent="0.3">
      <c r="C17" s="48" t="s">
        <v>190</v>
      </c>
      <c r="D17" s="49">
        <v>5</v>
      </c>
      <c r="E17" s="160">
        <v>1</v>
      </c>
      <c r="F17" s="160">
        <v>1</v>
      </c>
      <c r="G17" s="50">
        <f t="shared" si="0"/>
        <v>1</v>
      </c>
      <c r="H17" s="163">
        <v>0</v>
      </c>
      <c r="I17" s="44">
        <f t="shared" si="1"/>
        <v>0</v>
      </c>
      <c r="J17" s="48" t="s">
        <v>191</v>
      </c>
      <c r="K17" s="51">
        <v>5</v>
      </c>
      <c r="L17" s="160">
        <v>1</v>
      </c>
      <c r="M17" s="160">
        <v>1</v>
      </c>
      <c r="N17" s="50">
        <f t="shared" si="2"/>
        <v>1</v>
      </c>
      <c r="O17" s="163">
        <v>0</v>
      </c>
      <c r="P17" s="44">
        <f t="shared" si="3"/>
        <v>0</v>
      </c>
      <c r="Q17" s="48" t="s">
        <v>192</v>
      </c>
      <c r="R17" s="51">
        <v>4</v>
      </c>
      <c r="S17" s="160">
        <v>1</v>
      </c>
      <c r="T17" s="160">
        <v>1</v>
      </c>
      <c r="U17" s="50">
        <f t="shared" si="4"/>
        <v>1</v>
      </c>
      <c r="V17" s="163">
        <v>2</v>
      </c>
      <c r="W17" s="44">
        <f t="shared" si="5"/>
        <v>2</v>
      </c>
      <c r="X17" s="48" t="s">
        <v>193</v>
      </c>
      <c r="Y17" s="51">
        <v>5</v>
      </c>
      <c r="Z17" s="160">
        <v>2</v>
      </c>
      <c r="AA17" s="160">
        <v>5</v>
      </c>
      <c r="AB17" s="50">
        <f t="shared" si="6"/>
        <v>10</v>
      </c>
      <c r="AC17" s="163">
        <v>0</v>
      </c>
      <c r="AD17" s="44">
        <f t="shared" si="7"/>
        <v>0</v>
      </c>
      <c r="AE17" s="48" t="s">
        <v>194</v>
      </c>
      <c r="AF17" s="51">
        <v>2</v>
      </c>
      <c r="AG17" s="160">
        <v>4</v>
      </c>
      <c r="AH17" s="160">
        <v>1</v>
      </c>
      <c r="AI17" s="50">
        <f t="shared" si="8"/>
        <v>4</v>
      </c>
      <c r="AJ17" s="163">
        <v>0</v>
      </c>
      <c r="AK17" s="44">
        <f t="shared" si="9"/>
        <v>0</v>
      </c>
      <c r="AL17" s="52" t="s">
        <v>195</v>
      </c>
      <c r="AM17" s="51">
        <v>5</v>
      </c>
      <c r="AN17" s="160">
        <v>1</v>
      </c>
      <c r="AO17" s="160">
        <v>0</v>
      </c>
      <c r="AP17" s="50">
        <f t="shared" si="10"/>
        <v>0</v>
      </c>
      <c r="AQ17" s="163">
        <v>0</v>
      </c>
      <c r="AR17" s="44">
        <f t="shared" si="11"/>
        <v>0</v>
      </c>
      <c r="AS17" s="48" t="s">
        <v>196</v>
      </c>
      <c r="AT17" s="51">
        <v>2</v>
      </c>
      <c r="AU17" s="160">
        <v>1</v>
      </c>
      <c r="AV17" s="160">
        <v>2</v>
      </c>
      <c r="AW17" s="50">
        <f>AU17*AV17</f>
        <v>2</v>
      </c>
      <c r="AX17" s="163">
        <v>10</v>
      </c>
      <c r="AY17" s="44">
        <f>AX17*AW17</f>
        <v>20</v>
      </c>
      <c r="AZ17" s="54"/>
      <c r="BA17" s="55"/>
      <c r="BB17" s="55"/>
      <c r="BC17" s="55"/>
      <c r="BD17" s="55"/>
      <c r="BE17" s="55"/>
      <c r="BF17" s="56"/>
      <c r="BG17" s="57"/>
      <c r="BH17" s="55"/>
      <c r="BI17" s="55"/>
      <c r="BJ17" s="55"/>
      <c r="BK17" s="55"/>
      <c r="BL17" s="58"/>
      <c r="BM17" s="56"/>
      <c r="BN17" s="48" t="s">
        <v>197</v>
      </c>
      <c r="BO17" s="51">
        <v>5</v>
      </c>
      <c r="BP17" s="160">
        <v>1</v>
      </c>
      <c r="BQ17" s="160">
        <v>1</v>
      </c>
      <c r="BR17" s="50">
        <f t="shared" si="12"/>
        <v>1</v>
      </c>
      <c r="BS17" s="163">
        <v>2</v>
      </c>
      <c r="BT17" s="44">
        <f t="shared" si="13"/>
        <v>2</v>
      </c>
      <c r="BU17" s="48" t="s">
        <v>198</v>
      </c>
      <c r="BV17" s="51">
        <v>5</v>
      </c>
      <c r="BW17" s="160">
        <v>1</v>
      </c>
      <c r="BX17" s="160">
        <v>1</v>
      </c>
      <c r="BY17" s="50">
        <f>BW17*BX17</f>
        <v>1</v>
      </c>
      <c r="BZ17" s="163">
        <v>0</v>
      </c>
      <c r="CA17" s="44">
        <f>BZ17*BY17</f>
        <v>0</v>
      </c>
      <c r="CB17" s="54"/>
      <c r="CC17" s="55"/>
      <c r="CD17" s="55"/>
      <c r="CE17" s="55"/>
      <c r="CF17" s="55"/>
      <c r="CG17" s="55"/>
      <c r="CH17" s="56"/>
      <c r="CI17" s="54"/>
      <c r="CJ17" s="55"/>
      <c r="CK17" s="55"/>
      <c r="CL17" s="55"/>
      <c r="CM17" s="55"/>
      <c r="CN17" s="55"/>
      <c r="CO17" s="58"/>
      <c r="CP17" s="54"/>
      <c r="CQ17" s="55"/>
      <c r="CR17" s="55"/>
      <c r="CS17" s="55"/>
      <c r="CT17" s="55"/>
      <c r="CU17" s="55"/>
      <c r="CV17" s="56"/>
      <c r="CW17" s="57"/>
      <c r="CX17" s="55"/>
      <c r="CY17" s="55"/>
      <c r="CZ17" s="55"/>
      <c r="DA17" s="55"/>
      <c r="DB17" s="55"/>
      <c r="DC17" s="56"/>
      <c r="DD17" s="48" t="s">
        <v>199</v>
      </c>
      <c r="DE17" s="51">
        <v>0</v>
      </c>
      <c r="DF17" s="160">
        <v>0</v>
      </c>
      <c r="DG17" s="160">
        <v>0</v>
      </c>
      <c r="DH17" s="50">
        <f>DF17*DG17</f>
        <v>0</v>
      </c>
      <c r="DI17" s="163">
        <v>0</v>
      </c>
      <c r="DJ17" s="44">
        <f>DI17*DH17</f>
        <v>0</v>
      </c>
      <c r="DK17" s="48" t="s">
        <v>200</v>
      </c>
      <c r="DL17" s="51">
        <v>4</v>
      </c>
      <c r="DM17" s="160">
        <v>4</v>
      </c>
      <c r="DN17" s="160">
        <v>5</v>
      </c>
      <c r="DO17" s="50">
        <f t="shared" si="14"/>
        <v>20</v>
      </c>
      <c r="DP17" s="163">
        <v>2</v>
      </c>
      <c r="DQ17" s="44">
        <f t="shared" si="15"/>
        <v>40</v>
      </c>
      <c r="DR17" s="54"/>
      <c r="DS17" s="55"/>
      <c r="DT17" s="55"/>
      <c r="DU17" s="55"/>
      <c r="DV17" s="55"/>
      <c r="DW17" s="55"/>
      <c r="DX17" s="56"/>
      <c r="DY17" s="54"/>
      <c r="DZ17" s="55"/>
      <c r="EA17" s="55"/>
      <c r="EB17" s="55"/>
      <c r="EC17" s="55"/>
      <c r="ED17" s="55"/>
      <c r="EE17" s="58"/>
      <c r="EF17" s="48" t="s">
        <v>201</v>
      </c>
      <c r="EG17" s="51">
        <v>0</v>
      </c>
      <c r="EH17" s="160">
        <v>0</v>
      </c>
      <c r="EI17" s="160">
        <v>0</v>
      </c>
      <c r="EJ17" s="50">
        <f t="shared" si="16"/>
        <v>0</v>
      </c>
      <c r="EK17" s="163">
        <v>0</v>
      </c>
      <c r="EL17" s="44">
        <f t="shared" si="17"/>
        <v>0</v>
      </c>
      <c r="EM17" s="52" t="s">
        <v>202</v>
      </c>
      <c r="EN17" s="51">
        <v>1</v>
      </c>
      <c r="EO17" s="160">
        <v>5</v>
      </c>
      <c r="EP17" s="160">
        <v>8</v>
      </c>
      <c r="EQ17" s="50">
        <v>50</v>
      </c>
      <c r="ER17" s="163">
        <v>50</v>
      </c>
      <c r="ES17" s="44">
        <f t="shared" si="19"/>
        <v>2500</v>
      </c>
      <c r="ET17" s="54"/>
      <c r="EU17" s="55"/>
      <c r="EV17" s="55"/>
      <c r="EW17" s="55"/>
      <c r="EX17" s="55"/>
      <c r="EY17" s="55"/>
      <c r="EZ17" s="56"/>
      <c r="FA17" s="33" t="s">
        <v>203</v>
      </c>
      <c r="FB17" s="51">
        <v>10</v>
      </c>
      <c r="FC17" s="160">
        <v>10</v>
      </c>
      <c r="FD17" s="160">
        <v>10</v>
      </c>
      <c r="FE17" s="50">
        <f t="shared" si="20"/>
        <v>100</v>
      </c>
      <c r="FF17" s="163">
        <v>0</v>
      </c>
      <c r="FG17" s="44">
        <f t="shared" si="21"/>
        <v>0</v>
      </c>
      <c r="FH17" s="48" t="s">
        <v>204</v>
      </c>
      <c r="FI17" s="51">
        <v>5</v>
      </c>
      <c r="FJ17" s="160">
        <v>5</v>
      </c>
      <c r="FK17" s="160">
        <v>5</v>
      </c>
      <c r="FL17" s="50">
        <f t="shared" si="22"/>
        <v>25</v>
      </c>
      <c r="FM17" s="163">
        <v>6</v>
      </c>
      <c r="FN17" s="44">
        <f t="shared" si="23"/>
        <v>150</v>
      </c>
      <c r="FO17" s="48" t="s">
        <v>205</v>
      </c>
      <c r="FP17" s="51">
        <v>0</v>
      </c>
      <c r="FQ17" s="160">
        <v>0</v>
      </c>
      <c r="FR17" s="160">
        <v>0</v>
      </c>
      <c r="FS17" s="50">
        <f>FQ17*FR17</f>
        <v>0</v>
      </c>
      <c r="FT17" s="163">
        <v>0</v>
      </c>
      <c r="FU17" s="44">
        <f>FT17*FS17</f>
        <v>0</v>
      </c>
      <c r="FV17" s="48" t="s">
        <v>206</v>
      </c>
      <c r="FW17" s="51">
        <v>0</v>
      </c>
      <c r="FX17" s="160">
        <v>0</v>
      </c>
      <c r="FY17" s="160">
        <v>0</v>
      </c>
      <c r="FZ17" s="50">
        <f t="shared" ref="FZ17:FZ22" si="27">FX17*FY17</f>
        <v>0</v>
      </c>
      <c r="GA17" s="163">
        <v>0</v>
      </c>
      <c r="GB17" s="53">
        <f t="shared" si="24"/>
        <v>0</v>
      </c>
      <c r="GC17" s="48" t="s">
        <v>207</v>
      </c>
      <c r="GD17" s="51">
        <v>0</v>
      </c>
      <c r="GE17" s="160">
        <v>8</v>
      </c>
      <c r="GF17" s="160">
        <v>10</v>
      </c>
      <c r="GG17" s="50">
        <f>GE17*GF17</f>
        <v>80</v>
      </c>
      <c r="GH17" s="163">
        <v>0</v>
      </c>
      <c r="GI17" s="44">
        <f>GH17*GG17</f>
        <v>0</v>
      </c>
      <c r="GJ17" s="48" t="s">
        <v>208</v>
      </c>
      <c r="GK17" s="51">
        <v>20</v>
      </c>
      <c r="GL17" s="160">
        <v>2</v>
      </c>
      <c r="GM17" s="160">
        <v>5</v>
      </c>
      <c r="GN17" s="50">
        <f t="shared" si="25"/>
        <v>10</v>
      </c>
      <c r="GO17" s="163">
        <v>0</v>
      </c>
      <c r="GP17" s="44">
        <f t="shared" si="26"/>
        <v>0</v>
      </c>
    </row>
    <row r="18" spans="3:198" ht="42.75" customHeight="1" x14ac:dyDescent="0.3">
      <c r="C18" s="48" t="s">
        <v>209</v>
      </c>
      <c r="D18" s="49">
        <v>5</v>
      </c>
      <c r="E18" s="160">
        <v>1</v>
      </c>
      <c r="F18" s="160">
        <v>1</v>
      </c>
      <c r="G18" s="50">
        <f t="shared" si="0"/>
        <v>1</v>
      </c>
      <c r="H18" s="163">
        <v>0</v>
      </c>
      <c r="I18" s="44">
        <f t="shared" si="1"/>
        <v>0</v>
      </c>
      <c r="J18" s="48" t="s">
        <v>210</v>
      </c>
      <c r="K18" s="51">
        <v>5</v>
      </c>
      <c r="L18" s="160">
        <v>1</v>
      </c>
      <c r="M18" s="160">
        <v>1</v>
      </c>
      <c r="N18" s="50">
        <f t="shared" si="2"/>
        <v>1</v>
      </c>
      <c r="O18" s="163">
        <v>3</v>
      </c>
      <c r="P18" s="44">
        <f t="shared" si="3"/>
        <v>3</v>
      </c>
      <c r="Q18" s="48" t="s">
        <v>211</v>
      </c>
      <c r="R18" s="51">
        <v>4</v>
      </c>
      <c r="S18" s="160">
        <v>2</v>
      </c>
      <c r="T18" s="160">
        <v>3</v>
      </c>
      <c r="U18" s="50">
        <f t="shared" si="4"/>
        <v>6</v>
      </c>
      <c r="V18" s="163">
        <v>3</v>
      </c>
      <c r="W18" s="44">
        <f t="shared" si="5"/>
        <v>18</v>
      </c>
      <c r="X18" s="48" t="s">
        <v>212</v>
      </c>
      <c r="Y18" s="51">
        <v>5</v>
      </c>
      <c r="Z18" s="160">
        <v>1</v>
      </c>
      <c r="AA18" s="160">
        <v>5</v>
      </c>
      <c r="AB18" s="50">
        <f t="shared" si="6"/>
        <v>5</v>
      </c>
      <c r="AC18" s="163">
        <v>0</v>
      </c>
      <c r="AD18" s="44">
        <f t="shared" si="7"/>
        <v>0</v>
      </c>
      <c r="AE18" s="48" t="s">
        <v>213</v>
      </c>
      <c r="AF18" s="51">
        <v>5</v>
      </c>
      <c r="AG18" s="160">
        <v>4</v>
      </c>
      <c r="AH18" s="160">
        <v>1</v>
      </c>
      <c r="AI18" s="50">
        <f t="shared" si="8"/>
        <v>4</v>
      </c>
      <c r="AJ18" s="163">
        <v>3</v>
      </c>
      <c r="AK18" s="44">
        <f t="shared" si="9"/>
        <v>12</v>
      </c>
      <c r="AL18" s="52" t="s">
        <v>214</v>
      </c>
      <c r="AM18" s="51">
        <v>5</v>
      </c>
      <c r="AN18" s="160">
        <v>1</v>
      </c>
      <c r="AO18" s="160">
        <v>0</v>
      </c>
      <c r="AP18" s="50">
        <f t="shared" si="10"/>
        <v>0</v>
      </c>
      <c r="AQ18" s="163">
        <v>0</v>
      </c>
      <c r="AR18" s="44">
        <f t="shared" si="11"/>
        <v>0</v>
      </c>
      <c r="AS18" s="54"/>
      <c r="AT18" s="55"/>
      <c r="AU18" s="55"/>
      <c r="AV18" s="55"/>
      <c r="AW18" s="55"/>
      <c r="AX18" s="55"/>
      <c r="AY18" s="56"/>
      <c r="AZ18" s="54"/>
      <c r="BA18" s="55"/>
      <c r="BB18" s="55"/>
      <c r="BC18" s="55"/>
      <c r="BD18" s="55"/>
      <c r="BE18" s="55"/>
      <c r="BF18" s="56"/>
      <c r="BG18" s="57"/>
      <c r="BH18" s="55"/>
      <c r="BI18" s="55"/>
      <c r="BJ18" s="55"/>
      <c r="BK18" s="55"/>
      <c r="BL18" s="58"/>
      <c r="BM18" s="56"/>
      <c r="BN18" s="48" t="s">
        <v>215</v>
      </c>
      <c r="BO18" s="51">
        <v>5</v>
      </c>
      <c r="BP18" s="160">
        <v>1</v>
      </c>
      <c r="BQ18" s="160">
        <v>1</v>
      </c>
      <c r="BR18" s="50">
        <f t="shared" si="12"/>
        <v>1</v>
      </c>
      <c r="BS18" s="163">
        <v>0</v>
      </c>
      <c r="BT18" s="44">
        <f t="shared" si="13"/>
        <v>0</v>
      </c>
      <c r="BU18" s="54"/>
      <c r="BV18" s="55"/>
      <c r="BW18" s="55"/>
      <c r="BX18" s="55"/>
      <c r="BY18" s="55"/>
      <c r="BZ18" s="55"/>
      <c r="CA18" s="56"/>
      <c r="CB18" s="54"/>
      <c r="CC18" s="55"/>
      <c r="CD18" s="55"/>
      <c r="CE18" s="55"/>
      <c r="CF18" s="55"/>
      <c r="CG18" s="55"/>
      <c r="CH18" s="56"/>
      <c r="CI18" s="54"/>
      <c r="CJ18" s="55"/>
      <c r="CK18" s="55"/>
      <c r="CL18" s="55"/>
      <c r="CM18" s="55"/>
      <c r="CN18" s="55"/>
      <c r="CO18" s="58"/>
      <c r="CP18" s="54"/>
      <c r="CQ18" s="55"/>
      <c r="CR18" s="55"/>
      <c r="CS18" s="55"/>
      <c r="CT18" s="55"/>
      <c r="CU18" s="55"/>
      <c r="CV18" s="56"/>
      <c r="CW18" s="57"/>
      <c r="CX18" s="55"/>
      <c r="CY18" s="55"/>
      <c r="CZ18" s="55"/>
      <c r="DA18" s="55"/>
      <c r="DB18" s="55"/>
      <c r="DC18" s="56"/>
      <c r="DD18" s="54"/>
      <c r="DE18" s="55"/>
      <c r="DF18" s="55"/>
      <c r="DG18" s="55"/>
      <c r="DH18" s="55"/>
      <c r="DI18" s="55"/>
      <c r="DJ18" s="56"/>
      <c r="DK18" s="48" t="s">
        <v>216</v>
      </c>
      <c r="DL18" s="51">
        <v>1</v>
      </c>
      <c r="DM18" s="160">
        <v>1</v>
      </c>
      <c r="DN18" s="160">
        <v>1</v>
      </c>
      <c r="DO18" s="50">
        <f t="shared" si="14"/>
        <v>1</v>
      </c>
      <c r="DP18" s="163">
        <v>3</v>
      </c>
      <c r="DQ18" s="44">
        <f t="shared" si="15"/>
        <v>3</v>
      </c>
      <c r="DR18" s="54"/>
      <c r="DS18" s="55"/>
      <c r="DT18" s="55"/>
      <c r="DU18" s="55"/>
      <c r="DV18" s="55"/>
      <c r="DW18" s="55"/>
      <c r="DX18" s="56"/>
      <c r="DY18" s="54"/>
      <c r="DZ18" s="55"/>
      <c r="EA18" s="55"/>
      <c r="EB18" s="55"/>
      <c r="EC18" s="55"/>
      <c r="ED18" s="55"/>
      <c r="EE18" s="58"/>
      <c r="EF18" s="48" t="s">
        <v>217</v>
      </c>
      <c r="EG18" s="51">
        <v>0</v>
      </c>
      <c r="EH18" s="160">
        <v>0</v>
      </c>
      <c r="EI18" s="160">
        <v>0</v>
      </c>
      <c r="EJ18" s="50">
        <f t="shared" si="16"/>
        <v>0</v>
      </c>
      <c r="EK18" s="163">
        <v>0</v>
      </c>
      <c r="EL18" s="44">
        <f t="shared" si="17"/>
        <v>0</v>
      </c>
      <c r="EM18" s="52" t="s">
        <v>218</v>
      </c>
      <c r="EN18" s="51">
        <v>1</v>
      </c>
      <c r="EO18" s="160">
        <v>5</v>
      </c>
      <c r="EP18" s="160">
        <v>8</v>
      </c>
      <c r="EQ18" s="50">
        <v>50</v>
      </c>
      <c r="ER18" s="163">
        <v>50</v>
      </c>
      <c r="ES18" s="44">
        <f t="shared" si="19"/>
        <v>2500</v>
      </c>
      <c r="ET18" s="54"/>
      <c r="EU18" s="55"/>
      <c r="EV18" s="55"/>
      <c r="EW18" s="55"/>
      <c r="EX18" s="55"/>
      <c r="EY18" s="55"/>
      <c r="EZ18" s="56"/>
      <c r="FA18" s="48" t="s">
        <v>219</v>
      </c>
      <c r="FB18" s="51">
        <v>0</v>
      </c>
      <c r="FC18" s="160">
        <v>10</v>
      </c>
      <c r="FD18" s="160">
        <v>5</v>
      </c>
      <c r="FE18" s="50">
        <f t="shared" si="20"/>
        <v>50</v>
      </c>
      <c r="FF18" s="163">
        <v>0</v>
      </c>
      <c r="FG18" s="44">
        <f t="shared" si="21"/>
        <v>0</v>
      </c>
      <c r="FH18" s="48" t="s">
        <v>220</v>
      </c>
      <c r="FI18" s="51">
        <v>4</v>
      </c>
      <c r="FJ18" s="160">
        <v>4</v>
      </c>
      <c r="FK18" s="160">
        <v>4</v>
      </c>
      <c r="FL18" s="50">
        <f t="shared" si="22"/>
        <v>16</v>
      </c>
      <c r="FM18" s="163">
        <v>2</v>
      </c>
      <c r="FN18" s="44">
        <f t="shared" si="23"/>
        <v>32</v>
      </c>
      <c r="FO18" s="54"/>
      <c r="FP18" s="55"/>
      <c r="FQ18" s="55"/>
      <c r="FR18" s="55"/>
      <c r="FS18" s="55"/>
      <c r="FT18" s="55"/>
      <c r="FU18" s="56"/>
      <c r="FV18" s="45" t="s">
        <v>221</v>
      </c>
      <c r="FW18" s="43">
        <v>0</v>
      </c>
      <c r="FX18" s="165">
        <v>10</v>
      </c>
      <c r="FY18" s="165">
        <v>10</v>
      </c>
      <c r="FZ18" s="42">
        <f t="shared" si="27"/>
        <v>100</v>
      </c>
      <c r="GA18" s="162">
        <v>60</v>
      </c>
      <c r="GB18" s="44">
        <f t="shared" si="24"/>
        <v>6000</v>
      </c>
      <c r="GC18" s="54"/>
      <c r="GD18" s="55"/>
      <c r="GE18" s="55"/>
      <c r="GF18" s="55"/>
      <c r="GG18" s="55"/>
      <c r="GH18" s="55"/>
      <c r="GI18" s="56"/>
      <c r="GJ18" s="48" t="s">
        <v>222</v>
      </c>
      <c r="GK18" s="51">
        <v>0</v>
      </c>
      <c r="GL18" s="160">
        <v>10</v>
      </c>
      <c r="GM18" s="160">
        <v>10</v>
      </c>
      <c r="GN18" s="50">
        <f t="shared" si="25"/>
        <v>100</v>
      </c>
      <c r="GO18" s="163">
        <v>0</v>
      </c>
      <c r="GP18" s="44">
        <f t="shared" si="26"/>
        <v>0</v>
      </c>
    </row>
    <row r="19" spans="3:198" ht="42.75" customHeight="1" x14ac:dyDescent="0.3">
      <c r="C19" s="48" t="s">
        <v>223</v>
      </c>
      <c r="D19" s="49">
        <v>5</v>
      </c>
      <c r="E19" s="160">
        <v>1</v>
      </c>
      <c r="F19" s="160">
        <v>1</v>
      </c>
      <c r="G19" s="50">
        <f t="shared" si="0"/>
        <v>1</v>
      </c>
      <c r="H19" s="163">
        <v>0</v>
      </c>
      <c r="I19" s="44">
        <f t="shared" si="1"/>
        <v>0</v>
      </c>
      <c r="J19" s="48" t="s">
        <v>224</v>
      </c>
      <c r="K19" s="51">
        <v>10</v>
      </c>
      <c r="L19" s="160">
        <v>1</v>
      </c>
      <c r="M19" s="160">
        <v>10</v>
      </c>
      <c r="N19" s="50">
        <f t="shared" si="2"/>
        <v>10</v>
      </c>
      <c r="O19" s="163">
        <v>0</v>
      </c>
      <c r="P19" s="44">
        <f t="shared" si="3"/>
        <v>0</v>
      </c>
      <c r="Q19" s="48" t="s">
        <v>225</v>
      </c>
      <c r="R19" s="51">
        <v>4</v>
      </c>
      <c r="S19" s="160">
        <v>1</v>
      </c>
      <c r="T19" s="160">
        <v>2</v>
      </c>
      <c r="U19" s="50">
        <f t="shared" si="4"/>
        <v>2</v>
      </c>
      <c r="V19" s="163">
        <v>15</v>
      </c>
      <c r="W19" s="44">
        <f t="shared" si="5"/>
        <v>30</v>
      </c>
      <c r="X19" s="48" t="s">
        <v>226</v>
      </c>
      <c r="Y19" s="51">
        <v>5</v>
      </c>
      <c r="Z19" s="160">
        <v>1</v>
      </c>
      <c r="AA19" s="160">
        <v>1</v>
      </c>
      <c r="AB19" s="50">
        <f t="shared" si="6"/>
        <v>1</v>
      </c>
      <c r="AC19" s="163">
        <v>10</v>
      </c>
      <c r="AD19" s="44">
        <f t="shared" si="7"/>
        <v>10</v>
      </c>
      <c r="AE19" s="59"/>
      <c r="AF19" s="55"/>
      <c r="AG19" s="55"/>
      <c r="AH19" s="55"/>
      <c r="AI19" s="55"/>
      <c r="AJ19" s="55"/>
      <c r="AK19" s="56"/>
      <c r="AL19" s="57"/>
      <c r="AM19" s="55"/>
      <c r="AN19" s="55"/>
      <c r="AO19" s="55"/>
      <c r="AP19" s="55"/>
      <c r="AQ19" s="55"/>
      <c r="AR19" s="56"/>
      <c r="AS19" s="54"/>
      <c r="AT19" s="55"/>
      <c r="AU19" s="55"/>
      <c r="AV19" s="55"/>
      <c r="AW19" s="55"/>
      <c r="AX19" s="55"/>
      <c r="AY19" s="56"/>
      <c r="AZ19" s="54"/>
      <c r="BA19" s="55"/>
      <c r="BB19" s="55"/>
      <c r="BC19" s="55"/>
      <c r="BD19" s="55"/>
      <c r="BE19" s="55"/>
      <c r="BF19" s="56"/>
      <c r="BG19" s="57"/>
      <c r="BH19" s="55"/>
      <c r="BI19" s="55"/>
      <c r="BJ19" s="55"/>
      <c r="BK19" s="55"/>
      <c r="BL19" s="58"/>
      <c r="BM19" s="56"/>
      <c r="BN19" s="54"/>
      <c r="BO19" s="55"/>
      <c r="BP19" s="55"/>
      <c r="BQ19" s="55"/>
      <c r="BR19" s="55"/>
      <c r="BS19" s="55"/>
      <c r="BT19" s="56"/>
      <c r="BU19" s="54"/>
      <c r="BV19" s="55"/>
      <c r="BW19" s="55"/>
      <c r="BX19" s="55"/>
      <c r="BY19" s="55"/>
      <c r="BZ19" s="55"/>
      <c r="CA19" s="56"/>
      <c r="CB19" s="54"/>
      <c r="CC19" s="55"/>
      <c r="CD19" s="55"/>
      <c r="CE19" s="55"/>
      <c r="CF19" s="55"/>
      <c r="CG19" s="55"/>
      <c r="CH19" s="56"/>
      <c r="CI19" s="54"/>
      <c r="CJ19" s="55"/>
      <c r="CK19" s="55"/>
      <c r="CL19" s="55"/>
      <c r="CM19" s="55"/>
      <c r="CN19" s="55"/>
      <c r="CO19" s="58"/>
      <c r="CP19" s="54"/>
      <c r="CQ19" s="55"/>
      <c r="CR19" s="55"/>
      <c r="CS19" s="55"/>
      <c r="CT19" s="55"/>
      <c r="CU19" s="55"/>
      <c r="CV19" s="56"/>
      <c r="CW19" s="57"/>
      <c r="CX19" s="55"/>
      <c r="CY19" s="55"/>
      <c r="CZ19" s="55"/>
      <c r="DA19" s="55"/>
      <c r="DB19" s="55"/>
      <c r="DC19" s="56"/>
      <c r="DD19" s="54"/>
      <c r="DE19" s="55"/>
      <c r="DF19" s="55"/>
      <c r="DG19" s="55"/>
      <c r="DH19" s="55"/>
      <c r="DI19" s="55"/>
      <c r="DJ19" s="56"/>
      <c r="DK19" s="54"/>
      <c r="DL19" s="55"/>
      <c r="DM19" s="55"/>
      <c r="DN19" s="55"/>
      <c r="DO19" s="55"/>
      <c r="DP19" s="55"/>
      <c r="DQ19" s="56"/>
      <c r="DR19" s="54"/>
      <c r="DS19" s="55"/>
      <c r="DT19" s="55"/>
      <c r="DU19" s="55"/>
      <c r="DV19" s="55"/>
      <c r="DW19" s="55"/>
      <c r="DX19" s="56"/>
      <c r="DY19" s="54"/>
      <c r="DZ19" s="55"/>
      <c r="EA19" s="55"/>
      <c r="EB19" s="55"/>
      <c r="EC19" s="55"/>
      <c r="ED19" s="55"/>
      <c r="EE19" s="58"/>
      <c r="EF19" s="54"/>
      <c r="EG19" s="55"/>
      <c r="EH19" s="55"/>
      <c r="EI19" s="55"/>
      <c r="EJ19" s="55"/>
      <c r="EK19" s="55"/>
      <c r="EL19" s="56"/>
      <c r="EM19" s="57"/>
      <c r="EN19" s="55"/>
      <c r="EO19" s="55"/>
      <c r="EP19" s="55"/>
      <c r="EQ19" s="55"/>
      <c r="ER19" s="55"/>
      <c r="ES19" s="56"/>
      <c r="ET19" s="54"/>
      <c r="EU19" s="55"/>
      <c r="EV19" s="55"/>
      <c r="EW19" s="55"/>
      <c r="EX19" s="55"/>
      <c r="EY19" s="55"/>
      <c r="EZ19" s="56"/>
      <c r="FA19" s="48" t="s">
        <v>227</v>
      </c>
      <c r="FB19" s="51">
        <v>0</v>
      </c>
      <c r="FC19" s="160">
        <v>10</v>
      </c>
      <c r="FD19" s="160">
        <v>5</v>
      </c>
      <c r="FE19" s="50">
        <f t="shared" si="20"/>
        <v>50</v>
      </c>
      <c r="FF19" s="163">
        <v>0</v>
      </c>
      <c r="FG19" s="44">
        <f t="shared" si="21"/>
        <v>0</v>
      </c>
      <c r="FH19" s="48" t="s">
        <v>228</v>
      </c>
      <c r="FI19" s="51">
        <v>5</v>
      </c>
      <c r="FJ19" s="160">
        <v>4</v>
      </c>
      <c r="FK19" s="160">
        <v>6</v>
      </c>
      <c r="FL19" s="50">
        <f t="shared" si="22"/>
        <v>24</v>
      </c>
      <c r="FM19" s="163">
        <v>2</v>
      </c>
      <c r="FN19" s="44">
        <f t="shared" si="23"/>
        <v>48</v>
      </c>
      <c r="FO19" s="54"/>
      <c r="FP19" s="55"/>
      <c r="FQ19" s="55"/>
      <c r="FR19" s="55"/>
      <c r="FS19" s="55"/>
      <c r="FT19" s="55"/>
      <c r="FU19" s="56"/>
      <c r="FV19" s="48" t="s">
        <v>229</v>
      </c>
      <c r="FW19" s="51">
        <v>0</v>
      </c>
      <c r="FX19" s="160">
        <v>0</v>
      </c>
      <c r="FY19" s="160">
        <v>0</v>
      </c>
      <c r="FZ19" s="50">
        <f t="shared" si="27"/>
        <v>0</v>
      </c>
      <c r="GA19" s="163">
        <v>0</v>
      </c>
      <c r="GB19" s="44">
        <f t="shared" si="24"/>
        <v>0</v>
      </c>
      <c r="GC19" s="54"/>
      <c r="GD19" s="55"/>
      <c r="GE19" s="55"/>
      <c r="GF19" s="55"/>
      <c r="GG19" s="55"/>
      <c r="GH19" s="55"/>
      <c r="GI19" s="56"/>
      <c r="GJ19" s="54"/>
      <c r="GK19" s="55"/>
      <c r="GL19" s="55"/>
      <c r="GM19" s="55"/>
      <c r="GN19" s="55"/>
      <c r="GO19" s="55"/>
      <c r="GP19" s="56"/>
    </row>
    <row r="20" spans="3:198" ht="84.75" customHeight="1" x14ac:dyDescent="0.3">
      <c r="C20" s="48" t="s">
        <v>230</v>
      </c>
      <c r="D20" s="49">
        <v>5</v>
      </c>
      <c r="E20" s="160">
        <v>1</v>
      </c>
      <c r="F20" s="160">
        <v>1</v>
      </c>
      <c r="G20" s="50">
        <f t="shared" si="0"/>
        <v>1</v>
      </c>
      <c r="H20" s="163">
        <v>0</v>
      </c>
      <c r="I20" s="44">
        <f t="shared" si="1"/>
        <v>0</v>
      </c>
      <c r="J20" s="48" t="s">
        <v>231</v>
      </c>
      <c r="K20" s="51">
        <v>8</v>
      </c>
      <c r="L20" s="160">
        <v>4</v>
      </c>
      <c r="M20" s="160">
        <v>3</v>
      </c>
      <c r="N20" s="50">
        <f t="shared" si="2"/>
        <v>12</v>
      </c>
      <c r="O20" s="163">
        <v>10</v>
      </c>
      <c r="P20" s="44">
        <f t="shared" si="3"/>
        <v>120</v>
      </c>
      <c r="Q20" s="48" t="s">
        <v>232</v>
      </c>
      <c r="R20" s="51">
        <v>5</v>
      </c>
      <c r="S20" s="160">
        <v>1</v>
      </c>
      <c r="T20" s="160">
        <v>1</v>
      </c>
      <c r="U20" s="50">
        <f t="shared" si="4"/>
        <v>1</v>
      </c>
      <c r="V20" s="163">
        <v>0</v>
      </c>
      <c r="W20" s="44">
        <f t="shared" si="5"/>
        <v>0</v>
      </c>
      <c r="X20" s="48" t="s">
        <v>233</v>
      </c>
      <c r="Y20" s="51">
        <v>5</v>
      </c>
      <c r="Z20" s="160">
        <v>1</v>
      </c>
      <c r="AA20" s="160">
        <v>1</v>
      </c>
      <c r="AB20" s="50">
        <f t="shared" si="6"/>
        <v>1</v>
      </c>
      <c r="AC20" s="163">
        <v>0</v>
      </c>
      <c r="AD20" s="44">
        <f t="shared" si="7"/>
        <v>0</v>
      </c>
      <c r="AE20" s="54"/>
      <c r="AF20" s="55"/>
      <c r="AG20" s="55"/>
      <c r="AH20" s="55"/>
      <c r="AI20" s="55"/>
      <c r="AJ20" s="55"/>
      <c r="AK20" s="56"/>
      <c r="AL20" s="57"/>
      <c r="AM20" s="55"/>
      <c r="AN20" s="55"/>
      <c r="AO20" s="55"/>
      <c r="AP20" s="55"/>
      <c r="AQ20" s="55"/>
      <c r="AR20" s="56"/>
      <c r="AS20" s="54"/>
      <c r="AT20" s="55"/>
      <c r="AU20" s="55"/>
      <c r="AV20" s="55"/>
      <c r="AW20" s="55"/>
      <c r="AX20" s="55"/>
      <c r="AY20" s="56"/>
      <c r="AZ20" s="54"/>
      <c r="BA20" s="55"/>
      <c r="BB20" s="55"/>
      <c r="BC20" s="55"/>
      <c r="BD20" s="55"/>
      <c r="BE20" s="55"/>
      <c r="BF20" s="56"/>
      <c r="BG20" s="57"/>
      <c r="BH20" s="55"/>
      <c r="BI20" s="55"/>
      <c r="BJ20" s="55"/>
      <c r="BK20" s="55"/>
      <c r="BL20" s="58"/>
      <c r="BM20" s="56"/>
      <c r="BN20" s="54"/>
      <c r="BO20" s="55"/>
      <c r="BP20" s="55"/>
      <c r="BQ20" s="55"/>
      <c r="BR20" s="55"/>
      <c r="BS20" s="55"/>
      <c r="BT20" s="56"/>
      <c r="BU20" s="54"/>
      <c r="BV20" s="55"/>
      <c r="BW20" s="55"/>
      <c r="BX20" s="55"/>
      <c r="BY20" s="55"/>
      <c r="BZ20" s="55"/>
      <c r="CA20" s="56"/>
      <c r="CB20" s="54"/>
      <c r="CC20" s="55"/>
      <c r="CD20" s="55"/>
      <c r="CE20" s="55"/>
      <c r="CF20" s="55"/>
      <c r="CG20" s="55"/>
      <c r="CH20" s="56"/>
      <c r="CI20" s="54"/>
      <c r="CJ20" s="55"/>
      <c r="CK20" s="55"/>
      <c r="CL20" s="55"/>
      <c r="CM20" s="55"/>
      <c r="CN20" s="55"/>
      <c r="CO20" s="58"/>
      <c r="CP20" s="54"/>
      <c r="CQ20" s="55"/>
      <c r="CR20" s="55"/>
      <c r="CS20" s="55"/>
      <c r="CT20" s="55"/>
      <c r="CU20" s="55"/>
      <c r="CV20" s="56"/>
      <c r="CW20" s="57"/>
      <c r="CX20" s="55"/>
      <c r="CY20" s="55"/>
      <c r="CZ20" s="55"/>
      <c r="DA20" s="55"/>
      <c r="DB20" s="55"/>
      <c r="DC20" s="56"/>
      <c r="DD20" s="54"/>
      <c r="DE20" s="55"/>
      <c r="DF20" s="55"/>
      <c r="DG20" s="55"/>
      <c r="DH20" s="55"/>
      <c r="DI20" s="55"/>
      <c r="DJ20" s="56"/>
      <c r="DK20" s="54"/>
      <c r="DL20" s="55"/>
      <c r="DM20" s="55"/>
      <c r="DN20" s="55"/>
      <c r="DO20" s="55"/>
      <c r="DP20" s="55"/>
      <c r="DQ20" s="56"/>
      <c r="DR20" s="54"/>
      <c r="DS20" s="55"/>
      <c r="DT20" s="55"/>
      <c r="DU20" s="55"/>
      <c r="DV20" s="55"/>
      <c r="DW20" s="55"/>
      <c r="DX20" s="56"/>
      <c r="DY20" s="54"/>
      <c r="DZ20" s="55"/>
      <c r="EA20" s="55"/>
      <c r="EB20" s="55"/>
      <c r="EC20" s="55"/>
      <c r="ED20" s="55"/>
      <c r="EE20" s="58"/>
      <c r="EF20" s="54"/>
      <c r="EG20" s="55"/>
      <c r="EH20" s="55"/>
      <c r="EI20" s="55"/>
      <c r="EJ20" s="55"/>
      <c r="EK20" s="55"/>
      <c r="EL20" s="56"/>
      <c r="EM20" s="57"/>
      <c r="EN20" s="55"/>
      <c r="EO20" s="55"/>
      <c r="EP20" s="55"/>
      <c r="EQ20" s="55"/>
      <c r="ER20" s="55"/>
      <c r="ES20" s="56"/>
      <c r="ET20" s="54"/>
      <c r="EU20" s="55"/>
      <c r="EV20" s="55"/>
      <c r="EW20" s="55"/>
      <c r="EX20" s="55"/>
      <c r="EY20" s="55"/>
      <c r="EZ20" s="56"/>
      <c r="FA20" s="45" t="s">
        <v>234</v>
      </c>
      <c r="FB20" s="51">
        <v>10</v>
      </c>
      <c r="FC20" s="160">
        <v>10</v>
      </c>
      <c r="FD20" s="160">
        <v>10</v>
      </c>
      <c r="FE20" s="50">
        <f t="shared" si="20"/>
        <v>100</v>
      </c>
      <c r="FF20" s="163">
        <v>0</v>
      </c>
      <c r="FG20" s="44">
        <f t="shared" si="21"/>
        <v>0</v>
      </c>
      <c r="FH20" s="54"/>
      <c r="FI20" s="55"/>
      <c r="FJ20" s="55"/>
      <c r="FK20" s="55"/>
      <c r="FL20" s="55"/>
      <c r="FM20" s="55"/>
      <c r="FN20" s="56"/>
      <c r="FO20" s="54"/>
      <c r="FP20" s="55"/>
      <c r="FQ20" s="55"/>
      <c r="FR20" s="55"/>
      <c r="FS20" s="55"/>
      <c r="FT20" s="55"/>
      <c r="FU20" s="56"/>
      <c r="FV20" s="48" t="s">
        <v>235</v>
      </c>
      <c r="FW20" s="51">
        <v>0</v>
      </c>
      <c r="FX20" s="160">
        <v>0</v>
      </c>
      <c r="FY20" s="160">
        <v>0</v>
      </c>
      <c r="FZ20" s="50">
        <f t="shared" si="27"/>
        <v>0</v>
      </c>
      <c r="GA20" s="163">
        <v>0</v>
      </c>
      <c r="GB20" s="44">
        <f t="shared" si="24"/>
        <v>0</v>
      </c>
      <c r="GC20" s="54"/>
      <c r="GD20" s="55"/>
      <c r="GE20" s="55"/>
      <c r="GF20" s="55"/>
      <c r="GG20" s="55"/>
      <c r="GH20" s="55"/>
      <c r="GI20" s="56"/>
      <c r="GJ20" s="54"/>
      <c r="GK20" s="55"/>
      <c r="GL20" s="55"/>
      <c r="GM20" s="55"/>
      <c r="GN20" s="55"/>
      <c r="GO20" s="55"/>
      <c r="GP20" s="56"/>
    </row>
    <row r="21" spans="3:198" ht="114" customHeight="1" x14ac:dyDescent="0.3">
      <c r="C21" s="54"/>
      <c r="D21" s="55"/>
      <c r="E21" s="55"/>
      <c r="F21" s="55"/>
      <c r="G21" s="55"/>
      <c r="H21" s="55"/>
      <c r="I21" s="56"/>
      <c r="J21" s="48" t="s">
        <v>236</v>
      </c>
      <c r="K21" s="51" t="s">
        <v>237</v>
      </c>
      <c r="L21" s="160">
        <v>0</v>
      </c>
      <c r="M21" s="160">
        <v>0</v>
      </c>
      <c r="N21" s="50">
        <f t="shared" si="2"/>
        <v>0</v>
      </c>
      <c r="O21" s="163">
        <v>0</v>
      </c>
      <c r="P21" s="44">
        <f t="shared" si="3"/>
        <v>0</v>
      </c>
      <c r="Q21" s="48" t="s">
        <v>238</v>
      </c>
      <c r="R21" s="51">
        <v>0</v>
      </c>
      <c r="S21" s="160">
        <v>4</v>
      </c>
      <c r="T21" s="160">
        <v>6</v>
      </c>
      <c r="U21" s="50">
        <f t="shared" si="4"/>
        <v>24</v>
      </c>
      <c r="V21" s="163">
        <v>60</v>
      </c>
      <c r="W21" s="44">
        <f t="shared" si="5"/>
        <v>1440</v>
      </c>
      <c r="X21" s="54"/>
      <c r="Y21" s="55"/>
      <c r="Z21" s="55"/>
      <c r="AA21" s="55"/>
      <c r="AB21" s="55"/>
      <c r="AC21" s="55"/>
      <c r="AD21" s="56"/>
      <c r="AE21" s="54"/>
      <c r="AF21" s="55"/>
      <c r="AG21" s="55"/>
      <c r="AH21" s="55"/>
      <c r="AI21" s="55"/>
      <c r="AJ21" s="55"/>
      <c r="AK21" s="56"/>
      <c r="AL21" s="57"/>
      <c r="AM21" s="55"/>
      <c r="AN21" s="55"/>
      <c r="AO21" s="55"/>
      <c r="AP21" s="55"/>
      <c r="AQ21" s="55"/>
      <c r="AR21" s="56"/>
      <c r="AS21" s="54"/>
      <c r="AT21" s="55"/>
      <c r="AU21" s="55"/>
      <c r="AV21" s="55"/>
      <c r="AW21" s="55"/>
      <c r="AX21" s="55"/>
      <c r="AY21" s="56"/>
      <c r="AZ21" s="54"/>
      <c r="BA21" s="55"/>
      <c r="BB21" s="55"/>
      <c r="BC21" s="55"/>
      <c r="BD21" s="55"/>
      <c r="BE21" s="55"/>
      <c r="BF21" s="56"/>
      <c r="BG21" s="57"/>
      <c r="BH21" s="55"/>
      <c r="BI21" s="55"/>
      <c r="BJ21" s="55"/>
      <c r="BK21" s="55"/>
      <c r="BL21" s="58"/>
      <c r="BM21" s="56"/>
      <c r="BN21" s="54"/>
      <c r="BO21" s="55"/>
      <c r="BP21" s="55"/>
      <c r="BQ21" s="55"/>
      <c r="BR21" s="55"/>
      <c r="BS21" s="55"/>
      <c r="BT21" s="56"/>
      <c r="BU21" s="54"/>
      <c r="BV21" s="55"/>
      <c r="BW21" s="55"/>
      <c r="BX21" s="55"/>
      <c r="BY21" s="55"/>
      <c r="BZ21" s="55"/>
      <c r="CA21" s="56"/>
      <c r="CB21" s="54"/>
      <c r="CC21" s="55"/>
      <c r="CD21" s="55"/>
      <c r="CE21" s="55"/>
      <c r="CF21" s="55"/>
      <c r="CG21" s="55"/>
      <c r="CH21" s="56"/>
      <c r="CI21" s="54"/>
      <c r="CJ21" s="55"/>
      <c r="CK21" s="55"/>
      <c r="CL21" s="55"/>
      <c r="CM21" s="55"/>
      <c r="CN21" s="55"/>
      <c r="CO21" s="58"/>
      <c r="CP21" s="54"/>
      <c r="CQ21" s="55"/>
      <c r="CR21" s="55"/>
      <c r="CS21" s="55"/>
      <c r="CT21" s="55"/>
      <c r="CU21" s="55"/>
      <c r="CV21" s="56"/>
      <c r="CW21" s="57"/>
      <c r="CX21" s="55"/>
      <c r="CY21" s="55"/>
      <c r="CZ21" s="55"/>
      <c r="DA21" s="55"/>
      <c r="DB21" s="55"/>
      <c r="DC21" s="56"/>
      <c r="DD21" s="54"/>
      <c r="DE21" s="55"/>
      <c r="DF21" s="55"/>
      <c r="DG21" s="55"/>
      <c r="DH21" s="55"/>
      <c r="DI21" s="55"/>
      <c r="DJ21" s="56"/>
      <c r="DK21" s="54"/>
      <c r="DL21" s="55"/>
      <c r="DM21" s="55"/>
      <c r="DN21" s="55"/>
      <c r="DO21" s="55"/>
      <c r="DP21" s="55"/>
      <c r="DQ21" s="56"/>
      <c r="DR21" s="54"/>
      <c r="DS21" s="55"/>
      <c r="DT21" s="55"/>
      <c r="DU21" s="55"/>
      <c r="DV21" s="55"/>
      <c r="DW21" s="55"/>
      <c r="DX21" s="56"/>
      <c r="DY21" s="54"/>
      <c r="DZ21" s="55"/>
      <c r="EA21" s="55"/>
      <c r="EB21" s="55"/>
      <c r="EC21" s="55"/>
      <c r="ED21" s="55"/>
      <c r="EE21" s="58"/>
      <c r="EF21" s="54"/>
      <c r="EG21" s="55"/>
      <c r="EH21" s="55"/>
      <c r="EI21" s="55"/>
      <c r="EJ21" s="55"/>
      <c r="EK21" s="55"/>
      <c r="EL21" s="56"/>
      <c r="EM21" s="57"/>
      <c r="EN21" s="55"/>
      <c r="EO21" s="55"/>
      <c r="EP21" s="55"/>
      <c r="EQ21" s="55"/>
      <c r="ER21" s="55"/>
      <c r="ES21" s="56"/>
      <c r="ET21" s="54"/>
      <c r="EU21" s="55"/>
      <c r="EV21" s="55"/>
      <c r="EW21" s="55"/>
      <c r="EX21" s="55"/>
      <c r="EY21" s="55"/>
      <c r="EZ21" s="56"/>
      <c r="FA21" s="48" t="s">
        <v>239</v>
      </c>
      <c r="FB21" s="51">
        <v>10</v>
      </c>
      <c r="FC21" s="160">
        <v>10</v>
      </c>
      <c r="FD21" s="160">
        <v>10</v>
      </c>
      <c r="FE21" s="50">
        <f t="shared" si="20"/>
        <v>100</v>
      </c>
      <c r="FF21" s="163">
        <v>0</v>
      </c>
      <c r="FG21" s="44">
        <f t="shared" si="21"/>
        <v>0</v>
      </c>
      <c r="FH21" s="54"/>
      <c r="FI21" s="55"/>
      <c r="FJ21" s="55"/>
      <c r="FK21" s="55"/>
      <c r="FL21" s="55"/>
      <c r="FM21" s="55"/>
      <c r="FN21" s="56"/>
      <c r="FO21" s="54"/>
      <c r="FP21" s="55"/>
      <c r="FQ21" s="55"/>
      <c r="FR21" s="55"/>
      <c r="FS21" s="55"/>
      <c r="FT21" s="55"/>
      <c r="FU21" s="56"/>
      <c r="FV21" s="48" t="s">
        <v>220</v>
      </c>
      <c r="FW21" s="51">
        <v>0</v>
      </c>
      <c r="FX21" s="160">
        <v>0</v>
      </c>
      <c r="FY21" s="160">
        <v>0</v>
      </c>
      <c r="FZ21" s="50">
        <f t="shared" si="27"/>
        <v>0</v>
      </c>
      <c r="GA21" s="163">
        <v>0</v>
      </c>
      <c r="GB21" s="44">
        <f t="shared" si="24"/>
        <v>0</v>
      </c>
      <c r="GC21" s="54"/>
      <c r="GD21" s="55"/>
      <c r="GE21" s="55"/>
      <c r="GF21" s="55"/>
      <c r="GG21" s="55"/>
      <c r="GH21" s="55"/>
      <c r="GI21" s="56"/>
      <c r="GJ21" s="54"/>
      <c r="GK21" s="55"/>
      <c r="GL21" s="55"/>
      <c r="GM21" s="55"/>
      <c r="GN21" s="55"/>
      <c r="GO21" s="55"/>
      <c r="GP21" s="56"/>
    </row>
    <row r="22" spans="3:198" ht="102" customHeight="1" x14ac:dyDescent="0.3">
      <c r="C22" s="54"/>
      <c r="D22" s="55"/>
      <c r="E22" s="55"/>
      <c r="F22" s="55"/>
      <c r="G22" s="55"/>
      <c r="H22" s="55"/>
      <c r="I22" s="56"/>
      <c r="J22" s="48" t="s">
        <v>240</v>
      </c>
      <c r="K22" s="51">
        <v>5</v>
      </c>
      <c r="L22" s="160">
        <v>1</v>
      </c>
      <c r="M22" s="160">
        <v>1</v>
      </c>
      <c r="N22" s="50">
        <f t="shared" si="2"/>
        <v>1</v>
      </c>
      <c r="O22" s="163">
        <v>0</v>
      </c>
      <c r="P22" s="44">
        <f t="shared" si="3"/>
        <v>0</v>
      </c>
      <c r="Q22" s="48" t="s">
        <v>241</v>
      </c>
      <c r="R22" s="51">
        <v>5</v>
      </c>
      <c r="S22" s="160">
        <v>1</v>
      </c>
      <c r="T22" s="160">
        <v>1</v>
      </c>
      <c r="U22" s="50">
        <f t="shared" si="4"/>
        <v>1</v>
      </c>
      <c r="V22" s="163">
        <v>0</v>
      </c>
      <c r="W22" s="44">
        <f t="shared" si="5"/>
        <v>0</v>
      </c>
      <c r="X22" s="54"/>
      <c r="Y22" s="55"/>
      <c r="Z22" s="55"/>
      <c r="AA22" s="55"/>
      <c r="AB22" s="55"/>
      <c r="AC22" s="55"/>
      <c r="AD22" s="56"/>
      <c r="AE22" s="59"/>
      <c r="AF22" s="55"/>
      <c r="AG22" s="55"/>
      <c r="AH22" s="55"/>
      <c r="AI22" s="55"/>
      <c r="AJ22" s="55"/>
      <c r="AK22" s="56"/>
      <c r="AL22" s="57"/>
      <c r="AM22" s="55"/>
      <c r="AN22" s="55"/>
      <c r="AO22" s="55"/>
      <c r="AP22" s="55"/>
      <c r="AQ22" s="55"/>
      <c r="AR22" s="56"/>
      <c r="AS22" s="54"/>
      <c r="AT22" s="55"/>
      <c r="AU22" s="55"/>
      <c r="AV22" s="55"/>
      <c r="AW22" s="55"/>
      <c r="AX22" s="55"/>
      <c r="AY22" s="56"/>
      <c r="AZ22" s="54"/>
      <c r="BA22" s="55"/>
      <c r="BB22" s="55"/>
      <c r="BC22" s="55"/>
      <c r="BD22" s="55"/>
      <c r="BE22" s="55"/>
      <c r="BF22" s="56"/>
      <c r="BG22" s="57"/>
      <c r="BH22" s="55"/>
      <c r="BI22" s="55"/>
      <c r="BJ22" s="55"/>
      <c r="BK22" s="55"/>
      <c r="BL22" s="58"/>
      <c r="BM22" s="56"/>
      <c r="BN22" s="54"/>
      <c r="BO22" s="55"/>
      <c r="BP22" s="55"/>
      <c r="BQ22" s="55"/>
      <c r="BR22" s="55"/>
      <c r="BS22" s="55"/>
      <c r="BT22" s="56"/>
      <c r="BU22" s="54"/>
      <c r="BV22" s="55"/>
      <c r="BW22" s="55"/>
      <c r="BX22" s="55"/>
      <c r="BY22" s="55"/>
      <c r="BZ22" s="55"/>
      <c r="CA22" s="56"/>
      <c r="CB22" s="54"/>
      <c r="CC22" s="55"/>
      <c r="CD22" s="55"/>
      <c r="CE22" s="55"/>
      <c r="CF22" s="55"/>
      <c r="CG22" s="55"/>
      <c r="CH22" s="56"/>
      <c r="CI22" s="54"/>
      <c r="CJ22" s="55"/>
      <c r="CK22" s="55"/>
      <c r="CL22" s="55"/>
      <c r="CM22" s="55"/>
      <c r="CN22" s="55"/>
      <c r="CO22" s="58"/>
      <c r="CP22" s="54"/>
      <c r="CQ22" s="55"/>
      <c r="CR22" s="55"/>
      <c r="CS22" s="55"/>
      <c r="CT22" s="55"/>
      <c r="CU22" s="55"/>
      <c r="CV22" s="56"/>
      <c r="CW22" s="57"/>
      <c r="CX22" s="55"/>
      <c r="CY22" s="55"/>
      <c r="CZ22" s="55"/>
      <c r="DA22" s="55"/>
      <c r="DB22" s="55"/>
      <c r="DC22" s="56"/>
      <c r="DD22" s="54"/>
      <c r="DE22" s="55"/>
      <c r="DF22" s="55"/>
      <c r="DG22" s="55"/>
      <c r="DH22" s="55"/>
      <c r="DI22" s="55"/>
      <c r="DJ22" s="56"/>
      <c r="DK22" s="54"/>
      <c r="DL22" s="55"/>
      <c r="DM22" s="55"/>
      <c r="DN22" s="55"/>
      <c r="DO22" s="55"/>
      <c r="DP22" s="55"/>
      <c r="DQ22" s="56"/>
      <c r="DR22" s="54"/>
      <c r="DS22" s="55"/>
      <c r="DT22" s="55"/>
      <c r="DU22" s="55"/>
      <c r="DV22" s="55"/>
      <c r="DW22" s="55"/>
      <c r="DX22" s="56"/>
      <c r="DY22" s="54"/>
      <c r="DZ22" s="55"/>
      <c r="EA22" s="55"/>
      <c r="EB22" s="55"/>
      <c r="EC22" s="55"/>
      <c r="ED22" s="55"/>
      <c r="EE22" s="58"/>
      <c r="EF22" s="54"/>
      <c r="EG22" s="55"/>
      <c r="EH22" s="55"/>
      <c r="EI22" s="55"/>
      <c r="EJ22" s="55"/>
      <c r="EK22" s="55"/>
      <c r="EL22" s="56"/>
      <c r="EM22" s="57"/>
      <c r="EN22" s="55"/>
      <c r="EO22" s="55"/>
      <c r="EP22" s="55"/>
      <c r="EQ22" s="55"/>
      <c r="ER22" s="55"/>
      <c r="ES22" s="56"/>
      <c r="ET22" s="54"/>
      <c r="EU22" s="55"/>
      <c r="EV22" s="55"/>
      <c r="EW22" s="55"/>
      <c r="EX22" s="55"/>
      <c r="EY22" s="55"/>
      <c r="EZ22" s="56"/>
      <c r="FA22" s="48" t="s">
        <v>206</v>
      </c>
      <c r="FB22" s="51">
        <v>8</v>
      </c>
      <c r="FC22" s="160">
        <v>5</v>
      </c>
      <c r="FD22" s="160">
        <v>5</v>
      </c>
      <c r="FE22" s="50">
        <f t="shared" si="20"/>
        <v>25</v>
      </c>
      <c r="FF22" s="163">
        <v>3</v>
      </c>
      <c r="FG22" s="44">
        <f t="shared" si="21"/>
        <v>75</v>
      </c>
      <c r="FH22" s="54"/>
      <c r="FI22" s="55"/>
      <c r="FJ22" s="55"/>
      <c r="FK22" s="55"/>
      <c r="FL22" s="55"/>
      <c r="FM22" s="55"/>
      <c r="FN22" s="56"/>
      <c r="FO22" s="54"/>
      <c r="FP22" s="55"/>
      <c r="FQ22" s="55"/>
      <c r="FR22" s="55"/>
      <c r="FS22" s="55"/>
      <c r="FT22" s="55"/>
      <c r="FU22" s="56"/>
      <c r="FV22" s="48" t="s">
        <v>228</v>
      </c>
      <c r="FW22" s="51">
        <v>2</v>
      </c>
      <c r="FX22" s="160">
        <v>0</v>
      </c>
      <c r="FY22" s="160">
        <v>0</v>
      </c>
      <c r="FZ22" s="50">
        <f t="shared" si="27"/>
        <v>0</v>
      </c>
      <c r="GA22" s="163">
        <v>0</v>
      </c>
      <c r="GB22" s="44">
        <f t="shared" si="24"/>
        <v>0</v>
      </c>
      <c r="GC22" s="54"/>
      <c r="GD22" s="55"/>
      <c r="GE22" s="55"/>
      <c r="GF22" s="55"/>
      <c r="GG22" s="55"/>
      <c r="GH22" s="55"/>
      <c r="GI22" s="56"/>
      <c r="GJ22" s="54"/>
      <c r="GK22" s="55"/>
      <c r="GL22" s="55"/>
      <c r="GM22" s="55"/>
      <c r="GN22" s="55"/>
      <c r="GO22" s="55"/>
      <c r="GP22" s="56"/>
    </row>
    <row r="23" spans="3:198" ht="153" customHeight="1" x14ac:dyDescent="0.3">
      <c r="C23" s="54"/>
      <c r="D23" s="55"/>
      <c r="E23" s="55"/>
      <c r="F23" s="55"/>
      <c r="G23" s="55"/>
      <c r="H23" s="55"/>
      <c r="I23" s="56"/>
      <c r="J23" s="54"/>
      <c r="K23" s="55"/>
      <c r="L23" s="55"/>
      <c r="M23" s="55"/>
      <c r="N23" s="55"/>
      <c r="O23" s="55"/>
      <c r="P23" s="56"/>
      <c r="Q23" s="48" t="s">
        <v>242</v>
      </c>
      <c r="R23" s="51">
        <v>10</v>
      </c>
      <c r="S23" s="160">
        <v>1</v>
      </c>
      <c r="T23" s="160">
        <v>1</v>
      </c>
      <c r="U23" s="50">
        <f t="shared" si="4"/>
        <v>1</v>
      </c>
      <c r="V23" s="163">
        <v>60</v>
      </c>
      <c r="W23" s="44">
        <f t="shared" si="5"/>
        <v>60</v>
      </c>
      <c r="X23" s="54"/>
      <c r="Y23" s="55"/>
      <c r="Z23" s="55"/>
      <c r="AA23" s="55"/>
      <c r="AB23" s="55"/>
      <c r="AC23" s="55"/>
      <c r="AD23" s="56"/>
      <c r="AE23" s="54"/>
      <c r="AF23" s="55"/>
      <c r="AG23" s="55"/>
      <c r="AH23" s="55"/>
      <c r="AI23" s="55"/>
      <c r="AJ23" s="55"/>
      <c r="AK23" s="56"/>
      <c r="AL23" s="57"/>
      <c r="AM23" s="55"/>
      <c r="AN23" s="55"/>
      <c r="AO23" s="55"/>
      <c r="AP23" s="55"/>
      <c r="AQ23" s="55"/>
      <c r="AR23" s="56"/>
      <c r="AS23" s="54"/>
      <c r="AT23" s="55"/>
      <c r="AU23" s="55"/>
      <c r="AV23" s="55"/>
      <c r="AW23" s="55"/>
      <c r="AX23" s="55"/>
      <c r="AY23" s="56"/>
      <c r="AZ23" s="54"/>
      <c r="BA23" s="55"/>
      <c r="BB23" s="55"/>
      <c r="BC23" s="55"/>
      <c r="BD23" s="55"/>
      <c r="BE23" s="55"/>
      <c r="BF23" s="56"/>
      <c r="BG23" s="57"/>
      <c r="BH23" s="55"/>
      <c r="BI23" s="55"/>
      <c r="BJ23" s="55"/>
      <c r="BK23" s="55"/>
      <c r="BL23" s="58"/>
      <c r="BM23" s="56"/>
      <c r="BN23" s="54"/>
      <c r="BO23" s="55"/>
      <c r="BP23" s="55"/>
      <c r="BQ23" s="55"/>
      <c r="BR23" s="55"/>
      <c r="BS23" s="55"/>
      <c r="BT23" s="56"/>
      <c r="BU23" s="54"/>
      <c r="BV23" s="55"/>
      <c r="BW23" s="55"/>
      <c r="BX23" s="55"/>
      <c r="BY23" s="55"/>
      <c r="BZ23" s="55"/>
      <c r="CA23" s="56"/>
      <c r="CB23" s="54"/>
      <c r="CC23" s="55"/>
      <c r="CD23" s="55"/>
      <c r="CE23" s="55"/>
      <c r="CF23" s="55"/>
      <c r="CG23" s="55"/>
      <c r="CH23" s="56"/>
      <c r="CI23" s="54"/>
      <c r="CJ23" s="55"/>
      <c r="CK23" s="55"/>
      <c r="CL23" s="55"/>
      <c r="CM23" s="55"/>
      <c r="CN23" s="55"/>
      <c r="CO23" s="58"/>
      <c r="CP23" s="54"/>
      <c r="CQ23" s="55"/>
      <c r="CR23" s="55"/>
      <c r="CS23" s="55"/>
      <c r="CT23" s="55"/>
      <c r="CU23" s="55"/>
      <c r="CV23" s="56"/>
      <c r="CW23" s="57"/>
      <c r="CX23" s="55"/>
      <c r="CY23" s="55"/>
      <c r="CZ23" s="55"/>
      <c r="DA23" s="55"/>
      <c r="DB23" s="55"/>
      <c r="DC23" s="56"/>
      <c r="DD23" s="54"/>
      <c r="DE23" s="55"/>
      <c r="DF23" s="55"/>
      <c r="DG23" s="55"/>
      <c r="DH23" s="55"/>
      <c r="DI23" s="55"/>
      <c r="DJ23" s="56"/>
      <c r="DK23" s="54"/>
      <c r="DL23" s="55"/>
      <c r="DM23" s="55"/>
      <c r="DN23" s="55"/>
      <c r="DO23" s="55"/>
      <c r="DP23" s="55"/>
      <c r="DQ23" s="56"/>
      <c r="DR23" s="54"/>
      <c r="DS23" s="55"/>
      <c r="DT23" s="55"/>
      <c r="DU23" s="55"/>
      <c r="DV23" s="55"/>
      <c r="DW23" s="55"/>
      <c r="DX23" s="56"/>
      <c r="DY23" s="54"/>
      <c r="DZ23" s="55"/>
      <c r="EA23" s="55"/>
      <c r="EB23" s="55"/>
      <c r="EC23" s="55"/>
      <c r="ED23" s="55"/>
      <c r="EE23" s="58"/>
      <c r="EF23" s="54"/>
      <c r="EG23" s="55"/>
      <c r="EH23" s="55"/>
      <c r="EI23" s="55"/>
      <c r="EJ23" s="55"/>
      <c r="EK23" s="55"/>
      <c r="EL23" s="56"/>
      <c r="EM23" s="57"/>
      <c r="EN23" s="55"/>
      <c r="EO23" s="55"/>
      <c r="EP23" s="55"/>
      <c r="EQ23" s="55"/>
      <c r="ER23" s="55"/>
      <c r="ES23" s="56"/>
      <c r="ET23" s="54"/>
      <c r="EU23" s="55"/>
      <c r="EV23" s="55"/>
      <c r="EW23" s="55"/>
      <c r="EX23" s="55"/>
      <c r="EY23" s="55"/>
      <c r="EZ23" s="56"/>
      <c r="FA23" s="54"/>
      <c r="FB23" s="55"/>
      <c r="FC23" s="55"/>
      <c r="FD23" s="55"/>
      <c r="FE23" s="55"/>
      <c r="FF23" s="55"/>
      <c r="FG23" s="56"/>
      <c r="FH23" s="54"/>
      <c r="FI23" s="55"/>
      <c r="FJ23" s="55"/>
      <c r="FK23" s="55"/>
      <c r="FL23" s="55"/>
      <c r="FM23" s="55"/>
      <c r="FN23" s="56"/>
      <c r="FO23" s="54"/>
      <c r="FP23" s="55"/>
      <c r="FQ23" s="55"/>
      <c r="FR23" s="55"/>
      <c r="FS23" s="55"/>
      <c r="FT23" s="55"/>
      <c r="FU23" s="56"/>
      <c r="FV23" s="54"/>
      <c r="FW23" s="55"/>
      <c r="FX23" s="55"/>
      <c r="FY23" s="55"/>
      <c r="FZ23" s="55"/>
      <c r="GA23" s="55"/>
      <c r="GB23" s="56"/>
      <c r="GC23" s="54"/>
      <c r="GD23" s="55"/>
      <c r="GE23" s="55"/>
      <c r="GF23" s="55"/>
      <c r="GG23" s="55"/>
      <c r="GH23" s="55"/>
      <c r="GI23" s="56"/>
      <c r="GJ23" s="54"/>
      <c r="GK23" s="55"/>
      <c r="GL23" s="55"/>
      <c r="GM23" s="55"/>
      <c r="GN23" s="55"/>
      <c r="GO23" s="55"/>
      <c r="GP23" s="56"/>
    </row>
    <row r="24" spans="3:198" ht="28.5" customHeight="1" x14ac:dyDescent="0.3">
      <c r="C24" s="54"/>
      <c r="D24" s="55"/>
      <c r="E24" s="55"/>
      <c r="F24" s="55"/>
      <c r="G24" s="55"/>
      <c r="H24" s="55"/>
      <c r="I24" s="56"/>
      <c r="J24" s="54"/>
      <c r="K24" s="55"/>
      <c r="L24" s="55"/>
      <c r="M24" s="55"/>
      <c r="N24" s="55"/>
      <c r="O24" s="55"/>
      <c r="P24" s="56"/>
      <c r="Q24" s="54"/>
      <c r="R24" s="55"/>
      <c r="S24" s="55"/>
      <c r="T24" s="55"/>
      <c r="U24" s="55"/>
      <c r="V24" s="55"/>
      <c r="W24" s="56"/>
      <c r="X24" s="54"/>
      <c r="Y24" s="55"/>
      <c r="Z24" s="55"/>
      <c r="AA24" s="55"/>
      <c r="AB24" s="55"/>
      <c r="AC24" s="55"/>
      <c r="AD24" s="56"/>
      <c r="AE24" s="54"/>
      <c r="AF24" s="55"/>
      <c r="AG24" s="55"/>
      <c r="AH24" s="55"/>
      <c r="AI24" s="55"/>
      <c r="AJ24" s="55"/>
      <c r="AK24" s="56"/>
      <c r="AL24" s="57"/>
      <c r="AM24" s="55"/>
      <c r="AN24" s="55"/>
      <c r="AO24" s="55"/>
      <c r="AP24" s="55"/>
      <c r="AQ24" s="55"/>
      <c r="AR24" s="56"/>
      <c r="AS24" s="54"/>
      <c r="AT24" s="55"/>
      <c r="AU24" s="55"/>
      <c r="AV24" s="55"/>
      <c r="AW24" s="55"/>
      <c r="AX24" s="55"/>
      <c r="AY24" s="56"/>
      <c r="AZ24" s="54"/>
      <c r="BA24" s="55"/>
      <c r="BB24" s="55"/>
      <c r="BC24" s="55"/>
      <c r="BD24" s="55"/>
      <c r="BE24" s="55"/>
      <c r="BF24" s="56"/>
      <c r="BG24" s="57"/>
      <c r="BH24" s="55"/>
      <c r="BI24" s="55"/>
      <c r="BJ24" s="55"/>
      <c r="BK24" s="55"/>
      <c r="BL24" s="58"/>
      <c r="BM24" s="56"/>
      <c r="BN24" s="54"/>
      <c r="BO24" s="55"/>
      <c r="BP24" s="55"/>
      <c r="BQ24" s="55"/>
      <c r="BR24" s="55"/>
      <c r="BS24" s="55"/>
      <c r="BT24" s="56"/>
      <c r="BU24" s="54"/>
      <c r="BV24" s="55"/>
      <c r="BW24" s="55"/>
      <c r="BX24" s="55"/>
      <c r="BY24" s="55"/>
      <c r="BZ24" s="55"/>
      <c r="CA24" s="56"/>
      <c r="CB24" s="54"/>
      <c r="CC24" s="55"/>
      <c r="CD24" s="55"/>
      <c r="CE24" s="55"/>
      <c r="CF24" s="55"/>
      <c r="CG24" s="55"/>
      <c r="CH24" s="56"/>
      <c r="CI24" s="54"/>
      <c r="CJ24" s="55"/>
      <c r="CK24" s="55"/>
      <c r="CL24" s="55"/>
      <c r="CM24" s="55"/>
      <c r="CN24" s="55"/>
      <c r="CO24" s="58"/>
      <c r="CP24" s="54"/>
      <c r="CQ24" s="55"/>
      <c r="CR24" s="55"/>
      <c r="CS24" s="55"/>
      <c r="CT24" s="55"/>
      <c r="CU24" s="55"/>
      <c r="CV24" s="56"/>
      <c r="CW24" s="57"/>
      <c r="CX24" s="55"/>
      <c r="CY24" s="55"/>
      <c r="CZ24" s="55"/>
      <c r="DA24" s="55"/>
      <c r="DB24" s="55"/>
      <c r="DC24" s="56"/>
      <c r="DD24" s="54"/>
      <c r="DE24" s="55"/>
      <c r="DF24" s="55"/>
      <c r="DG24" s="55"/>
      <c r="DH24" s="55"/>
      <c r="DI24" s="55"/>
      <c r="DJ24" s="56"/>
      <c r="DK24" s="54"/>
      <c r="DL24" s="55"/>
      <c r="DM24" s="55"/>
      <c r="DN24" s="55"/>
      <c r="DO24" s="55"/>
      <c r="DP24" s="55"/>
      <c r="DQ24" s="56"/>
      <c r="DR24" s="54"/>
      <c r="DS24" s="55"/>
      <c r="DT24" s="55"/>
      <c r="DU24" s="55"/>
      <c r="DV24" s="55"/>
      <c r="DW24" s="55"/>
      <c r="DX24" s="56"/>
      <c r="DY24" s="54"/>
      <c r="DZ24" s="55"/>
      <c r="EA24" s="55"/>
      <c r="EB24" s="55"/>
      <c r="EC24" s="55"/>
      <c r="ED24" s="55"/>
      <c r="EE24" s="58"/>
      <c r="EF24" s="54"/>
      <c r="EG24" s="55"/>
      <c r="EH24" s="55"/>
      <c r="EI24" s="55"/>
      <c r="EJ24" s="55"/>
      <c r="EK24" s="55"/>
      <c r="EL24" s="56"/>
      <c r="EM24" s="57"/>
      <c r="EN24" s="55"/>
      <c r="EO24" s="55"/>
      <c r="EP24" s="55"/>
      <c r="EQ24" s="55"/>
      <c r="ER24" s="55"/>
      <c r="ES24" s="56"/>
      <c r="ET24" s="54"/>
      <c r="EU24" s="55"/>
      <c r="EV24" s="55"/>
      <c r="EW24" s="55"/>
      <c r="EX24" s="55"/>
      <c r="EY24" s="55"/>
      <c r="EZ24" s="56"/>
      <c r="FA24" s="54"/>
      <c r="FB24" s="55"/>
      <c r="FC24" s="55"/>
      <c r="FD24" s="55"/>
      <c r="FE24" s="55"/>
      <c r="FF24" s="55"/>
      <c r="FG24" s="56"/>
      <c r="FH24" s="54"/>
      <c r="FI24" s="55"/>
      <c r="FJ24" s="55"/>
      <c r="FK24" s="55"/>
      <c r="FL24" s="55"/>
      <c r="FM24" s="55"/>
      <c r="FN24" s="56"/>
      <c r="FO24" s="54"/>
      <c r="FP24" s="55"/>
      <c r="FQ24" s="55"/>
      <c r="FR24" s="55"/>
      <c r="FS24" s="55"/>
      <c r="FT24" s="55"/>
      <c r="FU24" s="56"/>
      <c r="FV24" s="54"/>
      <c r="FW24" s="55"/>
      <c r="FX24" s="55"/>
      <c r="FY24" s="55"/>
      <c r="FZ24" s="55"/>
      <c r="GA24" s="55"/>
      <c r="GB24" s="56"/>
      <c r="GC24" s="54"/>
      <c r="GD24" s="55"/>
      <c r="GE24" s="55"/>
      <c r="GF24" s="55"/>
      <c r="GG24" s="55"/>
      <c r="GH24" s="55"/>
      <c r="GI24" s="56"/>
      <c r="GJ24" s="54"/>
      <c r="GK24" s="55"/>
      <c r="GL24" s="55"/>
      <c r="GM24" s="55"/>
      <c r="GN24" s="55"/>
      <c r="GO24" s="55"/>
      <c r="GP24" s="56"/>
    </row>
    <row r="25" spans="3:198" ht="49.5" customHeight="1" x14ac:dyDescent="0.3">
      <c r="C25" s="60">
        <v>40</v>
      </c>
      <c r="D25" s="61"/>
      <c r="E25" s="61"/>
      <c r="F25" s="61"/>
      <c r="G25" s="62"/>
      <c r="H25" s="62"/>
      <c r="I25" s="63"/>
      <c r="J25" s="60">
        <v>55</v>
      </c>
      <c r="K25" s="61"/>
      <c r="L25" s="61"/>
      <c r="M25" s="61"/>
      <c r="N25" s="62"/>
      <c r="O25" s="62"/>
      <c r="P25" s="63"/>
      <c r="Q25" s="64">
        <v>60</v>
      </c>
      <c r="R25" s="61"/>
      <c r="S25" s="61"/>
      <c r="T25" s="61"/>
      <c r="U25" s="62"/>
      <c r="V25" s="62"/>
      <c r="W25" s="63"/>
      <c r="X25" s="64">
        <v>45</v>
      </c>
      <c r="Y25" s="61"/>
      <c r="Z25" s="61"/>
      <c r="AA25" s="61"/>
      <c r="AB25" s="62"/>
      <c r="AC25" s="62"/>
      <c r="AD25" s="63"/>
      <c r="AE25" s="64">
        <v>86</v>
      </c>
      <c r="AF25" s="61"/>
      <c r="AG25" s="61"/>
      <c r="AH25" s="61"/>
      <c r="AI25" s="62"/>
      <c r="AJ25" s="62"/>
      <c r="AK25" s="63"/>
      <c r="AL25" s="65">
        <v>30</v>
      </c>
      <c r="AM25" s="61"/>
      <c r="AN25" s="61"/>
      <c r="AO25" s="61"/>
      <c r="AP25" s="62"/>
      <c r="AQ25" s="62"/>
      <c r="AR25" s="63"/>
      <c r="AS25" s="66">
        <v>25</v>
      </c>
      <c r="AT25" s="62"/>
      <c r="AU25" s="62"/>
      <c r="AV25" s="62"/>
      <c r="AW25" s="62"/>
      <c r="AX25" s="62"/>
      <c r="AY25" s="63"/>
      <c r="AZ25" s="66">
        <v>25</v>
      </c>
      <c r="BA25" s="62"/>
      <c r="BB25" s="62"/>
      <c r="BC25" s="62"/>
      <c r="BD25" s="62"/>
      <c r="BE25" s="62"/>
      <c r="BF25" s="63"/>
      <c r="BG25" s="65">
        <v>25</v>
      </c>
      <c r="BH25" s="61"/>
      <c r="BI25" s="61"/>
      <c r="BJ25" s="61"/>
      <c r="BK25" s="61"/>
      <c r="BL25" s="67"/>
      <c r="BM25" s="67"/>
      <c r="BN25" s="64">
        <v>50</v>
      </c>
      <c r="BO25" s="61"/>
      <c r="BP25" s="61"/>
      <c r="BQ25" s="61"/>
      <c r="BR25" s="62"/>
      <c r="BS25" s="62"/>
      <c r="BT25" s="63"/>
      <c r="BU25" s="64">
        <v>25</v>
      </c>
      <c r="BV25" s="61"/>
      <c r="BW25" s="61"/>
      <c r="BX25" s="61"/>
      <c r="BY25" s="62"/>
      <c r="BZ25" s="62"/>
      <c r="CA25" s="63"/>
      <c r="CB25" s="64">
        <v>10</v>
      </c>
      <c r="CC25" s="61"/>
      <c r="CD25" s="61"/>
      <c r="CE25" s="61"/>
      <c r="CF25" s="62"/>
      <c r="CG25" s="62"/>
      <c r="CH25" s="63"/>
      <c r="CI25" s="64">
        <v>10</v>
      </c>
      <c r="CJ25" s="61"/>
      <c r="CK25" s="61"/>
      <c r="CL25" s="61"/>
      <c r="CM25" s="62"/>
      <c r="CN25" s="62"/>
      <c r="CO25" s="68"/>
      <c r="CP25" s="54">
        <v>10</v>
      </c>
      <c r="CQ25" s="55"/>
      <c r="CR25" s="55"/>
      <c r="CS25" s="55"/>
      <c r="CT25" s="55"/>
      <c r="CU25" s="55"/>
      <c r="CV25" s="56"/>
      <c r="CW25" s="65">
        <v>10</v>
      </c>
      <c r="CX25" s="61"/>
      <c r="CY25" s="61"/>
      <c r="CZ25" s="61"/>
      <c r="DA25" s="62"/>
      <c r="DB25" s="62"/>
      <c r="DC25" s="63"/>
      <c r="DD25" s="64">
        <v>10</v>
      </c>
      <c r="DE25" s="61"/>
      <c r="DF25" s="61"/>
      <c r="DG25" s="61"/>
      <c r="DH25" s="62"/>
      <c r="DI25" s="62"/>
      <c r="DJ25" s="63"/>
      <c r="DK25" s="64">
        <v>60</v>
      </c>
      <c r="DL25" s="61"/>
      <c r="DM25" s="61"/>
      <c r="DN25" s="61"/>
      <c r="DO25" s="62"/>
      <c r="DP25" s="62"/>
      <c r="DQ25" s="63"/>
      <c r="DR25" s="64">
        <v>40</v>
      </c>
      <c r="DS25" s="61"/>
      <c r="DT25" s="61"/>
      <c r="DU25" s="61"/>
      <c r="DV25" s="62"/>
      <c r="DW25" s="62"/>
      <c r="DX25" s="63"/>
      <c r="DY25" s="64">
        <v>30</v>
      </c>
      <c r="DZ25" s="61"/>
      <c r="EA25" s="61"/>
      <c r="EB25" s="61"/>
      <c r="EC25" s="62"/>
      <c r="ED25" s="62"/>
      <c r="EE25" s="68"/>
      <c r="EF25" s="64">
        <v>20</v>
      </c>
      <c r="EG25" s="61">
        <f>SUM(EG13:EG18)</f>
        <v>20</v>
      </c>
      <c r="EH25" s="61"/>
      <c r="EI25" s="61"/>
      <c r="EJ25" s="61"/>
      <c r="EK25" s="61"/>
      <c r="EL25" s="69"/>
      <c r="EM25" s="65">
        <v>20</v>
      </c>
      <c r="EN25" s="61">
        <f>SUM(EN13:EN24)</f>
        <v>3</v>
      </c>
      <c r="EO25" s="61"/>
      <c r="EP25" s="61"/>
      <c r="EQ25" s="62"/>
      <c r="ER25" s="62"/>
      <c r="ES25" s="63"/>
      <c r="ET25" s="64">
        <v>30</v>
      </c>
      <c r="EU25" s="61"/>
      <c r="EV25" s="61"/>
      <c r="EW25" s="61"/>
      <c r="EX25" s="62"/>
      <c r="EY25" s="62"/>
      <c r="EZ25" s="63"/>
      <c r="FA25" s="64">
        <v>75</v>
      </c>
      <c r="FB25" s="61"/>
      <c r="FC25" s="61"/>
      <c r="FD25" s="61"/>
      <c r="FE25" s="62"/>
      <c r="FF25" s="62"/>
      <c r="FG25" s="63"/>
      <c r="FH25" s="64">
        <v>80</v>
      </c>
      <c r="FI25" s="61"/>
      <c r="FJ25" s="61"/>
      <c r="FK25" s="61"/>
      <c r="FL25" s="62"/>
      <c r="FM25" s="62"/>
      <c r="FN25" s="63"/>
      <c r="FO25" s="64">
        <v>20</v>
      </c>
      <c r="FP25" s="61"/>
      <c r="FQ25" s="61"/>
      <c r="FR25" s="61"/>
      <c r="FS25" s="62"/>
      <c r="FT25" s="62"/>
      <c r="FU25" s="63"/>
      <c r="FV25" s="64">
        <v>100</v>
      </c>
      <c r="FW25" s="61"/>
      <c r="FX25" s="61"/>
      <c r="FY25" s="61"/>
      <c r="FZ25" s="62"/>
      <c r="GA25" s="62"/>
      <c r="GB25" s="63"/>
      <c r="GC25" s="60">
        <v>15</v>
      </c>
      <c r="GD25" s="61"/>
      <c r="GE25" s="61"/>
      <c r="GF25" s="61"/>
      <c r="GG25" s="62"/>
      <c r="GH25" s="62"/>
      <c r="GI25" s="63"/>
      <c r="GJ25" s="60">
        <v>50</v>
      </c>
      <c r="GK25" s="61"/>
      <c r="GL25" s="61"/>
      <c r="GM25" s="61"/>
      <c r="GN25" s="62"/>
      <c r="GO25" s="62"/>
      <c r="GP25" s="63"/>
    </row>
    <row r="26" spans="3:198" ht="30" customHeight="1" x14ac:dyDescent="0.3">
      <c r="C26" s="154" t="s">
        <v>243</v>
      </c>
      <c r="D26" s="70">
        <f>D13+D14+D15+D16+D17+D18+D19+D20</f>
        <v>40</v>
      </c>
      <c r="E26" s="71">
        <f>AVERAGE(E13:E20)</f>
        <v>1</v>
      </c>
      <c r="F26" s="71">
        <f>AVERAGE(F13:F20)</f>
        <v>1</v>
      </c>
      <c r="G26" s="72">
        <f>AVERAGE(G13:G18)</f>
        <v>1</v>
      </c>
      <c r="H26" s="71" t="s">
        <v>244</v>
      </c>
      <c r="I26" s="73" t="s">
        <v>245</v>
      </c>
      <c r="J26" s="154" t="s">
        <v>246</v>
      </c>
      <c r="K26" s="70">
        <f>SUM(K13:K25)</f>
        <v>53</v>
      </c>
      <c r="L26" s="71">
        <f>AVERAGE(L13:L22)</f>
        <v>1.2</v>
      </c>
      <c r="M26" s="71">
        <f>AVERAGE(M13:M22)</f>
        <v>3.9</v>
      </c>
      <c r="N26" s="74">
        <f>AVERAGE(N13:N18)</f>
        <v>4.166666666666667</v>
      </c>
      <c r="O26" s="71" t="s">
        <v>244</v>
      </c>
      <c r="P26" s="73" t="s">
        <v>245</v>
      </c>
      <c r="Q26" s="154" t="s">
        <v>247</v>
      </c>
      <c r="R26" s="70">
        <f>SUM(R13:R25)</f>
        <v>46</v>
      </c>
      <c r="S26" s="71">
        <f>AVERAGE(S13:S23)</f>
        <v>2.0909090909090908</v>
      </c>
      <c r="T26" s="71">
        <f>AVERAGE(T13:T23)</f>
        <v>2.3636363636363638</v>
      </c>
      <c r="U26" s="74">
        <f>AVERAGE(U13:U18)</f>
        <v>7</v>
      </c>
      <c r="V26" s="71" t="s">
        <v>244</v>
      </c>
      <c r="W26" s="73" t="s">
        <v>245</v>
      </c>
      <c r="X26" s="154" t="s">
        <v>248</v>
      </c>
      <c r="Y26" s="71">
        <f>SUM(Y13:Y25)</f>
        <v>40</v>
      </c>
      <c r="Z26" s="71">
        <f>AVERAGE(Z13:Z20)</f>
        <v>1.25</v>
      </c>
      <c r="AA26" s="71">
        <f>AVERAGE(AA13:AA20)</f>
        <v>2.125</v>
      </c>
      <c r="AB26" s="74">
        <f>AVERAGE(AB13:AB18)</f>
        <v>3.5</v>
      </c>
      <c r="AC26" s="71" t="s">
        <v>244</v>
      </c>
      <c r="AD26" s="73" t="s">
        <v>245</v>
      </c>
      <c r="AE26" s="154" t="s">
        <v>249</v>
      </c>
      <c r="AF26" s="75">
        <f>SUM(AF13:AF25)</f>
        <v>36</v>
      </c>
      <c r="AG26" s="42">
        <f>AVERAGE(AG13:AG20)</f>
        <v>3.3333333333333335</v>
      </c>
      <c r="AH26" s="42">
        <f>AVERAGE(AH13:AH20)</f>
        <v>3</v>
      </c>
      <c r="AI26" s="74">
        <f>AVERAGE(AI13:AI18)</f>
        <v>7.333333333333333</v>
      </c>
      <c r="AJ26" s="71" t="s">
        <v>244</v>
      </c>
      <c r="AK26" s="73" t="s">
        <v>245</v>
      </c>
      <c r="AL26" s="154" t="s">
        <v>250</v>
      </c>
      <c r="AM26" s="70">
        <f>SUM(AM13:AM25)</f>
        <v>30</v>
      </c>
      <c r="AN26" s="71">
        <f>AVERAGE(AN13:AN20)</f>
        <v>1</v>
      </c>
      <c r="AO26" s="71">
        <f>AVERAGE(AO13:AO20)</f>
        <v>0</v>
      </c>
      <c r="AP26" s="74">
        <f>AVERAGE(AP13:AP18)</f>
        <v>0</v>
      </c>
      <c r="AQ26" s="71" t="s">
        <v>244</v>
      </c>
      <c r="AR26" s="73" t="s">
        <v>245</v>
      </c>
      <c r="AS26" s="154" t="s">
        <v>251</v>
      </c>
      <c r="AT26" s="70">
        <f>SUM(AT13:AT25)</f>
        <v>22</v>
      </c>
      <c r="AU26" s="71">
        <f>AVERAGE(AU13:AU20)</f>
        <v>1</v>
      </c>
      <c r="AV26" s="71">
        <f>AVERAGE(AV13:AV20)</f>
        <v>0.4</v>
      </c>
      <c r="AW26" s="74">
        <f>AVERAGE(AW13:AW18)</f>
        <v>0.4</v>
      </c>
      <c r="AX26" s="71" t="s">
        <v>244</v>
      </c>
      <c r="AY26" s="73" t="s">
        <v>245</v>
      </c>
      <c r="AZ26" s="154" t="s">
        <v>251</v>
      </c>
      <c r="BA26" s="70">
        <f>SUM(BA13:BA25)</f>
        <v>15</v>
      </c>
      <c r="BB26" s="71">
        <f>AVERAGE(BB13:BB18)</f>
        <v>1.5</v>
      </c>
      <c r="BC26" s="71">
        <f>AVERAGE(BC13:BC18)</f>
        <v>0.75</v>
      </c>
      <c r="BD26" s="74">
        <f>AVERAGE(BD13:BD16)</f>
        <v>1.75</v>
      </c>
      <c r="BE26" s="71" t="s">
        <v>244</v>
      </c>
      <c r="BF26" s="73" t="s">
        <v>245</v>
      </c>
      <c r="BG26" s="156" t="s">
        <v>252</v>
      </c>
      <c r="BH26" s="70">
        <f>SUM(BH13:BH25)</f>
        <v>17</v>
      </c>
      <c r="BI26" s="71">
        <f>AVERAGE(BI13:BI20)</f>
        <v>4.25</v>
      </c>
      <c r="BJ26" s="71">
        <f>AVERAGE(BJ13:BJ20)</f>
        <v>2.5</v>
      </c>
      <c r="BK26" s="74">
        <f>AVERAGE(BK13:BK20)</f>
        <v>14.25</v>
      </c>
      <c r="BL26" s="76" t="s">
        <v>244</v>
      </c>
      <c r="BM26" s="53" t="s">
        <v>245</v>
      </c>
      <c r="BN26" s="154" t="s">
        <v>243</v>
      </c>
      <c r="BO26" s="70">
        <f>SUM(BO13:BO25)</f>
        <v>45</v>
      </c>
      <c r="BP26" s="71">
        <f>AVERAGE(BP13:BP20)</f>
        <v>1</v>
      </c>
      <c r="BQ26" s="71">
        <f>AVERAGE(BQ13:BQ20)</f>
        <v>1</v>
      </c>
      <c r="BR26" s="74">
        <f>AVERAGE(BR13:BR18)</f>
        <v>1.1666666666666667</v>
      </c>
      <c r="BS26" s="71" t="s">
        <v>244</v>
      </c>
      <c r="BT26" s="73" t="s">
        <v>245</v>
      </c>
      <c r="BU26" s="154" t="s">
        <v>251</v>
      </c>
      <c r="BV26" s="70">
        <f>SUM(BV13:BV25)</f>
        <v>22</v>
      </c>
      <c r="BW26" s="71">
        <f>AVERAGE(BW13:BW20)</f>
        <v>1</v>
      </c>
      <c r="BX26" s="71">
        <f>AVERAGE(BX13:BX20)</f>
        <v>2.2000000000000002</v>
      </c>
      <c r="BY26" s="74">
        <f>AVERAGE(BY13:BY18)</f>
        <v>2.2000000000000002</v>
      </c>
      <c r="BZ26" s="71" t="s">
        <v>244</v>
      </c>
      <c r="CA26" s="73" t="s">
        <v>245</v>
      </c>
      <c r="CB26" s="154" t="s">
        <v>253</v>
      </c>
      <c r="CC26" s="70">
        <f>SUM(CC13:CC25)</f>
        <v>10</v>
      </c>
      <c r="CD26" s="71">
        <f>AVERAGE(CD13:CD20)</f>
        <v>0.5</v>
      </c>
      <c r="CE26" s="71">
        <f>AVERAGE(CE13:CE20)</f>
        <v>0.5</v>
      </c>
      <c r="CF26" s="74">
        <f>AVERAGE(CF13:CF18)</f>
        <v>1</v>
      </c>
      <c r="CG26" s="71" t="s">
        <v>244</v>
      </c>
      <c r="CH26" s="73" t="s">
        <v>245</v>
      </c>
      <c r="CI26" s="154" t="s">
        <v>253</v>
      </c>
      <c r="CJ26" s="70">
        <f>SUM(CJ13:CJ25)</f>
        <v>5</v>
      </c>
      <c r="CK26" s="71">
        <f>AVERAGE(CK13:CK20)</f>
        <v>0.25</v>
      </c>
      <c r="CL26" s="71">
        <f>AVERAGE(CL13:CL20)</f>
        <v>1.25</v>
      </c>
      <c r="CM26" s="77">
        <f>AVERAGE(CM13:CM18)</f>
        <v>1.25</v>
      </c>
      <c r="CN26" s="71" t="s">
        <v>244</v>
      </c>
      <c r="CO26" s="76" t="s">
        <v>245</v>
      </c>
      <c r="CP26" s="155" t="s">
        <v>253</v>
      </c>
      <c r="CQ26" s="78">
        <f>SUM(CQ13:CQ25)</f>
        <v>5</v>
      </c>
      <c r="CR26" s="50">
        <f>AVERAGE(CR13:CR20)</f>
        <v>1.25</v>
      </c>
      <c r="CS26" s="50">
        <f>AVERAGE(CS13:CS20)</f>
        <v>0.75</v>
      </c>
      <c r="CT26" s="170">
        <f>AVERAGE(CT13:CT18)</f>
        <v>3.75</v>
      </c>
      <c r="CU26" s="50" t="s">
        <v>244</v>
      </c>
      <c r="CV26" s="53" t="s">
        <v>245</v>
      </c>
      <c r="CW26" s="156" t="s">
        <v>253</v>
      </c>
      <c r="CX26" s="70">
        <f>SUM(CX13:CX25)</f>
        <v>2</v>
      </c>
      <c r="CY26" s="71">
        <f>AVERAGE(CY13:CY20)</f>
        <v>1.5</v>
      </c>
      <c r="CZ26" s="71">
        <f>AVERAGE(CZ13:CZ20)</f>
        <v>0.75</v>
      </c>
      <c r="DA26" s="172">
        <f>AVERAGE(DA13:DA18)</f>
        <v>4.5</v>
      </c>
      <c r="DB26" s="71" t="s">
        <v>244</v>
      </c>
      <c r="DC26" s="73" t="s">
        <v>245</v>
      </c>
      <c r="DD26" s="154" t="s">
        <v>253</v>
      </c>
      <c r="DE26" s="70">
        <f>SUM(DE13:DE25)</f>
        <v>10</v>
      </c>
      <c r="DF26" s="71">
        <f>AVERAGE(DF13:DF20)</f>
        <v>0.2</v>
      </c>
      <c r="DG26" s="71">
        <f>AVERAGE(DG13:DG20)</f>
        <v>0.4</v>
      </c>
      <c r="DH26" s="166">
        <f>AVERAGE(DH13:DH18)</f>
        <v>0.4</v>
      </c>
      <c r="DI26" s="71" t="s">
        <v>244</v>
      </c>
      <c r="DJ26" s="73" t="s">
        <v>245</v>
      </c>
      <c r="DK26" s="154" t="s">
        <v>254</v>
      </c>
      <c r="DL26" s="70">
        <f>SUM(DL13:DL25)</f>
        <v>24</v>
      </c>
      <c r="DM26" s="71">
        <f>AVERAGE(DM13:DM20)</f>
        <v>2.5</v>
      </c>
      <c r="DN26" s="71">
        <f>AVERAGE(DN13:DN20)</f>
        <v>5.166666666666667</v>
      </c>
      <c r="DO26" s="80">
        <f>AVERAGE(DO13:DO18)</f>
        <v>15.333333333333334</v>
      </c>
      <c r="DP26" s="71" t="s">
        <v>244</v>
      </c>
      <c r="DQ26" s="73" t="s">
        <v>245</v>
      </c>
      <c r="DR26" s="154" t="s">
        <v>255</v>
      </c>
      <c r="DS26" s="70">
        <f>SUM(DS13:DS25)</f>
        <v>40</v>
      </c>
      <c r="DT26" s="71">
        <f>AVERAGE(DT13:DT20)</f>
        <v>1.5</v>
      </c>
      <c r="DU26" s="71">
        <f>AVERAGE(DU13:DU20)</f>
        <v>5</v>
      </c>
      <c r="DV26" s="81">
        <f>AVERAGE(DV13:DV18)</f>
        <v>10</v>
      </c>
      <c r="DW26" s="71" t="s">
        <v>244</v>
      </c>
      <c r="DX26" s="73" t="s">
        <v>245</v>
      </c>
      <c r="DY26" s="154" t="s">
        <v>250</v>
      </c>
      <c r="DZ26" s="70">
        <f>SUM(DZ13:DZ25)</f>
        <v>22</v>
      </c>
      <c r="EA26" s="71">
        <f>AVERAGE(EA13:EA20)</f>
        <v>1.75</v>
      </c>
      <c r="EB26" s="71">
        <f>AVERAGE(EB13:EB20)</f>
        <v>1.5</v>
      </c>
      <c r="EC26" s="74">
        <f>AVERAGE(EC13:EC18)</f>
        <v>2.75</v>
      </c>
      <c r="ED26" s="71" t="s">
        <v>244</v>
      </c>
      <c r="EE26" s="73" t="s">
        <v>245</v>
      </c>
      <c r="EF26" s="154" t="s">
        <v>256</v>
      </c>
      <c r="EG26" s="70">
        <f>SUM(EG15:EG25)</f>
        <v>20</v>
      </c>
      <c r="EH26" s="71">
        <f>AVERAGE(EH15:EH18)</f>
        <v>0</v>
      </c>
      <c r="EI26" s="71">
        <f>AVERAGE(EI15:EI18)</f>
        <v>0</v>
      </c>
      <c r="EJ26" s="81">
        <f>AVERAGE(EJ15:EJ17)</f>
        <v>0</v>
      </c>
      <c r="EK26" s="71" t="s">
        <v>244</v>
      </c>
      <c r="EL26" s="73" t="s">
        <v>245</v>
      </c>
      <c r="EM26" s="154" t="s">
        <v>257</v>
      </c>
      <c r="EN26" s="70">
        <f>SUM(EN13:EN24)</f>
        <v>3</v>
      </c>
      <c r="EO26" s="71">
        <f>AVERAGE(EO13:EO20)</f>
        <v>3.5</v>
      </c>
      <c r="EP26" s="71">
        <f>AVERAGE(EP13:EP20)</f>
        <v>8.3333333333333339</v>
      </c>
      <c r="EQ26" s="80">
        <f>AVERAGE(EQ13:EQ17)</f>
        <v>30.4</v>
      </c>
      <c r="ER26" s="71" t="s">
        <v>244</v>
      </c>
      <c r="ES26" s="73" t="s">
        <v>245</v>
      </c>
      <c r="ET26" s="154" t="s">
        <v>250</v>
      </c>
      <c r="EU26" s="70">
        <f>SUM(EU13:EU25)</f>
        <v>5</v>
      </c>
      <c r="EV26" s="71">
        <f>AVERAGE(EV13:EV20)</f>
        <v>5.25</v>
      </c>
      <c r="EW26" s="71">
        <f>AVERAGE(EW13:EW20)</f>
        <v>7.5</v>
      </c>
      <c r="EX26" s="80">
        <f>AVERAGE(EX13:EX18)</f>
        <v>45.25</v>
      </c>
      <c r="EY26" s="71" t="s">
        <v>244</v>
      </c>
      <c r="EZ26" s="73" t="s">
        <v>245</v>
      </c>
      <c r="FA26" s="154" t="s">
        <v>258</v>
      </c>
      <c r="FB26" s="70">
        <f>SUM(FB13:FB25)</f>
        <v>70</v>
      </c>
      <c r="FC26" s="71">
        <f>AVERAGE(FC13:FC19)</f>
        <v>10</v>
      </c>
      <c r="FD26" s="71">
        <f>AVERAGE(FD13:FD19)</f>
        <v>8.5714285714285712</v>
      </c>
      <c r="FE26" s="74">
        <f>AVERAGE(FE13:FE18)</f>
        <v>91.666666666666671</v>
      </c>
      <c r="FF26" s="71" t="s">
        <v>244</v>
      </c>
      <c r="FG26" s="73" t="s">
        <v>245</v>
      </c>
      <c r="FH26" s="154" t="s">
        <v>243</v>
      </c>
      <c r="FI26" s="70">
        <f>SUM(FI13:FI25)</f>
        <v>52</v>
      </c>
      <c r="FJ26" s="71">
        <f>AVERAGE(FJ13:FJ20)</f>
        <v>3.1428571428571428</v>
      </c>
      <c r="FK26" s="71">
        <f>AVERAGE(FK13:FK20)</f>
        <v>5</v>
      </c>
      <c r="FL26" s="77">
        <f>AVERAGE(FL13:FL18)</f>
        <v>15</v>
      </c>
      <c r="FM26" s="71" t="s">
        <v>244</v>
      </c>
      <c r="FN26" s="73" t="s">
        <v>245</v>
      </c>
      <c r="FO26" s="154" t="s">
        <v>257</v>
      </c>
      <c r="FP26" s="70">
        <f>SUM(FP13:FP25)</f>
        <v>0</v>
      </c>
      <c r="FQ26" s="71">
        <f>AVERAGE(FQ13:FQ20)</f>
        <v>2</v>
      </c>
      <c r="FR26" s="71">
        <f>AVERAGE(FR13:FR20)</f>
        <v>2</v>
      </c>
      <c r="FS26" s="80">
        <f>AVERAGE(FS13:FS17)</f>
        <v>20</v>
      </c>
      <c r="FT26" s="71" t="s">
        <v>244</v>
      </c>
      <c r="FU26" s="73" t="s">
        <v>245</v>
      </c>
      <c r="FV26" s="154" t="s">
        <v>259</v>
      </c>
      <c r="FW26" s="70">
        <f>SUM(FW13:FW25)</f>
        <v>2</v>
      </c>
      <c r="FX26" s="71">
        <f>AVERAGE(FX13:FX19)</f>
        <v>2.8571428571428572</v>
      </c>
      <c r="FY26" s="71">
        <f>AVERAGE(FY13:FY19)</f>
        <v>1.4285714285714286</v>
      </c>
      <c r="FZ26" s="80">
        <f>AVERAGE(FZ13:FZ19)</f>
        <v>21.428571428571427</v>
      </c>
      <c r="GA26" s="71" t="s">
        <v>244</v>
      </c>
      <c r="GB26" s="73" t="s">
        <v>245</v>
      </c>
      <c r="GC26" s="154" t="s">
        <v>260</v>
      </c>
      <c r="GD26" s="70">
        <f>SUM(GD13:GD25)</f>
        <v>14</v>
      </c>
      <c r="GE26" s="71">
        <f>AVERAGE(GE13:GE20)</f>
        <v>3.6</v>
      </c>
      <c r="GF26" s="71">
        <f>AVERAGE(GF13:GF20)</f>
        <v>8.1999999999999993</v>
      </c>
      <c r="GG26" s="74">
        <f>AVERAGE(GG13:GG17)</f>
        <v>32.4</v>
      </c>
      <c r="GH26" s="71" t="s">
        <v>244</v>
      </c>
      <c r="GI26" s="73" t="s">
        <v>245</v>
      </c>
      <c r="GJ26" s="154" t="s">
        <v>261</v>
      </c>
      <c r="GK26" s="70">
        <f>SUM(GK13:GK25)</f>
        <v>50</v>
      </c>
      <c r="GL26" s="71">
        <f>AVERAGE(GL13:GL20)</f>
        <v>7.5</v>
      </c>
      <c r="GM26" s="71">
        <f>AVERAGE(GM13:GM20)</f>
        <v>7.666666666666667</v>
      </c>
      <c r="GN26" s="74">
        <f>AVERAGE(GN13:GN18)</f>
        <v>68.833333333333329</v>
      </c>
      <c r="GO26" s="71" t="s">
        <v>244</v>
      </c>
      <c r="GP26" s="73" t="s">
        <v>245</v>
      </c>
    </row>
    <row r="27" spans="3:198" ht="47.25" customHeight="1" x14ac:dyDescent="0.3">
      <c r="C27" s="154"/>
      <c r="D27" s="82">
        <f>((D13+D14+D15+D16+D17+D18+D19+D20)/C25)</f>
        <v>1</v>
      </c>
      <c r="E27" s="83" t="s">
        <v>47</v>
      </c>
      <c r="F27" s="83" t="s">
        <v>48</v>
      </c>
      <c r="G27" s="83" t="s">
        <v>262</v>
      </c>
      <c r="H27" s="83">
        <f>SUM(H13:H26)</f>
        <v>0</v>
      </c>
      <c r="I27" s="84">
        <f>AVERAGE(I13:I25)</f>
        <v>0</v>
      </c>
      <c r="J27" s="154"/>
      <c r="K27" s="82">
        <f>K26/J25</f>
        <v>0.96363636363636362</v>
      </c>
      <c r="L27" s="83" t="s">
        <v>47</v>
      </c>
      <c r="M27" s="83" t="s">
        <v>48</v>
      </c>
      <c r="N27" s="83" t="s">
        <v>262</v>
      </c>
      <c r="O27" s="83">
        <f>SUM(O13:O26)</f>
        <v>13</v>
      </c>
      <c r="P27" s="84">
        <f>AVERAGE(P13:P25)</f>
        <v>12.3</v>
      </c>
      <c r="Q27" s="154"/>
      <c r="R27" s="82">
        <f>R26/Q25</f>
        <v>0.76666666666666672</v>
      </c>
      <c r="S27" s="83" t="s">
        <v>47</v>
      </c>
      <c r="T27" s="83" t="s">
        <v>48</v>
      </c>
      <c r="U27" s="83" t="s">
        <v>262</v>
      </c>
      <c r="V27" s="83">
        <f>SUM(V13:V26)</f>
        <v>244</v>
      </c>
      <c r="W27" s="84">
        <f>AVERAGE(W13:W25)</f>
        <v>180.45454545454547</v>
      </c>
      <c r="X27" s="154"/>
      <c r="Y27" s="82">
        <f>Y26/X25</f>
        <v>0.88888888888888884</v>
      </c>
      <c r="Z27" s="83" t="s">
        <v>47</v>
      </c>
      <c r="AA27" s="83" t="s">
        <v>48</v>
      </c>
      <c r="AB27" s="83" t="s">
        <v>262</v>
      </c>
      <c r="AC27" s="83">
        <f>SUM(AC13:AC26)</f>
        <v>10</v>
      </c>
      <c r="AD27" s="84">
        <f>AVERAGE(AD13:AD25)</f>
        <v>1.25</v>
      </c>
      <c r="AE27" s="154"/>
      <c r="AF27" s="85">
        <f>AF26/AE25</f>
        <v>0.41860465116279072</v>
      </c>
      <c r="AG27" s="83" t="s">
        <v>47</v>
      </c>
      <c r="AH27" s="83" t="s">
        <v>48</v>
      </c>
      <c r="AI27" s="83" t="s">
        <v>262</v>
      </c>
      <c r="AJ27" s="83">
        <f>SUM(AJ13:AJ26)</f>
        <v>93</v>
      </c>
      <c r="AK27" s="84">
        <f>AVERAGE(AK13:AK25)</f>
        <v>212</v>
      </c>
      <c r="AL27" s="154"/>
      <c r="AM27" s="82">
        <f>AM26/AL25</f>
        <v>1</v>
      </c>
      <c r="AN27" s="83" t="s">
        <v>47</v>
      </c>
      <c r="AO27" s="83" t="s">
        <v>48</v>
      </c>
      <c r="AP27" s="83" t="s">
        <v>262</v>
      </c>
      <c r="AQ27" s="83">
        <f>SUM(AQ13:AQ26)</f>
        <v>0</v>
      </c>
      <c r="AR27" s="84">
        <f>AVERAGE(AR13:AR25)</f>
        <v>0</v>
      </c>
      <c r="AS27" s="154"/>
      <c r="AT27" s="82">
        <f>AT26/AS25</f>
        <v>0.88</v>
      </c>
      <c r="AU27" s="83" t="s">
        <v>47</v>
      </c>
      <c r="AV27" s="83" t="s">
        <v>48</v>
      </c>
      <c r="AW27" s="83" t="s">
        <v>262</v>
      </c>
      <c r="AX27" s="83">
        <f>SUM(AX13:AX26)</f>
        <v>10</v>
      </c>
      <c r="AY27" s="84">
        <f>AVERAGE(AY13:AY25)</f>
        <v>4</v>
      </c>
      <c r="AZ27" s="154"/>
      <c r="BA27" s="86">
        <f>BA26/AZ25</f>
        <v>0.6</v>
      </c>
      <c r="BB27" s="83" t="s">
        <v>47</v>
      </c>
      <c r="BC27" s="83" t="s">
        <v>48</v>
      </c>
      <c r="BD27" s="83" t="s">
        <v>262</v>
      </c>
      <c r="BE27" s="83">
        <f>SUM(BE13:BE26)</f>
        <v>90</v>
      </c>
      <c r="BF27" s="84">
        <f>AVERAGE(BF13:BF25)</f>
        <v>0</v>
      </c>
      <c r="BG27" s="156"/>
      <c r="BH27" s="87">
        <f>BH26/BG25</f>
        <v>0.68</v>
      </c>
      <c r="BI27" s="83" t="s">
        <v>47</v>
      </c>
      <c r="BJ27" s="83" t="s">
        <v>48</v>
      </c>
      <c r="BK27" s="83" t="s">
        <v>262</v>
      </c>
      <c r="BL27" s="88">
        <f>SUM(BL13:BL26)</f>
        <v>140</v>
      </c>
      <c r="BM27" s="84">
        <f>AVERAGE(BM13:BM25)</f>
        <v>585</v>
      </c>
      <c r="BN27" s="154"/>
      <c r="BO27" s="87">
        <f>BO26/BN25</f>
        <v>0.9</v>
      </c>
      <c r="BP27" s="83" t="s">
        <v>47</v>
      </c>
      <c r="BQ27" s="83" t="s">
        <v>48</v>
      </c>
      <c r="BR27" s="83" t="s">
        <v>262</v>
      </c>
      <c r="BS27" s="83">
        <f>SUM(BS13:BS26)</f>
        <v>48</v>
      </c>
      <c r="BT27" s="84">
        <f>AVERAGE(BT13:BT25)</f>
        <v>15.666666666666666</v>
      </c>
      <c r="BU27" s="154"/>
      <c r="BV27" s="87">
        <f>BV26/BU25</f>
        <v>0.88</v>
      </c>
      <c r="BW27" s="83" t="s">
        <v>47</v>
      </c>
      <c r="BX27" s="83" t="s">
        <v>48</v>
      </c>
      <c r="BY27" s="83" t="s">
        <v>262</v>
      </c>
      <c r="BZ27" s="83">
        <f>SUM(BZ13:BZ26)</f>
        <v>30</v>
      </c>
      <c r="CA27" s="84">
        <f>AVERAGE(CA13:CA25)</f>
        <v>18</v>
      </c>
      <c r="CB27" s="154"/>
      <c r="CC27" s="87">
        <f>CC26/CB25</f>
        <v>1</v>
      </c>
      <c r="CD27" s="83" t="s">
        <v>47</v>
      </c>
      <c r="CE27" s="83" t="s">
        <v>48</v>
      </c>
      <c r="CF27" s="83" t="s">
        <v>262</v>
      </c>
      <c r="CG27" s="83">
        <f>SUM(CG13:CG26)</f>
        <v>60</v>
      </c>
      <c r="CH27" s="84">
        <f>MAX(CH13:CH25)</f>
        <v>240</v>
      </c>
      <c r="CI27" s="154"/>
      <c r="CJ27" s="89">
        <f>CJ26/CI25</f>
        <v>0.5</v>
      </c>
      <c r="CK27" s="83" t="s">
        <v>47</v>
      </c>
      <c r="CL27" s="83" t="s">
        <v>48</v>
      </c>
      <c r="CM27" s="83" t="s">
        <v>262</v>
      </c>
      <c r="CN27" s="83">
        <f>SUM(CN13:CN26)</f>
        <v>180</v>
      </c>
      <c r="CO27" s="84">
        <f>AVERAGE(CO13:CO25)</f>
        <v>225</v>
      </c>
      <c r="CP27" s="155"/>
      <c r="CQ27" s="169">
        <f>CQ26/CP25</f>
        <v>0.5</v>
      </c>
      <c r="CR27" s="83" t="s">
        <v>47</v>
      </c>
      <c r="CS27" s="83" t="s">
        <v>48</v>
      </c>
      <c r="CT27" s="83" t="s">
        <v>262</v>
      </c>
      <c r="CU27" s="83">
        <f>SUM(CU13:CU26)</f>
        <v>360</v>
      </c>
      <c r="CV27" s="84">
        <f>AVERAGE(CV13:CV25)</f>
        <v>1350</v>
      </c>
      <c r="CW27" s="156"/>
      <c r="CX27" s="171">
        <f>CX26/CW25</f>
        <v>0.2</v>
      </c>
      <c r="CY27" s="83" t="s">
        <v>47</v>
      </c>
      <c r="CZ27" s="83" t="s">
        <v>48</v>
      </c>
      <c r="DA27" s="83" t="s">
        <v>262</v>
      </c>
      <c r="DB27" s="83">
        <f>SUM(DB13:DB26)</f>
        <v>180</v>
      </c>
      <c r="DC27" s="84">
        <f>AVERAGE(DC13:DC25)</f>
        <v>810</v>
      </c>
      <c r="DD27" s="154"/>
      <c r="DE27" s="87">
        <f>DE26/DD25</f>
        <v>1</v>
      </c>
      <c r="DF27" s="83" t="s">
        <v>47</v>
      </c>
      <c r="DG27" s="83" t="s">
        <v>48</v>
      </c>
      <c r="DH27" s="83" t="s">
        <v>262</v>
      </c>
      <c r="DI27" s="83">
        <f>SUM(DI13:DI26)</f>
        <v>0</v>
      </c>
      <c r="DJ27" s="84">
        <f>AVERAGE(DJ13:DJ25)</f>
        <v>0</v>
      </c>
      <c r="DK27" s="154"/>
      <c r="DL27" s="85">
        <f>DL26/DK25</f>
        <v>0.4</v>
      </c>
      <c r="DM27" s="83" t="s">
        <v>47</v>
      </c>
      <c r="DN27" s="83" t="s">
        <v>48</v>
      </c>
      <c r="DO27" s="83" t="s">
        <v>262</v>
      </c>
      <c r="DP27" s="83">
        <f>SUM(DP13:DP26)</f>
        <v>27</v>
      </c>
      <c r="DQ27" s="84">
        <f>AVERAGE(DQ13:DQ25)</f>
        <v>141.5</v>
      </c>
      <c r="DR27" s="154"/>
      <c r="DS27" s="87">
        <f>DS26/DR25</f>
        <v>1</v>
      </c>
      <c r="DT27" s="83" t="s">
        <v>47</v>
      </c>
      <c r="DU27" s="83" t="s">
        <v>48</v>
      </c>
      <c r="DV27" s="83" t="s">
        <v>262</v>
      </c>
      <c r="DW27" s="83">
        <f>SUM(DW13:DW26)</f>
        <v>0</v>
      </c>
      <c r="DX27" s="84">
        <f>AVERAGE(DX13:DX25)</f>
        <v>0</v>
      </c>
      <c r="DY27" s="154"/>
      <c r="DZ27" s="82">
        <f>DZ26/DY25</f>
        <v>0.73333333333333328</v>
      </c>
      <c r="EA27" s="83" t="s">
        <v>47</v>
      </c>
      <c r="EB27" s="83" t="s">
        <v>48</v>
      </c>
      <c r="EC27" s="83" t="s">
        <v>262</v>
      </c>
      <c r="ED27" s="83">
        <f>SUM(ED13:ED26)</f>
        <v>75</v>
      </c>
      <c r="EE27" s="84">
        <f>AVERAGE(EE13:EE25)</f>
        <v>60</v>
      </c>
      <c r="EF27" s="154"/>
      <c r="EG27" s="82">
        <f>EG26/EF25</f>
        <v>1</v>
      </c>
      <c r="EH27" s="83" t="s">
        <v>47</v>
      </c>
      <c r="EI27" s="83" t="s">
        <v>48</v>
      </c>
      <c r="EJ27" s="83" t="s">
        <v>262</v>
      </c>
      <c r="EK27" s="83">
        <f>SUM(EK15:EK26)</f>
        <v>0</v>
      </c>
      <c r="EL27" s="84">
        <f>AVERAGE(EL13:EL25)</f>
        <v>0</v>
      </c>
      <c r="EM27" s="154"/>
      <c r="EN27" s="90">
        <f>EN26/EM25</f>
        <v>0.15</v>
      </c>
      <c r="EO27" s="83" t="s">
        <v>47</v>
      </c>
      <c r="EP27" s="83" t="s">
        <v>48</v>
      </c>
      <c r="EQ27" s="83" t="s">
        <v>262</v>
      </c>
      <c r="ER27" s="83">
        <f>SUM(ER13:ER26)</f>
        <v>300</v>
      </c>
      <c r="ES27" s="84">
        <f>AVERAGE(ES13:ES25)</f>
        <v>1683.3333333333333</v>
      </c>
      <c r="ET27" s="154"/>
      <c r="EU27" s="90">
        <f>EU26/ET25</f>
        <v>0.16666666666666666</v>
      </c>
      <c r="EV27" s="83" t="s">
        <v>47</v>
      </c>
      <c r="EW27" s="83" t="s">
        <v>48</v>
      </c>
      <c r="EX27" s="83" t="s">
        <v>262</v>
      </c>
      <c r="EY27" s="83">
        <f>SUM(EY13:EY26)</f>
        <v>101</v>
      </c>
      <c r="EZ27" s="84">
        <f>AVERAGE(EZ13:EZ25)</f>
        <v>951.25</v>
      </c>
      <c r="FA27" s="154"/>
      <c r="FB27" s="82">
        <f>FB26/FA25</f>
        <v>0.93333333333333335</v>
      </c>
      <c r="FC27" s="83" t="s">
        <v>47</v>
      </c>
      <c r="FD27" s="83" t="s">
        <v>48</v>
      </c>
      <c r="FE27" s="83" t="s">
        <v>262</v>
      </c>
      <c r="FF27" s="83">
        <f>SUM(FF13:FF26)</f>
        <v>18</v>
      </c>
      <c r="FG27" s="84">
        <f>AVERAGE(FG13:FG25)</f>
        <v>157.5</v>
      </c>
      <c r="FH27" s="154"/>
      <c r="FI27" s="85">
        <f>FI26/FH25</f>
        <v>0.65</v>
      </c>
      <c r="FJ27" s="83" t="s">
        <v>47</v>
      </c>
      <c r="FK27" s="83" t="s">
        <v>48</v>
      </c>
      <c r="FL27" s="83" t="s">
        <v>262</v>
      </c>
      <c r="FM27" s="83">
        <f>SUM(FM13:FM26)</f>
        <v>20</v>
      </c>
      <c r="FN27" s="84">
        <f>AVERAGE(FN13:FN25)</f>
        <v>58.571428571428569</v>
      </c>
      <c r="FO27" s="154"/>
      <c r="FP27" s="90">
        <f>FP26/FO25</f>
        <v>0</v>
      </c>
      <c r="FQ27" s="83" t="s">
        <v>47</v>
      </c>
      <c r="FR27" s="83" t="s">
        <v>48</v>
      </c>
      <c r="FS27" s="83" t="s">
        <v>262</v>
      </c>
      <c r="FT27" s="83">
        <f>SUM(FT13:FT26)</f>
        <v>50</v>
      </c>
      <c r="FU27" s="84">
        <f>AVERAGE(FU13:FU25)</f>
        <v>1000</v>
      </c>
      <c r="FV27" s="154"/>
      <c r="FW27" s="91">
        <f>FW26/FV25</f>
        <v>0.02</v>
      </c>
      <c r="FX27" s="83" t="s">
        <v>47</v>
      </c>
      <c r="FY27" s="83" t="s">
        <v>48</v>
      </c>
      <c r="FZ27" s="83" t="s">
        <v>262</v>
      </c>
      <c r="GA27" s="83">
        <f>SUM(GA13:GA26)</f>
        <v>60</v>
      </c>
      <c r="GB27" s="84">
        <f>AVERAGE(GB13:GB25)</f>
        <v>600</v>
      </c>
      <c r="GC27" s="154"/>
      <c r="GD27" s="87">
        <f>GD26/GC25</f>
        <v>0.93333333333333335</v>
      </c>
      <c r="GE27" s="83" t="s">
        <v>47</v>
      </c>
      <c r="GF27" s="83" t="s">
        <v>48</v>
      </c>
      <c r="GG27" s="83" t="s">
        <v>262</v>
      </c>
      <c r="GH27" s="83">
        <f>SUM(GH13:GH26)</f>
        <v>0</v>
      </c>
      <c r="GI27" s="84">
        <f>AVERAGE(GI13:GI25)</f>
        <v>0</v>
      </c>
      <c r="GJ27" s="154"/>
      <c r="GK27" s="87">
        <f>GK26/GJ25</f>
        <v>1</v>
      </c>
      <c r="GL27" s="83" t="s">
        <v>47</v>
      </c>
      <c r="GM27" s="83" t="s">
        <v>48</v>
      </c>
      <c r="GN27" s="83" t="s">
        <v>262</v>
      </c>
      <c r="GO27" s="83">
        <f>SUM(GO13:GO26)</f>
        <v>0</v>
      </c>
      <c r="GP27" s="84">
        <f>AVERAGE(GP13:GP25)</f>
        <v>0</v>
      </c>
    </row>
    <row r="30" spans="3:198" ht="28.5" customHeight="1" x14ac:dyDescent="0.3">
      <c r="F30" s="50" t="s">
        <v>263</v>
      </c>
      <c r="G30" s="50" t="s">
        <v>264</v>
      </c>
      <c r="H30" s="50" t="s">
        <v>265</v>
      </c>
      <c r="J30" s="33" t="s">
        <v>266</v>
      </c>
      <c r="K30" s="33">
        <v>48</v>
      </c>
    </row>
    <row r="31" spans="3:198" ht="16.350000000000001" customHeight="1" x14ac:dyDescent="0.3">
      <c r="C31" s="151" t="s">
        <v>45</v>
      </c>
      <c r="D31" s="151"/>
      <c r="E31" s="151"/>
      <c r="F31" s="92">
        <f>D27</f>
        <v>1</v>
      </c>
      <c r="G31" s="93">
        <f>G26</f>
        <v>1</v>
      </c>
      <c r="H31" s="78">
        <f>I27/K31</f>
        <v>0</v>
      </c>
      <c r="J31" s="33" t="s">
        <v>267</v>
      </c>
      <c r="K31" s="33">
        <v>5</v>
      </c>
    </row>
    <row r="32" spans="3:198" ht="16.350000000000001" customHeight="1" x14ac:dyDescent="0.3">
      <c r="C32" s="151" t="s">
        <v>268</v>
      </c>
      <c r="D32" s="151"/>
      <c r="E32" s="151"/>
      <c r="F32" s="92">
        <f>K27</f>
        <v>0.96363636363636362</v>
      </c>
      <c r="G32" s="93">
        <f>N26</f>
        <v>4.166666666666667</v>
      </c>
      <c r="H32" s="78">
        <f>P27/K31</f>
        <v>2.46</v>
      </c>
    </row>
    <row r="33" spans="3:8" ht="16.350000000000001" customHeight="1" x14ac:dyDescent="0.3">
      <c r="C33" s="151" t="s">
        <v>53</v>
      </c>
      <c r="D33" s="151"/>
      <c r="E33" s="151"/>
      <c r="F33" s="92">
        <f>R27</f>
        <v>0.76666666666666672</v>
      </c>
      <c r="G33" s="79">
        <f>U26</f>
        <v>7</v>
      </c>
      <c r="H33" s="78">
        <f>W27/K31</f>
        <v>36.090909090909093</v>
      </c>
    </row>
    <row r="34" spans="3:8" ht="16.350000000000001" customHeight="1" x14ac:dyDescent="0.3">
      <c r="C34" s="151" t="s">
        <v>54</v>
      </c>
      <c r="D34" s="151"/>
      <c r="E34" s="151"/>
      <c r="F34" s="92">
        <f>Y27</f>
        <v>0.88888888888888884</v>
      </c>
      <c r="G34" s="93">
        <f>AB26</f>
        <v>3.5</v>
      </c>
      <c r="H34" s="78">
        <f>AD27/K31</f>
        <v>0.25</v>
      </c>
    </row>
    <row r="35" spans="3:8" ht="16.350000000000001" customHeight="1" x14ac:dyDescent="0.3">
      <c r="C35" s="151" t="s">
        <v>55</v>
      </c>
      <c r="D35" s="151"/>
      <c r="E35" s="151"/>
      <c r="F35" s="94">
        <f>AF27</f>
        <v>0.41860465116279072</v>
      </c>
      <c r="G35" s="79">
        <f>AI26</f>
        <v>7.333333333333333</v>
      </c>
      <c r="H35" s="78">
        <f>AK27/K31</f>
        <v>42.4</v>
      </c>
    </row>
    <row r="36" spans="3:8" ht="16.350000000000001" customHeight="1" x14ac:dyDescent="0.3">
      <c r="C36" s="151" t="s">
        <v>56</v>
      </c>
      <c r="D36" s="151"/>
      <c r="E36" s="151"/>
      <c r="F36" s="92">
        <f>AM27</f>
        <v>1</v>
      </c>
      <c r="G36" s="93">
        <f>AP26</f>
        <v>0</v>
      </c>
      <c r="H36" s="78">
        <f>AR27/K31</f>
        <v>0</v>
      </c>
    </row>
    <row r="37" spans="3:8" ht="16.350000000000001" customHeight="1" x14ac:dyDescent="0.3">
      <c r="C37" s="151" t="s">
        <v>269</v>
      </c>
      <c r="D37" s="151"/>
      <c r="E37" s="151"/>
      <c r="F37" s="92">
        <f>AT27</f>
        <v>0.88</v>
      </c>
      <c r="G37" s="93">
        <f>AW26</f>
        <v>0.4</v>
      </c>
      <c r="H37" s="78">
        <f>AY27/K31</f>
        <v>0.8</v>
      </c>
    </row>
    <row r="38" spans="3:8" ht="34.5" customHeight="1" x14ac:dyDescent="0.3">
      <c r="C38" s="151" t="s">
        <v>58</v>
      </c>
      <c r="D38" s="151"/>
      <c r="E38" s="151"/>
      <c r="F38" s="95">
        <f>BA27</f>
        <v>0.6</v>
      </c>
      <c r="G38" s="93">
        <f>BD26</f>
        <v>1.75</v>
      </c>
      <c r="H38" s="78">
        <f>BF27/K31</f>
        <v>0</v>
      </c>
    </row>
    <row r="39" spans="3:8" ht="16.350000000000001" customHeight="1" x14ac:dyDescent="0.3">
      <c r="C39" s="151" t="s">
        <v>59</v>
      </c>
      <c r="D39" s="151"/>
      <c r="E39" s="151"/>
      <c r="F39" s="95">
        <f>BH27</f>
        <v>0.68</v>
      </c>
      <c r="G39" s="96">
        <f>BK26</f>
        <v>14.25</v>
      </c>
      <c r="H39" s="78">
        <f>BT27/K31</f>
        <v>3.1333333333333333</v>
      </c>
    </row>
    <row r="40" spans="3:8" ht="16.350000000000001" customHeight="1" x14ac:dyDescent="0.3">
      <c r="C40" s="151" t="s">
        <v>60</v>
      </c>
      <c r="D40" s="151"/>
      <c r="E40" s="151"/>
      <c r="F40" s="92">
        <f>BO27</f>
        <v>0.9</v>
      </c>
      <c r="G40" s="93">
        <f>BR26</f>
        <v>1.1666666666666667</v>
      </c>
      <c r="H40" s="78">
        <f>BT27/K31</f>
        <v>3.1333333333333333</v>
      </c>
    </row>
    <row r="41" spans="3:8" ht="16.350000000000001" customHeight="1" x14ac:dyDescent="0.3">
      <c r="C41" s="151" t="s">
        <v>61</v>
      </c>
      <c r="D41" s="151"/>
      <c r="E41" s="151"/>
      <c r="F41" s="92">
        <f>BV27</f>
        <v>0.88</v>
      </c>
      <c r="G41" s="96">
        <f>BK26</f>
        <v>14.25</v>
      </c>
      <c r="H41" s="78">
        <f>CA27/K31</f>
        <v>3.6</v>
      </c>
    </row>
    <row r="42" spans="3:8" ht="16.350000000000001" customHeight="1" x14ac:dyDescent="0.3">
      <c r="C42" s="151" t="s">
        <v>270</v>
      </c>
      <c r="D42" s="151"/>
      <c r="E42" s="151"/>
      <c r="F42" s="92">
        <f>CC27</f>
        <v>1</v>
      </c>
      <c r="G42" s="93">
        <f>CF26</f>
        <v>1</v>
      </c>
      <c r="H42" s="78">
        <f>CH27/K31</f>
        <v>48</v>
      </c>
    </row>
    <row r="43" spans="3:8" ht="16.350000000000001" customHeight="1" x14ac:dyDescent="0.3">
      <c r="C43" s="151" t="s">
        <v>271</v>
      </c>
      <c r="D43" s="151"/>
      <c r="E43" s="151"/>
      <c r="F43" s="97">
        <f>CJ27</f>
        <v>0.5</v>
      </c>
      <c r="G43" s="93">
        <f>CM26</f>
        <v>1.25</v>
      </c>
      <c r="H43" s="78">
        <f>CO27/K31</f>
        <v>45</v>
      </c>
    </row>
    <row r="44" spans="3:8" ht="16.350000000000001" customHeight="1" x14ac:dyDescent="0.3">
      <c r="C44" s="151" t="s">
        <v>272</v>
      </c>
      <c r="D44" s="151"/>
      <c r="E44" s="151"/>
      <c r="F44" s="97">
        <f>CQ27</f>
        <v>0.5</v>
      </c>
      <c r="G44" s="93">
        <f>CT26</f>
        <v>3.75</v>
      </c>
      <c r="H44" s="78">
        <f>CV27/K31</f>
        <v>270</v>
      </c>
    </row>
    <row r="45" spans="3:8" ht="16.350000000000001" customHeight="1" x14ac:dyDescent="0.3">
      <c r="C45" s="151" t="s">
        <v>273</v>
      </c>
      <c r="D45" s="151"/>
      <c r="E45" s="151"/>
      <c r="F45" s="98">
        <f>CX27</f>
        <v>0.2</v>
      </c>
      <c r="G45" s="93">
        <f>DA26</f>
        <v>4.5</v>
      </c>
      <c r="H45" s="78">
        <f>DC27/K31</f>
        <v>162</v>
      </c>
    </row>
    <row r="46" spans="3:8" ht="15.75" customHeight="1" x14ac:dyDescent="0.3">
      <c r="C46" s="151" t="s">
        <v>274</v>
      </c>
      <c r="D46" s="151"/>
      <c r="E46" s="151"/>
      <c r="F46" s="92">
        <f>DE27</f>
        <v>1</v>
      </c>
      <c r="G46" s="93">
        <f>DH26</f>
        <v>0.4</v>
      </c>
      <c r="H46" s="78">
        <f>DJ27/K31</f>
        <v>0</v>
      </c>
    </row>
    <row r="47" spans="3:8" ht="16.350000000000001" customHeight="1" x14ac:dyDescent="0.3">
      <c r="C47" s="151" t="s">
        <v>275</v>
      </c>
      <c r="D47" s="151"/>
      <c r="E47" s="151"/>
      <c r="F47" s="94">
        <f>DL27</f>
        <v>0.4</v>
      </c>
      <c r="G47" s="99">
        <f>DO26</f>
        <v>15.333333333333334</v>
      </c>
      <c r="H47" s="78">
        <f>DQ27/K31</f>
        <v>28.3</v>
      </c>
    </row>
    <row r="48" spans="3:8" ht="16.350000000000001" customHeight="1" x14ac:dyDescent="0.3">
      <c r="C48" s="151" t="s">
        <v>276</v>
      </c>
      <c r="D48" s="151"/>
      <c r="E48" s="151"/>
      <c r="F48" s="92">
        <f>DS27</f>
        <v>1</v>
      </c>
      <c r="G48" s="96">
        <f>DV26</f>
        <v>10</v>
      </c>
      <c r="H48" s="78">
        <f>DX27/K31</f>
        <v>0</v>
      </c>
    </row>
    <row r="49" spans="2:30" ht="16.350000000000001" customHeight="1" x14ac:dyDescent="0.3">
      <c r="C49" s="151" t="s">
        <v>69</v>
      </c>
      <c r="D49" s="151"/>
      <c r="E49" s="151"/>
      <c r="F49" s="95">
        <f>DZ27</f>
        <v>0.73333333333333328</v>
      </c>
      <c r="G49" s="93">
        <f>EC26</f>
        <v>2.75</v>
      </c>
      <c r="H49" s="78">
        <f>EE27/K31</f>
        <v>12</v>
      </c>
    </row>
    <row r="50" spans="2:30" ht="16.350000000000001" customHeight="1" x14ac:dyDescent="0.3">
      <c r="C50" s="151" t="s">
        <v>70</v>
      </c>
      <c r="D50" s="151"/>
      <c r="E50" s="151"/>
      <c r="F50" s="92">
        <f>EG27</f>
        <v>1</v>
      </c>
      <c r="G50" s="93">
        <f>EJ26</f>
        <v>0</v>
      </c>
      <c r="H50" s="78">
        <f>EL27/K31</f>
        <v>0</v>
      </c>
    </row>
    <row r="51" spans="2:30" ht="16.350000000000001" customHeight="1" x14ac:dyDescent="0.3">
      <c r="C51" s="151" t="s">
        <v>277</v>
      </c>
      <c r="D51" s="151"/>
      <c r="E51" s="151"/>
      <c r="F51" s="98">
        <f>EN27</f>
        <v>0.15</v>
      </c>
      <c r="G51" s="96">
        <f>EQ26</f>
        <v>30.4</v>
      </c>
      <c r="H51" s="78">
        <f>ES27/K31</f>
        <v>336.66666666666663</v>
      </c>
    </row>
    <row r="52" spans="2:30" ht="16.350000000000001" customHeight="1" x14ac:dyDescent="0.3">
      <c r="C52" s="151" t="s">
        <v>72</v>
      </c>
      <c r="D52" s="151"/>
      <c r="E52" s="151"/>
      <c r="F52" s="98">
        <f>EU27</f>
        <v>0.16666666666666666</v>
      </c>
      <c r="G52" s="99">
        <f>EX26</f>
        <v>45.25</v>
      </c>
      <c r="H52" s="78">
        <f>EZ27/K31</f>
        <v>190.25</v>
      </c>
    </row>
    <row r="53" spans="2:30" ht="16.350000000000001" customHeight="1" x14ac:dyDescent="0.3">
      <c r="C53" s="151" t="s">
        <v>73</v>
      </c>
      <c r="D53" s="151"/>
      <c r="E53" s="151"/>
      <c r="F53" s="98">
        <f>FB27</f>
        <v>0.93333333333333335</v>
      </c>
      <c r="G53" s="93">
        <f>FE26</f>
        <v>91.666666666666671</v>
      </c>
      <c r="H53" s="78">
        <f>FG27/K31</f>
        <v>31.5</v>
      </c>
    </row>
    <row r="54" spans="2:30" ht="16.350000000000001" customHeight="1" x14ac:dyDescent="0.3">
      <c r="C54" s="151" t="s">
        <v>74</v>
      </c>
      <c r="D54" s="151"/>
      <c r="E54" s="151"/>
      <c r="F54" s="92">
        <f>FI27</f>
        <v>0.65</v>
      </c>
      <c r="G54" s="99">
        <f>FL26</f>
        <v>15</v>
      </c>
      <c r="H54" s="78">
        <f>FN27/K31</f>
        <v>11.714285714285714</v>
      </c>
    </row>
    <row r="55" spans="2:30" ht="14.25" customHeight="1" x14ac:dyDescent="0.3">
      <c r="C55" s="151" t="s">
        <v>75</v>
      </c>
      <c r="D55" s="151"/>
      <c r="E55" s="151"/>
      <c r="F55" s="98">
        <f>FP27</f>
        <v>0</v>
      </c>
      <c r="G55" s="99">
        <f>FS26</f>
        <v>20</v>
      </c>
      <c r="H55" s="78">
        <f>FU27/K31</f>
        <v>200</v>
      </c>
    </row>
    <row r="56" spans="2:30" ht="16.350000000000001" customHeight="1" x14ac:dyDescent="0.3">
      <c r="C56" s="151" t="s">
        <v>278</v>
      </c>
      <c r="D56" s="151"/>
      <c r="E56" s="151"/>
      <c r="F56" s="98">
        <f>FW27</f>
        <v>0.02</v>
      </c>
      <c r="G56" s="99">
        <f>FZ26</f>
        <v>21.428571428571427</v>
      </c>
      <c r="H56" s="78">
        <f>GB27/K31</f>
        <v>120</v>
      </c>
    </row>
    <row r="57" spans="2:30" ht="16.350000000000001" customHeight="1" x14ac:dyDescent="0.3">
      <c r="C57" s="151" t="s">
        <v>77</v>
      </c>
      <c r="D57" s="151"/>
      <c r="E57" s="151"/>
      <c r="F57" s="92">
        <f>GD27</f>
        <v>0.93333333333333335</v>
      </c>
      <c r="G57" s="93">
        <f>GG26</f>
        <v>32.4</v>
      </c>
      <c r="H57" s="78">
        <f>GI27/K31</f>
        <v>0</v>
      </c>
    </row>
    <row r="58" spans="2:30" ht="15" customHeight="1" x14ac:dyDescent="0.3">
      <c r="C58" s="152" t="s">
        <v>279</v>
      </c>
      <c r="D58" s="152"/>
      <c r="E58" s="152"/>
      <c r="F58" s="100">
        <f>GK27</f>
        <v>1</v>
      </c>
      <c r="G58" s="101">
        <f>GN26</f>
        <v>68.833333333333329</v>
      </c>
      <c r="H58" s="102">
        <f>GP27/K31</f>
        <v>0</v>
      </c>
    </row>
    <row r="59" spans="2:30" ht="23.25" customHeight="1" x14ac:dyDescent="0.3">
      <c r="C59" s="153" t="s">
        <v>280</v>
      </c>
      <c r="D59" s="153"/>
      <c r="E59" s="153"/>
      <c r="F59" s="103">
        <f>AVERAGE(F31:F58)</f>
        <v>0.68444511560790622</v>
      </c>
      <c r="G59" s="104">
        <f>AVERAGE(G31:G58)</f>
        <v>14.956377551020408</v>
      </c>
      <c r="H59" s="105">
        <f>AVERAGE(H31:H58)/K30</f>
        <v>1.1512637858173573</v>
      </c>
    </row>
    <row r="60" spans="2:30" ht="28.5" customHeight="1" x14ac:dyDescent="0.3">
      <c r="F60" s="42" t="s">
        <v>263</v>
      </c>
      <c r="G60" s="42" t="s">
        <v>264</v>
      </c>
      <c r="H60" s="42" t="s">
        <v>281</v>
      </c>
    </row>
    <row r="62" spans="2:30" ht="28.5" customHeight="1" x14ac:dyDescent="0.3">
      <c r="Y62" s="106"/>
      <c r="Z62" s="106"/>
      <c r="AA62" s="149" t="s">
        <v>282</v>
      </c>
      <c r="AB62" s="149"/>
      <c r="AC62" s="107"/>
      <c r="AD62" s="108"/>
    </row>
    <row r="63" spans="2:30" ht="18" customHeight="1" x14ac:dyDescent="0.3">
      <c r="B63" s="109"/>
      <c r="C63" s="109"/>
      <c r="D63" s="109"/>
      <c r="E63" s="109"/>
      <c r="F63" s="109"/>
      <c r="G63" s="109"/>
      <c r="H63" s="148" t="s">
        <v>283</v>
      </c>
      <c r="I63" s="148"/>
      <c r="J63" s="148"/>
      <c r="K63" s="148"/>
      <c r="L63" s="148"/>
      <c r="M63" s="148"/>
      <c r="N63" s="148"/>
      <c r="O63" s="148"/>
      <c r="P63" s="148"/>
      <c r="Q63" s="148"/>
      <c r="Y63" s="150"/>
      <c r="Z63" s="150"/>
      <c r="AA63" s="150"/>
      <c r="AB63" s="150"/>
      <c r="AC63" s="150"/>
      <c r="AD63" s="150"/>
    </row>
    <row r="64" spans="2:30" ht="18" customHeight="1" x14ac:dyDescent="0.3">
      <c r="B64" s="109"/>
      <c r="C64" s="109"/>
      <c r="D64" s="109"/>
      <c r="E64" s="109"/>
      <c r="F64" s="109"/>
      <c r="G64" s="109"/>
      <c r="H64" s="148"/>
      <c r="I64" s="148"/>
      <c r="J64" s="148"/>
      <c r="K64" s="148"/>
      <c r="L64" s="148"/>
      <c r="M64" s="148"/>
      <c r="N64" s="148"/>
      <c r="O64" s="148"/>
      <c r="P64" s="148"/>
      <c r="Q64" s="148"/>
      <c r="Y64" s="150"/>
      <c r="Z64" s="150"/>
      <c r="AA64" s="150"/>
      <c r="AB64" s="150"/>
      <c r="AC64" s="150"/>
      <c r="AD64" s="150"/>
    </row>
    <row r="65" spans="2:30" ht="18" customHeight="1" x14ac:dyDescent="0.3">
      <c r="B65" s="109"/>
      <c r="C65" s="109"/>
      <c r="D65" s="109"/>
      <c r="E65" s="129" t="s">
        <v>284</v>
      </c>
      <c r="F65" s="129"/>
      <c r="G65" s="129"/>
      <c r="H65" s="129"/>
      <c r="I65" s="129"/>
      <c r="J65" s="129"/>
      <c r="K65" s="129"/>
      <c r="L65" s="129"/>
      <c r="M65" s="129"/>
      <c r="N65" s="129"/>
      <c r="O65" s="129"/>
      <c r="P65" s="129"/>
      <c r="Q65" s="129"/>
      <c r="R65" s="129"/>
      <c r="S65" s="129"/>
      <c r="T65" s="129"/>
      <c r="U65" s="129"/>
      <c r="V65" s="110"/>
      <c r="Y65" s="150"/>
      <c r="Z65" s="150"/>
      <c r="AA65" s="150"/>
      <c r="AB65" s="150"/>
      <c r="AC65" s="150"/>
      <c r="AD65" s="150"/>
    </row>
    <row r="66" spans="2:30" ht="24" customHeight="1" x14ac:dyDescent="0.3">
      <c r="B66" s="109"/>
      <c r="C66" s="109"/>
      <c r="D66" s="109"/>
      <c r="E66" s="128" t="s">
        <v>285</v>
      </c>
      <c r="F66" s="128"/>
      <c r="G66" s="128"/>
      <c r="H66" s="128"/>
      <c r="I66" s="128"/>
      <c r="J66" s="128" t="s">
        <v>286</v>
      </c>
      <c r="K66" s="128"/>
      <c r="L66" s="128"/>
      <c r="M66" s="128" t="s">
        <v>287</v>
      </c>
      <c r="N66" s="128"/>
      <c r="O66" s="128"/>
      <c r="P66" s="128"/>
      <c r="Q66" s="111" t="s">
        <v>288</v>
      </c>
      <c r="R66" s="128" t="s">
        <v>289</v>
      </c>
      <c r="S66" s="128"/>
      <c r="T66" s="128"/>
      <c r="U66" s="128"/>
      <c r="V66" s="109"/>
      <c r="X66" s="112" t="s">
        <v>262</v>
      </c>
      <c r="Y66" s="150"/>
      <c r="Z66" s="150"/>
      <c r="AA66" s="150"/>
      <c r="AB66" s="150"/>
      <c r="AC66" s="150"/>
      <c r="AD66" s="150"/>
    </row>
    <row r="67" spans="2:30" ht="16.5" customHeight="1" x14ac:dyDescent="0.3">
      <c r="B67" s="128" t="s">
        <v>290</v>
      </c>
      <c r="C67" s="129" t="s">
        <v>291</v>
      </c>
      <c r="D67" s="129"/>
      <c r="E67" s="124" t="s">
        <v>292</v>
      </c>
      <c r="F67" s="124"/>
      <c r="G67" s="124"/>
      <c r="H67" s="124"/>
      <c r="I67" s="124"/>
      <c r="J67" s="125" t="s">
        <v>293</v>
      </c>
      <c r="K67" s="125"/>
      <c r="L67" s="125"/>
      <c r="M67" s="126" t="s">
        <v>294</v>
      </c>
      <c r="N67" s="126"/>
      <c r="O67" s="126"/>
      <c r="P67" s="126"/>
      <c r="Q67" s="115" t="s">
        <v>295</v>
      </c>
      <c r="R67" s="126" t="s">
        <v>296</v>
      </c>
      <c r="S67" s="126"/>
      <c r="T67" s="126"/>
      <c r="U67" s="126"/>
      <c r="V67" s="109"/>
      <c r="Y67" s="150"/>
      <c r="Z67" s="150"/>
      <c r="AA67" s="150"/>
      <c r="AB67" s="150"/>
      <c r="AC67" s="150"/>
      <c r="AD67" s="150"/>
    </row>
    <row r="68" spans="2:30" ht="16.5" customHeight="1" x14ac:dyDescent="0.3">
      <c r="B68" s="128"/>
      <c r="C68" s="129" t="s">
        <v>297</v>
      </c>
      <c r="D68" s="129"/>
      <c r="E68" s="124" t="s">
        <v>298</v>
      </c>
      <c r="F68" s="124"/>
      <c r="G68" s="124"/>
      <c r="H68" s="124"/>
      <c r="I68" s="124"/>
      <c r="J68" s="124" t="s">
        <v>299</v>
      </c>
      <c r="K68" s="124"/>
      <c r="L68" s="124"/>
      <c r="M68" s="125" t="s">
        <v>300</v>
      </c>
      <c r="N68" s="125"/>
      <c r="O68" s="125"/>
      <c r="P68" s="125"/>
      <c r="Q68" s="115" t="s">
        <v>301</v>
      </c>
      <c r="R68" s="126" t="s">
        <v>295</v>
      </c>
      <c r="S68" s="126"/>
      <c r="T68" s="126"/>
      <c r="U68" s="126"/>
      <c r="V68" s="109"/>
      <c r="Y68" s="150"/>
      <c r="Z68" s="150"/>
      <c r="AA68" s="150"/>
      <c r="AB68" s="150"/>
      <c r="AC68" s="150"/>
      <c r="AD68" s="150"/>
    </row>
    <row r="69" spans="2:30" ht="16.5" customHeight="1" x14ac:dyDescent="0.3">
      <c r="B69" s="128"/>
      <c r="C69" s="129" t="s">
        <v>302</v>
      </c>
      <c r="D69" s="129"/>
      <c r="E69" s="141" t="s">
        <v>303</v>
      </c>
      <c r="F69" s="141"/>
      <c r="G69" s="141"/>
      <c r="H69" s="141"/>
      <c r="I69" s="141"/>
      <c r="J69" s="124" t="s">
        <v>304</v>
      </c>
      <c r="K69" s="124"/>
      <c r="L69" s="124"/>
      <c r="M69" s="125" t="s">
        <v>305</v>
      </c>
      <c r="N69" s="125"/>
      <c r="O69" s="125"/>
      <c r="P69" s="125"/>
      <c r="Q69" s="114" t="s">
        <v>300</v>
      </c>
      <c r="R69" s="126" t="s">
        <v>294</v>
      </c>
      <c r="S69" s="126"/>
      <c r="T69" s="126"/>
      <c r="U69" s="126"/>
      <c r="V69" s="109"/>
      <c r="Y69" s="150"/>
      <c r="Z69" s="150"/>
      <c r="AA69" s="150"/>
      <c r="AB69" s="150"/>
      <c r="AC69" s="150"/>
      <c r="AD69" s="150"/>
    </row>
    <row r="70" spans="2:30" ht="16.5" customHeight="1" x14ac:dyDescent="0.3">
      <c r="B70" s="128"/>
      <c r="C70" s="129" t="s">
        <v>306</v>
      </c>
      <c r="D70" s="129"/>
      <c r="E70" s="141" t="s">
        <v>307</v>
      </c>
      <c r="F70" s="141"/>
      <c r="G70" s="141"/>
      <c r="H70" s="141"/>
      <c r="I70" s="141"/>
      <c r="J70" s="141" t="s">
        <v>308</v>
      </c>
      <c r="K70" s="141"/>
      <c r="L70" s="141"/>
      <c r="M70" s="124" t="s">
        <v>304</v>
      </c>
      <c r="N70" s="124"/>
      <c r="O70" s="124"/>
      <c r="P70" s="124"/>
      <c r="Q70" s="113" t="s">
        <v>299</v>
      </c>
      <c r="R70" s="125" t="s">
        <v>293</v>
      </c>
      <c r="S70" s="125"/>
      <c r="T70" s="125"/>
      <c r="U70" s="125"/>
      <c r="V70" s="109"/>
      <c r="Y70" s="150"/>
      <c r="Z70" s="150"/>
      <c r="AA70" s="150"/>
      <c r="AB70" s="150"/>
      <c r="AC70" s="150"/>
      <c r="AD70" s="150"/>
    </row>
    <row r="71" spans="2:30" ht="16.5" customHeight="1" x14ac:dyDescent="0.3">
      <c r="B71" s="128"/>
      <c r="C71" s="129" t="s">
        <v>309</v>
      </c>
      <c r="D71" s="129"/>
      <c r="E71" s="141" t="s">
        <v>310</v>
      </c>
      <c r="F71" s="141"/>
      <c r="G71" s="141"/>
      <c r="H71" s="141"/>
      <c r="I71" s="141"/>
      <c r="J71" s="141" t="s">
        <v>307</v>
      </c>
      <c r="K71" s="141"/>
      <c r="L71" s="141"/>
      <c r="M71" s="141" t="s">
        <v>303</v>
      </c>
      <c r="N71" s="141"/>
      <c r="O71" s="141"/>
      <c r="P71" s="141"/>
      <c r="Q71" s="113" t="s">
        <v>298</v>
      </c>
      <c r="R71" s="124" t="s">
        <v>292</v>
      </c>
      <c r="S71" s="124"/>
      <c r="T71" s="124"/>
      <c r="U71" s="124"/>
      <c r="V71" s="109"/>
    </row>
    <row r="72" spans="2:30" ht="15" customHeight="1" x14ac:dyDescent="0.3">
      <c r="B72" s="109"/>
      <c r="C72" s="109"/>
      <c r="D72" s="109"/>
      <c r="E72" s="109"/>
      <c r="F72" s="109"/>
      <c r="G72" s="109"/>
      <c r="H72" s="109"/>
      <c r="I72" s="109"/>
      <c r="J72" s="109"/>
      <c r="K72" s="109"/>
      <c r="L72" s="109"/>
      <c r="M72" s="109"/>
      <c r="N72" s="109"/>
      <c r="O72" s="109"/>
    </row>
    <row r="73" spans="2:30" ht="12.75" customHeight="1" x14ac:dyDescent="0.3">
      <c r="B73" s="109"/>
      <c r="C73" s="109"/>
      <c r="D73" s="109"/>
      <c r="E73" s="109"/>
      <c r="F73" s="109"/>
      <c r="G73" s="109"/>
      <c r="H73" s="109"/>
      <c r="I73" s="109"/>
      <c r="J73" s="109"/>
      <c r="K73" s="109"/>
      <c r="L73" s="109"/>
      <c r="M73" s="109"/>
      <c r="N73" s="109"/>
      <c r="O73" s="109"/>
    </row>
    <row r="74" spans="2:30" ht="16.5" customHeight="1" x14ac:dyDescent="0.3">
      <c r="E74" s="141" t="s">
        <v>311</v>
      </c>
      <c r="F74" s="141"/>
      <c r="G74" s="141"/>
      <c r="H74" s="141"/>
      <c r="I74" s="141"/>
      <c r="J74" s="141" t="s">
        <v>312</v>
      </c>
      <c r="K74" s="141"/>
      <c r="L74" s="141"/>
    </row>
    <row r="75" spans="2:30" ht="14.25" customHeight="1" x14ac:dyDescent="0.3">
      <c r="E75" s="124" t="s">
        <v>313</v>
      </c>
      <c r="F75" s="124"/>
      <c r="G75" s="124"/>
      <c r="H75" s="124"/>
      <c r="I75" s="124"/>
      <c r="J75" s="124" t="s">
        <v>314</v>
      </c>
      <c r="K75" s="124"/>
      <c r="L75" s="124"/>
    </row>
    <row r="76" spans="2:30" ht="15.75" customHeight="1" x14ac:dyDescent="0.3">
      <c r="E76" s="125" t="s">
        <v>315</v>
      </c>
      <c r="F76" s="125"/>
      <c r="G76" s="125"/>
      <c r="H76" s="125"/>
      <c r="I76" s="125"/>
      <c r="J76" s="125" t="s">
        <v>316</v>
      </c>
      <c r="K76" s="125"/>
      <c r="L76" s="125"/>
    </row>
    <row r="77" spans="2:30" ht="17.25" customHeight="1" x14ac:dyDescent="0.3">
      <c r="E77" s="126" t="s">
        <v>317</v>
      </c>
      <c r="F77" s="126"/>
      <c r="G77" s="126"/>
      <c r="H77" s="126"/>
      <c r="I77" s="126"/>
      <c r="J77" s="126" t="s">
        <v>318</v>
      </c>
      <c r="K77" s="126"/>
      <c r="L77" s="126"/>
    </row>
    <row r="81" spans="2:22" ht="18" customHeight="1" x14ac:dyDescent="0.3">
      <c r="B81" s="109"/>
      <c r="C81" s="109"/>
      <c r="D81" s="109"/>
      <c r="E81" s="109"/>
      <c r="F81" s="109"/>
      <c r="G81" s="109"/>
      <c r="H81" s="148" t="s">
        <v>319</v>
      </c>
      <c r="I81" s="148"/>
      <c r="J81" s="148"/>
      <c r="K81" s="148"/>
      <c r="L81" s="148"/>
      <c r="M81" s="148"/>
      <c r="N81" s="148"/>
      <c r="O81" s="148"/>
      <c r="P81" s="148"/>
      <c r="Q81" s="148"/>
    </row>
    <row r="82" spans="2:22" ht="18" customHeight="1" x14ac:dyDescent="0.3">
      <c r="B82" s="109"/>
      <c r="C82" s="109"/>
      <c r="D82" s="109"/>
      <c r="E82" s="109"/>
      <c r="F82" s="109"/>
      <c r="G82" s="109"/>
      <c r="H82" s="148"/>
      <c r="I82" s="148"/>
      <c r="J82" s="148"/>
      <c r="K82" s="148"/>
      <c r="L82" s="148"/>
      <c r="M82" s="148"/>
      <c r="N82" s="148"/>
      <c r="O82" s="148"/>
      <c r="P82" s="148"/>
      <c r="Q82" s="148"/>
    </row>
    <row r="83" spans="2:22" ht="18" customHeight="1" x14ac:dyDescent="0.3">
      <c r="B83" s="109"/>
      <c r="C83" s="109"/>
      <c r="D83" s="109"/>
      <c r="E83" s="129" t="s">
        <v>320</v>
      </c>
      <c r="F83" s="129"/>
      <c r="G83" s="129"/>
      <c r="H83" s="129"/>
      <c r="I83" s="129"/>
      <c r="J83" s="129"/>
      <c r="K83" s="129"/>
      <c r="L83" s="129"/>
      <c r="M83" s="129"/>
      <c r="N83" s="129"/>
      <c r="O83" s="129"/>
      <c r="P83" s="129"/>
      <c r="Q83" s="129"/>
      <c r="R83" s="129"/>
      <c r="S83" s="129"/>
      <c r="T83" s="129"/>
      <c r="U83" s="129"/>
      <c r="V83" s="110"/>
    </row>
    <row r="84" spans="2:22" ht="18" customHeight="1" x14ac:dyDescent="0.3">
      <c r="B84" s="109"/>
      <c r="C84" s="109"/>
      <c r="D84" s="109"/>
      <c r="E84" s="128" t="s">
        <v>321</v>
      </c>
      <c r="F84" s="128"/>
      <c r="G84" s="128"/>
      <c r="H84" s="128"/>
      <c r="I84" s="128"/>
      <c r="J84" s="128" t="s">
        <v>322</v>
      </c>
      <c r="K84" s="128"/>
      <c r="L84" s="128"/>
      <c r="M84" s="128" t="s">
        <v>323</v>
      </c>
      <c r="N84" s="128"/>
      <c r="O84" s="128"/>
      <c r="P84" s="128"/>
      <c r="Q84" s="111" t="s">
        <v>324</v>
      </c>
      <c r="R84" s="128" t="s">
        <v>325</v>
      </c>
      <c r="S84" s="128"/>
      <c r="T84" s="128"/>
      <c r="U84" s="128"/>
      <c r="V84" s="109"/>
    </row>
    <row r="85" spans="2:22" ht="18" customHeight="1" x14ac:dyDescent="0.3">
      <c r="B85" s="128" t="s">
        <v>326</v>
      </c>
      <c r="C85" s="142" t="s">
        <v>327</v>
      </c>
      <c r="D85" s="142"/>
      <c r="E85" s="137" t="s">
        <v>314</v>
      </c>
      <c r="F85" s="137"/>
      <c r="G85" s="137"/>
      <c r="H85" s="137"/>
      <c r="I85" s="137"/>
      <c r="J85" s="138" t="s">
        <v>316</v>
      </c>
      <c r="K85" s="138"/>
      <c r="L85" s="138"/>
      <c r="M85" s="143" t="s">
        <v>318</v>
      </c>
      <c r="N85" s="143"/>
      <c r="O85" s="143"/>
      <c r="P85" s="143"/>
      <c r="Q85" s="119" t="s">
        <v>328</v>
      </c>
      <c r="R85" s="144" t="s">
        <v>328</v>
      </c>
      <c r="S85" s="144"/>
      <c r="T85" s="144"/>
      <c r="U85" s="144"/>
      <c r="V85" s="109"/>
    </row>
    <row r="86" spans="2:22" ht="18" customHeight="1" x14ac:dyDescent="0.3">
      <c r="B86" s="128"/>
      <c r="C86" s="145" t="s">
        <v>329</v>
      </c>
      <c r="D86" s="145"/>
      <c r="E86" s="137" t="s">
        <v>314</v>
      </c>
      <c r="F86" s="137"/>
      <c r="G86" s="137"/>
      <c r="H86" s="137"/>
      <c r="I86" s="137"/>
      <c r="J86" s="137" t="s">
        <v>314</v>
      </c>
      <c r="K86" s="137"/>
      <c r="L86" s="137"/>
      <c r="M86" s="138" t="s">
        <v>316</v>
      </c>
      <c r="N86" s="138"/>
      <c r="O86" s="138"/>
      <c r="P86" s="138"/>
      <c r="Q86" s="118" t="s">
        <v>318</v>
      </c>
      <c r="R86" s="144" t="s">
        <v>328</v>
      </c>
      <c r="S86" s="144"/>
      <c r="T86" s="144"/>
      <c r="U86" s="144"/>
      <c r="V86" s="109"/>
    </row>
    <row r="87" spans="2:22" ht="18" customHeight="1" x14ac:dyDescent="0.3">
      <c r="B87" s="128"/>
      <c r="C87" s="146" t="s">
        <v>330</v>
      </c>
      <c r="D87" s="146"/>
      <c r="E87" s="140" t="s">
        <v>312</v>
      </c>
      <c r="F87" s="140"/>
      <c r="G87" s="140"/>
      <c r="H87" s="140"/>
      <c r="I87" s="140"/>
      <c r="J87" s="137" t="s">
        <v>314</v>
      </c>
      <c r="K87" s="137"/>
      <c r="L87" s="137"/>
      <c r="M87" s="138" t="s">
        <v>316</v>
      </c>
      <c r="N87" s="138"/>
      <c r="O87" s="138"/>
      <c r="P87" s="138"/>
      <c r="Q87" s="117" t="s">
        <v>316</v>
      </c>
      <c r="R87" s="143" t="s">
        <v>318</v>
      </c>
      <c r="S87" s="143"/>
      <c r="T87" s="143"/>
      <c r="U87" s="143"/>
      <c r="V87" s="109"/>
    </row>
    <row r="88" spans="2:22" ht="18" customHeight="1" x14ac:dyDescent="0.3">
      <c r="B88" s="128"/>
      <c r="C88" s="147" t="s">
        <v>331</v>
      </c>
      <c r="D88" s="147"/>
      <c r="E88" s="140" t="s">
        <v>312</v>
      </c>
      <c r="F88" s="140"/>
      <c r="G88" s="140"/>
      <c r="H88" s="140"/>
      <c r="I88" s="140"/>
      <c r="J88" s="140" t="s">
        <v>312</v>
      </c>
      <c r="K88" s="140"/>
      <c r="L88" s="140"/>
      <c r="M88" s="137" t="s">
        <v>314</v>
      </c>
      <c r="N88" s="137"/>
      <c r="O88" s="137"/>
      <c r="P88" s="137"/>
      <c r="Q88" s="116" t="s">
        <v>314</v>
      </c>
      <c r="R88" s="138" t="s">
        <v>316</v>
      </c>
      <c r="S88" s="138"/>
      <c r="T88" s="138"/>
      <c r="U88" s="138"/>
      <c r="V88" s="109"/>
    </row>
    <row r="89" spans="2:22" ht="18" customHeight="1" x14ac:dyDescent="0.3">
      <c r="B89" s="128"/>
      <c r="C89" s="139" t="s">
        <v>332</v>
      </c>
      <c r="D89" s="139"/>
      <c r="E89" s="140" t="s">
        <v>312</v>
      </c>
      <c r="F89" s="140"/>
      <c r="G89" s="140"/>
      <c r="H89" s="140"/>
      <c r="I89" s="140"/>
      <c r="J89" s="140" t="s">
        <v>312</v>
      </c>
      <c r="K89" s="140"/>
      <c r="L89" s="140"/>
      <c r="M89" s="140" t="s">
        <v>312</v>
      </c>
      <c r="N89" s="140"/>
      <c r="O89" s="140"/>
      <c r="P89" s="140"/>
      <c r="Q89" s="116" t="s">
        <v>314</v>
      </c>
      <c r="R89" s="137" t="s">
        <v>314</v>
      </c>
      <c r="S89" s="137"/>
      <c r="T89" s="137"/>
      <c r="U89" s="137"/>
      <c r="V89" s="109"/>
    </row>
    <row r="92" spans="2:22" ht="18" customHeight="1" x14ac:dyDescent="0.3">
      <c r="E92" s="135" t="s">
        <v>333</v>
      </c>
      <c r="F92" s="135"/>
      <c r="G92" s="135"/>
      <c r="H92" s="135"/>
      <c r="I92" s="135"/>
      <c r="J92" s="141" t="s">
        <v>312</v>
      </c>
      <c r="K92" s="141"/>
      <c r="L92" s="141"/>
    </row>
    <row r="93" spans="2:22" ht="18" customHeight="1" x14ac:dyDescent="0.3">
      <c r="E93" s="124" t="s">
        <v>334</v>
      </c>
      <c r="F93" s="124"/>
      <c r="G93" s="124"/>
      <c r="H93" s="124"/>
      <c r="I93" s="124"/>
      <c r="J93" s="124" t="s">
        <v>314</v>
      </c>
      <c r="K93" s="124"/>
      <c r="L93" s="124"/>
    </row>
    <row r="94" spans="2:22" ht="18" customHeight="1" x14ac:dyDescent="0.3">
      <c r="E94" s="125" t="s">
        <v>335</v>
      </c>
      <c r="F94" s="125"/>
      <c r="G94" s="125"/>
      <c r="H94" s="125"/>
      <c r="I94" s="125"/>
      <c r="J94" s="125" t="s">
        <v>316</v>
      </c>
      <c r="K94" s="125"/>
      <c r="L94" s="125"/>
    </row>
    <row r="95" spans="2:22" ht="18" customHeight="1" x14ac:dyDescent="0.3">
      <c r="E95" s="126" t="s">
        <v>336</v>
      </c>
      <c r="F95" s="126"/>
      <c r="G95" s="126"/>
      <c r="H95" s="126"/>
      <c r="I95" s="126"/>
      <c r="J95" s="126" t="s">
        <v>318</v>
      </c>
      <c r="K95" s="126"/>
      <c r="L95" s="126"/>
    </row>
    <row r="96" spans="2:22" ht="18" customHeight="1" x14ac:dyDescent="0.3">
      <c r="E96" s="127" t="s">
        <v>337</v>
      </c>
      <c r="F96" s="127"/>
      <c r="G96" s="127"/>
      <c r="H96" s="127"/>
      <c r="I96" s="127"/>
      <c r="J96" s="127" t="s">
        <v>328</v>
      </c>
      <c r="K96" s="127"/>
      <c r="L96" s="127"/>
    </row>
    <row r="100" spans="2:19" ht="57" customHeight="1" x14ac:dyDescent="0.3">
      <c r="B100" s="128" t="s">
        <v>338</v>
      </c>
      <c r="C100" s="129" t="s">
        <v>339</v>
      </c>
      <c r="D100" s="129"/>
      <c r="E100" s="126" t="s">
        <v>340</v>
      </c>
      <c r="F100" s="126"/>
      <c r="G100" s="126"/>
      <c r="H100" s="126"/>
      <c r="I100" s="126"/>
      <c r="J100" s="130" t="s">
        <v>341</v>
      </c>
      <c r="K100" s="130"/>
      <c r="L100" s="130"/>
      <c r="M100" s="130"/>
      <c r="N100" s="130"/>
      <c r="O100" s="130"/>
      <c r="P100" s="130"/>
      <c r="Q100" s="130"/>
      <c r="R100" s="130"/>
      <c r="S100" s="130"/>
    </row>
    <row r="101" spans="2:19" ht="44.25" customHeight="1" x14ac:dyDescent="0.3">
      <c r="B101" s="128"/>
      <c r="C101" s="129" t="s">
        <v>342</v>
      </c>
      <c r="D101" s="129"/>
      <c r="E101" s="125" t="s">
        <v>343</v>
      </c>
      <c r="F101" s="125"/>
      <c r="G101" s="125"/>
      <c r="H101" s="125"/>
      <c r="I101" s="125"/>
      <c r="J101" s="131" t="s">
        <v>344</v>
      </c>
      <c r="K101" s="131"/>
      <c r="L101" s="131"/>
      <c r="M101" s="131"/>
      <c r="N101" s="131"/>
      <c r="O101" s="131"/>
      <c r="P101" s="131"/>
      <c r="Q101" s="131"/>
      <c r="R101" s="131"/>
      <c r="S101" s="131"/>
    </row>
    <row r="102" spans="2:19" ht="42.75" customHeight="1" x14ac:dyDescent="0.3">
      <c r="B102" s="128"/>
      <c r="C102" s="129" t="s">
        <v>345</v>
      </c>
      <c r="D102" s="129"/>
      <c r="E102" s="124" t="s">
        <v>346</v>
      </c>
      <c r="F102" s="124"/>
      <c r="G102" s="124"/>
      <c r="H102" s="124"/>
      <c r="I102" s="124"/>
      <c r="J102" s="132" t="s">
        <v>347</v>
      </c>
      <c r="K102" s="132"/>
      <c r="L102" s="132"/>
      <c r="M102" s="132"/>
      <c r="N102" s="132"/>
      <c r="O102" s="132"/>
      <c r="P102" s="132"/>
      <c r="Q102" s="132"/>
      <c r="R102" s="132"/>
      <c r="S102" s="132"/>
    </row>
    <row r="103" spans="2:19" ht="42.75" customHeight="1" x14ac:dyDescent="0.3">
      <c r="B103" s="128"/>
      <c r="C103" s="129" t="s">
        <v>348</v>
      </c>
      <c r="D103" s="129"/>
      <c r="E103" s="133" t="s">
        <v>349</v>
      </c>
      <c r="F103" s="133"/>
      <c r="G103" s="133"/>
      <c r="H103" s="133"/>
      <c r="I103" s="133"/>
      <c r="J103" s="134" t="s">
        <v>350</v>
      </c>
      <c r="K103" s="134"/>
      <c r="L103" s="134"/>
      <c r="M103" s="134"/>
      <c r="N103" s="134"/>
      <c r="O103" s="134"/>
      <c r="P103" s="134"/>
      <c r="Q103" s="134"/>
      <c r="R103" s="134"/>
      <c r="S103" s="134"/>
    </row>
    <row r="104" spans="2:19" ht="30" customHeight="1" x14ac:dyDescent="0.3">
      <c r="B104" s="128"/>
      <c r="C104" s="129" t="s">
        <v>351</v>
      </c>
      <c r="D104" s="129"/>
      <c r="E104" s="135" t="s">
        <v>352</v>
      </c>
      <c r="F104" s="135"/>
      <c r="G104" s="135"/>
      <c r="H104" s="135"/>
      <c r="I104" s="135"/>
      <c r="J104" s="136" t="s">
        <v>353</v>
      </c>
      <c r="K104" s="136"/>
      <c r="L104" s="136"/>
      <c r="M104" s="136"/>
      <c r="N104" s="136"/>
      <c r="O104" s="136"/>
      <c r="P104" s="136"/>
      <c r="Q104" s="136"/>
      <c r="R104" s="136"/>
      <c r="S104" s="136"/>
    </row>
  </sheetData>
  <mergeCells count="165">
    <mergeCell ref="C26:C27"/>
    <mergeCell ref="J26:J27"/>
    <mergeCell ref="Q26:Q27"/>
    <mergeCell ref="BN26:BN27"/>
    <mergeCell ref="BU26:BU27"/>
    <mergeCell ref="CB26:CB27"/>
    <mergeCell ref="D2:H2"/>
    <mergeCell ref="K2:O2"/>
    <mergeCell ref="R2:V2"/>
    <mergeCell ref="D4:L4"/>
    <mergeCell ref="D5:L5"/>
    <mergeCell ref="D6:L6"/>
    <mergeCell ref="D7:L7"/>
    <mergeCell ref="D8:L8"/>
    <mergeCell ref="ET26:ET27"/>
    <mergeCell ref="FA26:FA27"/>
    <mergeCell ref="FH26:FH27"/>
    <mergeCell ref="FO26:FO27"/>
    <mergeCell ref="FV26:FV27"/>
    <mergeCell ref="GC26:GC27"/>
    <mergeCell ref="GJ26:GJ27"/>
    <mergeCell ref="C31:E31"/>
    <mergeCell ref="C32:E32"/>
    <mergeCell ref="CI26:CI27"/>
    <mergeCell ref="CP26:CP27"/>
    <mergeCell ref="CW26:CW27"/>
    <mergeCell ref="DD26:DD27"/>
    <mergeCell ref="DK26:DK27"/>
    <mergeCell ref="DR26:DR27"/>
    <mergeCell ref="DY26:DY27"/>
    <mergeCell ref="EF26:EF27"/>
    <mergeCell ref="EM26:EM27"/>
    <mergeCell ref="X26:X27"/>
    <mergeCell ref="AE26:AE27"/>
    <mergeCell ref="AL26:AL27"/>
    <mergeCell ref="AS26:AS27"/>
    <mergeCell ref="AZ26:AZ27"/>
    <mergeCell ref="BG26:BG27"/>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AA62:AB62"/>
    <mergeCell ref="H63:Q64"/>
    <mergeCell ref="Y63:AD70"/>
    <mergeCell ref="E65:U65"/>
    <mergeCell ref="E66:I66"/>
    <mergeCell ref="J66:L66"/>
    <mergeCell ref="M66:P66"/>
    <mergeCell ref="R66:U66"/>
    <mergeCell ref="B67:B71"/>
    <mergeCell ref="C67:D67"/>
    <mergeCell ref="E67:I67"/>
    <mergeCell ref="J67:L67"/>
    <mergeCell ref="M67:P67"/>
    <mergeCell ref="R67:U67"/>
    <mergeCell ref="C68:D68"/>
    <mergeCell ref="E68:I68"/>
    <mergeCell ref="J68:L68"/>
    <mergeCell ref="M68:P68"/>
    <mergeCell ref="R68:U68"/>
    <mergeCell ref="C69:D69"/>
    <mergeCell ref="E69:I69"/>
    <mergeCell ref="J69:L69"/>
    <mergeCell ref="M69:P69"/>
    <mergeCell ref="R69:U69"/>
    <mergeCell ref="C70:D70"/>
    <mergeCell ref="E70:I70"/>
    <mergeCell ref="J70:L70"/>
    <mergeCell ref="M70:P70"/>
    <mergeCell ref="R70:U70"/>
    <mergeCell ref="C71:D71"/>
    <mergeCell ref="E71:I71"/>
    <mergeCell ref="J71:L71"/>
    <mergeCell ref="M71:P71"/>
    <mergeCell ref="R71:U71"/>
    <mergeCell ref="E74:I74"/>
    <mergeCell ref="J74:L74"/>
    <mergeCell ref="E75:I75"/>
    <mergeCell ref="J75:L75"/>
    <mergeCell ref="E76:I76"/>
    <mergeCell ref="J76:L76"/>
    <mergeCell ref="E77:I77"/>
    <mergeCell ref="J77:L77"/>
    <mergeCell ref="H81:Q82"/>
    <mergeCell ref="E83:U83"/>
    <mergeCell ref="E84:I84"/>
    <mergeCell ref="J84:L84"/>
    <mergeCell ref="M84:P84"/>
    <mergeCell ref="R84:U84"/>
    <mergeCell ref="B85:B89"/>
    <mergeCell ref="C85:D85"/>
    <mergeCell ref="E85:I85"/>
    <mergeCell ref="J85:L85"/>
    <mergeCell ref="M85:P85"/>
    <mergeCell ref="R85:U85"/>
    <mergeCell ref="C86:D86"/>
    <mergeCell ref="E86:I86"/>
    <mergeCell ref="J86:L86"/>
    <mergeCell ref="M86:P86"/>
    <mergeCell ref="R86:U86"/>
    <mergeCell ref="C87:D87"/>
    <mergeCell ref="E87:I87"/>
    <mergeCell ref="J87:L87"/>
    <mergeCell ref="M87:P87"/>
    <mergeCell ref="R87:U87"/>
    <mergeCell ref="C88:D88"/>
    <mergeCell ref="E88:I88"/>
    <mergeCell ref="J88:L88"/>
    <mergeCell ref="M88:P88"/>
    <mergeCell ref="R88:U88"/>
    <mergeCell ref="C89:D89"/>
    <mergeCell ref="E89:I89"/>
    <mergeCell ref="J89:L89"/>
    <mergeCell ref="M89:P89"/>
    <mergeCell ref="R89:U89"/>
    <mergeCell ref="E92:I92"/>
    <mergeCell ref="J92:L92"/>
    <mergeCell ref="E93:I93"/>
    <mergeCell ref="J93:L93"/>
    <mergeCell ref="E94:I94"/>
    <mergeCell ref="J94:L94"/>
    <mergeCell ref="E95:I95"/>
    <mergeCell ref="J95:L95"/>
    <mergeCell ref="E96:I96"/>
    <mergeCell ref="J96:L96"/>
    <mergeCell ref="B100:B104"/>
    <mergeCell ref="C100:D100"/>
    <mergeCell ref="E100:I100"/>
    <mergeCell ref="J100:S100"/>
    <mergeCell ref="C101:D101"/>
    <mergeCell ref="E101:I101"/>
    <mergeCell ref="J101:S101"/>
    <mergeCell ref="C102:D102"/>
    <mergeCell ref="E102:I102"/>
    <mergeCell ref="J102:S102"/>
    <mergeCell ref="C103:D103"/>
    <mergeCell ref="E103:I103"/>
    <mergeCell ref="J103:S103"/>
    <mergeCell ref="C104:D104"/>
    <mergeCell ref="E104:I104"/>
    <mergeCell ref="J104:S104"/>
  </mergeCells>
  <hyperlinks>
    <hyperlink ref="C10" location="'Dashboard Audit'!B2" display="→ Tableau de bord dynamique" xr:uid="{00000000-0004-0000-0300-000000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Dashboard Audit</vt:lpstr>
      <vt:lpstr>Essai radar</vt:lpstr>
      <vt:lpstr>Mode d'emploi</vt:lpstr>
      <vt:lpstr>Critères de résilience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DUPUIS Thierry</dc:creator>
  <cp:lastModifiedBy>DUPUIS Thierry</cp:lastModifiedBy>
  <dcterms:created xsi:type="dcterms:W3CDTF">2026-09-01T13:09:35Z</dcterms:created>
  <dcterms:modified xsi:type="dcterms:W3CDTF">2026-09-01T13:59:57Z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2025-05-20T12:42:49Z</dcterms:created>
  <dc:creator>DUPUIS Thierry</dc:creator>
  <dc:description/>
  <dc:language>en-US</dc:language>
  <cp:lastModifiedBy>DUPUIS Thierry</cp:lastModifiedBy>
  <dcterms:modified xsi:type="dcterms:W3CDTF">2026-09-01T12:48:18Z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0x0101008EB5A1EB67436B418152CE69CC1A4426</vt:lpwstr>
  </property>
  <property fmtid="{D5CDD505-2E9C-101B-9397-08002B2CF9AE}" pid="3" name="MediaServiceImageTags">
    <vt:lpwstr/>
  </property>
</Properties>
</file>