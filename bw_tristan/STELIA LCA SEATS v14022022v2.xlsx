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Ex3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22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3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4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5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6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28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29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scalian-my.sharepoint.com/personal/yannick_martz_scalian_com/Documents/0_FILES_YM/2024/IC/Etude de Cas/"/>
    </mc:Choice>
  </mc:AlternateContent>
  <xr:revisionPtr revIDLastSave="360" documentId="11_6F0F98F5A3FA2480088CD23DFFCBECBD2D1F8032" xr6:coauthVersionLast="47" xr6:coauthVersionMax="47" xr10:uidLastSave="{26A24983-EF92-4823-BE8C-C78B6E9B69E5}"/>
  <bookViews>
    <workbookView xWindow="-108" yWindow="-108" windowWidth="23256" windowHeight="13896" firstSheet="5" activeTab="10" xr2:uid="{00000000-000D-0000-FFFF-FFFF00000000}"/>
  </bookViews>
  <sheets>
    <sheet name="Master" sheetId="1" r:id="rId1"/>
    <sheet name="Transpo perseq" sheetId="13" r:id="rId2"/>
    <sheet name="Transpo pondéré (2)" sheetId="22" r:id="rId3"/>
    <sheet name="Pondération" sheetId="17" r:id="rId4"/>
    <sheet name="Transpo pondéré" sheetId="16" r:id="rId5"/>
    <sheet name="Analyse perseq" sheetId="14" r:id="rId6"/>
    <sheet name="Feuil2" sheetId="24" r:id="rId7"/>
    <sheet name="Feuil1" sheetId="23" r:id="rId8"/>
    <sheet name="Scoring" sheetId="21" r:id="rId9"/>
    <sheet name="Analyse pondéré" sheetId="18" r:id="rId10"/>
    <sheet name="Graphes perseq" sheetId="12" r:id="rId11"/>
    <sheet name="Graphes pondéré" sheetId="19" r:id="rId12"/>
    <sheet name="Approche par les masses" sheetId="15" r:id="rId13"/>
    <sheet name="Scenarii" sheetId="20" r:id="rId14"/>
  </sheets>
  <definedNames>
    <definedName name="_xlnm._FilterDatabase" localSheetId="12" hidden="1">'Approche par les masses'!$A$1:$D$23</definedName>
    <definedName name="_xlnm._FilterDatabase" localSheetId="10" hidden="1">'Graphes perseq'!$B$44:$F$53</definedName>
    <definedName name="_xlnm._FilterDatabase" localSheetId="11" hidden="1">'Graphes pondéré'!$A$200:$C$210</definedName>
    <definedName name="_xlnm._FilterDatabase" localSheetId="4" hidden="1">'Transpo pondéré'!$A$1:$S$260</definedName>
    <definedName name="_xlnm._FilterDatabase" localSheetId="2" hidden="1">'Transpo pondéré (2)'!$A$1:$S$260</definedName>
    <definedName name="_xlchart.v1.0" hidden="1">'Graphes perseq'!$A$23:$A$38</definedName>
    <definedName name="_xlchart.v1.1" hidden="1">'Graphes perseq'!$B$23:$B$38</definedName>
    <definedName name="_xlchart.v1.2" hidden="1">'Graphes pondéré'!$A$23:$A$38</definedName>
    <definedName name="_xlchart.v1.3" hidden="1">'Graphes pondéré'!$B$23:$B$38</definedName>
    <definedName name="_xlchart.v1.4" hidden="1">'Graphes pondéré'!$A$23:$A$38</definedName>
    <definedName name="_xlchart.v1.5" hidden="1">'Graphes pondéré'!$C$22</definedName>
    <definedName name="_xlchart.v1.6" hidden="1">'Graphes pondéré'!$C$23:$C$38</definedName>
  </definedNames>
  <calcPr calcId="191028"/>
  <pivotCaches>
    <pivotCache cacheId="0" r:id="rId15"/>
    <pivotCache cacheId="1" r:id="rId16"/>
    <pivotCache cacheId="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9" l="1"/>
  <c r="E26" i="19"/>
  <c r="D25" i="15" l="1"/>
  <c r="C25" i="15"/>
  <c r="B25" i="15"/>
  <c r="B40" i="19"/>
  <c r="D40" i="19"/>
  <c r="G17" i="20"/>
  <c r="T235" i="22"/>
  <c r="T236" i="22"/>
  <c r="T238" i="22"/>
  <c r="T239" i="22"/>
  <c r="E275" i="22"/>
  <c r="F275" i="22"/>
  <c r="G275" i="22"/>
  <c r="H275" i="22"/>
  <c r="I275" i="22"/>
  <c r="J275" i="22"/>
  <c r="K275" i="22"/>
  <c r="L275" i="22"/>
  <c r="M275" i="22"/>
  <c r="N275" i="22"/>
  <c r="O275" i="22"/>
  <c r="P275" i="22"/>
  <c r="Q275" i="22"/>
  <c r="R275" i="22"/>
  <c r="S275" i="22"/>
  <c r="E276" i="22"/>
  <c r="F276" i="22"/>
  <c r="G276" i="22"/>
  <c r="H276" i="22"/>
  <c r="I276" i="22"/>
  <c r="J276" i="22"/>
  <c r="K276" i="22"/>
  <c r="L276" i="22"/>
  <c r="M276" i="22"/>
  <c r="N276" i="22"/>
  <c r="O276" i="22"/>
  <c r="P276" i="22"/>
  <c r="Q276" i="22"/>
  <c r="R276" i="22"/>
  <c r="S276" i="22"/>
  <c r="E277" i="22"/>
  <c r="F277" i="22"/>
  <c r="G277" i="22"/>
  <c r="H277" i="22"/>
  <c r="I277" i="22"/>
  <c r="J277" i="22"/>
  <c r="K277" i="22"/>
  <c r="L277" i="22"/>
  <c r="M277" i="22"/>
  <c r="N277" i="22"/>
  <c r="O277" i="22"/>
  <c r="P277" i="22"/>
  <c r="Q277" i="22"/>
  <c r="R277" i="22"/>
  <c r="S277" i="22"/>
  <c r="E278" i="22"/>
  <c r="F278" i="22"/>
  <c r="G278" i="22"/>
  <c r="H278" i="22"/>
  <c r="I278" i="22"/>
  <c r="J278" i="22"/>
  <c r="K278" i="22"/>
  <c r="L278" i="22"/>
  <c r="M278" i="22"/>
  <c r="N278" i="22"/>
  <c r="O278" i="22"/>
  <c r="P278" i="22"/>
  <c r="Q278" i="22"/>
  <c r="R278" i="22"/>
  <c r="S278" i="22"/>
  <c r="D278" i="22"/>
  <c r="D276" i="22"/>
  <c r="D277" i="22"/>
  <c r="D275" i="22"/>
  <c r="G13" i="20" l="1"/>
  <c r="G14" i="20" s="1"/>
  <c r="H14" i="20" s="1"/>
  <c r="E96" i="19" l="1"/>
  <c r="E97" i="19"/>
  <c r="E98" i="19"/>
  <c r="E99" i="19"/>
  <c r="E100" i="19"/>
  <c r="E101" i="19"/>
  <c r="E102" i="19"/>
  <c r="E103" i="19"/>
  <c r="E104" i="19"/>
  <c r="E95" i="19"/>
  <c r="C38" i="19" l="1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B3" i="15" l="1"/>
  <c r="C4" i="15" l="1"/>
  <c r="D4" i="15" s="1"/>
  <c r="C8" i="15"/>
  <c r="D8" i="15" s="1"/>
  <c r="C5" i="15"/>
  <c r="D5" i="15" s="1"/>
  <c r="C7" i="15"/>
  <c r="D7" i="15" s="1"/>
  <c r="C6" i="15"/>
  <c r="D6" i="15" s="1"/>
  <c r="C12" i="15"/>
  <c r="D12" i="15" s="1"/>
  <c r="C14" i="15"/>
  <c r="D14" i="15" s="1"/>
  <c r="C18" i="15"/>
  <c r="D18" i="15" s="1"/>
  <c r="C23" i="15"/>
  <c r="D23" i="15" s="1"/>
  <c r="C16" i="15"/>
  <c r="D16" i="15" s="1"/>
  <c r="C11" i="15"/>
  <c r="D11" i="15" s="1"/>
  <c r="C17" i="15"/>
  <c r="D17" i="15" s="1"/>
  <c r="C3" i="15"/>
  <c r="D3" i="15" s="1"/>
  <c r="C9" i="15"/>
  <c r="D9" i="15" s="1"/>
  <c r="C20" i="15"/>
  <c r="D20" i="15" s="1"/>
  <c r="C19" i="15"/>
  <c r="D19" i="15" s="1"/>
  <c r="C13" i="15"/>
  <c r="D13" i="15" s="1"/>
  <c r="C10" i="15"/>
  <c r="D10" i="15" s="1"/>
  <c r="C22" i="15"/>
  <c r="D22" i="15" s="1"/>
  <c r="C15" i="15"/>
  <c r="D15" i="15" s="1"/>
  <c r="C21" i="15"/>
  <c r="D21" i="15" s="1"/>
  <c r="C2" i="15"/>
  <c r="D2" i="15" s="1"/>
  <c r="I7" i="20" l="1"/>
  <c r="E32" i="20"/>
  <c r="D31" i="20"/>
  <c r="D30" i="20"/>
  <c r="D29" i="20"/>
  <c r="D28" i="20"/>
  <c r="D27" i="20"/>
  <c r="F32" i="20"/>
  <c r="D26" i="20"/>
  <c r="B27" i="20" l="1"/>
  <c r="D5" i="20"/>
  <c r="B29" i="20"/>
  <c r="B15" i="20"/>
  <c r="B28" i="20"/>
  <c r="B31" i="20"/>
  <c r="B26" i="20"/>
  <c r="B30" i="20"/>
  <c r="D32" i="20"/>
  <c r="F2" i="20"/>
  <c r="C5" i="20"/>
  <c r="E10" i="20"/>
  <c r="I1" i="20"/>
  <c r="I4" i="20" s="1"/>
  <c r="J4" i="20" s="1"/>
  <c r="F8" i="20" s="1"/>
  <c r="F9" i="20"/>
  <c r="D9" i="20" s="1"/>
  <c r="F7" i="20"/>
  <c r="D7" i="20" s="1"/>
  <c r="F6" i="20"/>
  <c r="D6" i="20" s="1"/>
  <c r="F4" i="20"/>
  <c r="D4" i="20" s="1"/>
  <c r="D8" i="20" l="1"/>
  <c r="C8" i="20"/>
  <c r="C31" i="20"/>
  <c r="B5" i="20"/>
  <c r="C9" i="20"/>
  <c r="B19" i="20"/>
  <c r="B6" i="20"/>
  <c r="B16" i="20"/>
  <c r="C7" i="20"/>
  <c r="B17" i="20"/>
  <c r="B8" i="20"/>
  <c r="B18" i="20"/>
  <c r="C4" i="20"/>
  <c r="B14" i="20"/>
  <c r="C28" i="20"/>
  <c r="C26" i="20"/>
  <c r="C29" i="20"/>
  <c r="C27" i="20"/>
  <c r="C30" i="20"/>
  <c r="C32" i="20"/>
  <c r="C6" i="20"/>
  <c r="B4" i="20"/>
  <c r="F10" i="20"/>
  <c r="D10" i="20" s="1"/>
  <c r="B9" i="20"/>
  <c r="B7" i="20"/>
  <c r="B79" i="19"/>
  <c r="B78" i="19"/>
  <c r="B77" i="19"/>
  <c r="B76" i="19"/>
  <c r="B75" i="19"/>
  <c r="B74" i="19"/>
  <c r="B73" i="19"/>
  <c r="B72" i="19"/>
  <c r="B71" i="19"/>
  <c r="C10" i="20" l="1"/>
  <c r="B10" i="20"/>
  <c r="D14" i="20"/>
  <c r="G65" i="19"/>
  <c r="G64" i="19"/>
  <c r="G63" i="19"/>
  <c r="G62" i="19"/>
  <c r="G61" i="19"/>
  <c r="G60" i="19"/>
  <c r="G59" i="19"/>
  <c r="G58" i="19"/>
  <c r="G57" i="19"/>
  <c r="G46" i="19"/>
  <c r="G47" i="19"/>
  <c r="G48" i="19"/>
  <c r="G49" i="19"/>
  <c r="G50" i="19"/>
  <c r="G51" i="19"/>
  <c r="G52" i="19"/>
  <c r="G53" i="19"/>
  <c r="G45" i="19"/>
  <c r="C149" i="19"/>
  <c r="C148" i="19"/>
  <c r="C134" i="19"/>
  <c r="C133" i="19"/>
  <c r="C115" i="19"/>
  <c r="C114" i="19"/>
  <c r="C113" i="19"/>
  <c r="C112" i="19"/>
  <c r="C111" i="19"/>
  <c r="C110" i="19"/>
  <c r="C104" i="19"/>
  <c r="C103" i="19"/>
  <c r="C102" i="19"/>
  <c r="C101" i="19"/>
  <c r="C100" i="19"/>
  <c r="C99" i="19"/>
  <c r="C98" i="19"/>
  <c r="C97" i="19"/>
  <c r="C96" i="19"/>
  <c r="C95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5" i="19"/>
  <c r="E23" i="19"/>
  <c r="E40" i="19" l="1"/>
  <c r="D23" i="12"/>
  <c r="ID40" i="1" l="1"/>
  <c r="IE40" i="1"/>
  <c r="IF40" i="1"/>
  <c r="ID41" i="1"/>
  <c r="IE41" i="1"/>
  <c r="IF41" i="1"/>
  <c r="ID42" i="1"/>
  <c r="IE42" i="1"/>
  <c r="IF42" i="1"/>
  <c r="ID43" i="1"/>
  <c r="IE43" i="1"/>
  <c r="IF43" i="1"/>
  <c r="ID44" i="1"/>
  <c r="IE44" i="1"/>
  <c r="IF44" i="1"/>
  <c r="ID45" i="1"/>
  <c r="IE45" i="1"/>
  <c r="IF45" i="1"/>
  <c r="ID46" i="1"/>
  <c r="IE46" i="1"/>
  <c r="IF46" i="1"/>
  <c r="ID47" i="1"/>
  <c r="IE47" i="1"/>
  <c r="IF47" i="1"/>
  <c r="ID48" i="1"/>
  <c r="IE48" i="1"/>
  <c r="IF48" i="1"/>
  <c r="ID49" i="1"/>
  <c r="IE49" i="1"/>
  <c r="IF49" i="1"/>
  <c r="ID50" i="1"/>
  <c r="IE50" i="1"/>
  <c r="IF50" i="1"/>
  <c r="ID51" i="1"/>
  <c r="IE51" i="1"/>
  <c r="IF51" i="1"/>
  <c r="ID52" i="1"/>
  <c r="IE52" i="1"/>
  <c r="IF52" i="1"/>
  <c r="ID53" i="1"/>
  <c r="IE53" i="1"/>
  <c r="IF53" i="1"/>
  <c r="ID54" i="1"/>
  <c r="IE54" i="1"/>
  <c r="IF54" i="1"/>
  <c r="ID55" i="1"/>
  <c r="IE55" i="1"/>
  <c r="IF55" i="1"/>
  <c r="ID56" i="1"/>
  <c r="IE56" i="1"/>
  <c r="IF56" i="1"/>
  <c r="ID57" i="1"/>
  <c r="IE57" i="1"/>
  <c r="IF57" i="1"/>
  <c r="ID58" i="1"/>
  <c r="IE58" i="1"/>
  <c r="IF58" i="1"/>
  <c r="ID59" i="1"/>
  <c r="IE59" i="1"/>
  <c r="IF59" i="1"/>
  <c r="ID60" i="1"/>
  <c r="IE60" i="1"/>
  <c r="IF60" i="1"/>
  <c r="ID61" i="1"/>
  <c r="IE61" i="1"/>
  <c r="IF61" i="1"/>
  <c r="ID62" i="1"/>
  <c r="IE62" i="1"/>
  <c r="IF62" i="1"/>
  <c r="ID63" i="1"/>
  <c r="IE63" i="1"/>
  <c r="IF63" i="1"/>
  <c r="ID64" i="1"/>
  <c r="IE64" i="1"/>
  <c r="IF64" i="1"/>
  <c r="ID65" i="1"/>
  <c r="IE65" i="1"/>
  <c r="IF65" i="1"/>
  <c r="ID66" i="1"/>
  <c r="IE66" i="1"/>
  <c r="IF66" i="1"/>
  <c r="IF39" i="1"/>
  <c r="IE39" i="1"/>
  <c r="ID39" i="1"/>
  <c r="ID5" i="1"/>
  <c r="IF5" i="1"/>
  <c r="ID6" i="1"/>
  <c r="IE6" i="1"/>
  <c r="IF6" i="1"/>
  <c r="ID7" i="1"/>
  <c r="IE7" i="1"/>
  <c r="IF7" i="1"/>
  <c r="ID8" i="1"/>
  <c r="IE8" i="1"/>
  <c r="IF8" i="1"/>
  <c r="ID9" i="1"/>
  <c r="IE9" i="1"/>
  <c r="IF9" i="1"/>
  <c r="ID10" i="1"/>
  <c r="IE10" i="1"/>
  <c r="IF10" i="1"/>
  <c r="ID11" i="1"/>
  <c r="IE11" i="1"/>
  <c r="IF11" i="1"/>
  <c r="ID12" i="1"/>
  <c r="IE12" i="1"/>
  <c r="IF12" i="1"/>
  <c r="ID13" i="1"/>
  <c r="IE13" i="1"/>
  <c r="IF13" i="1"/>
  <c r="ID14" i="1"/>
  <c r="IE14" i="1"/>
  <c r="IF14" i="1"/>
  <c r="ID15" i="1"/>
  <c r="IE15" i="1"/>
  <c r="IF15" i="1"/>
  <c r="ID16" i="1"/>
  <c r="IE16" i="1"/>
  <c r="IF16" i="1"/>
  <c r="ID17" i="1"/>
  <c r="IE17" i="1"/>
  <c r="IF17" i="1"/>
  <c r="ID18" i="1"/>
  <c r="IE18" i="1"/>
  <c r="IF18" i="1"/>
  <c r="ID19" i="1"/>
  <c r="IE19" i="1"/>
  <c r="IF19" i="1"/>
  <c r="ID20" i="1"/>
  <c r="IE20" i="1"/>
  <c r="IF20" i="1"/>
  <c r="ID21" i="1"/>
  <c r="IE21" i="1"/>
  <c r="IF21" i="1"/>
  <c r="ID22" i="1"/>
  <c r="IE22" i="1"/>
  <c r="IF22" i="1"/>
  <c r="ID23" i="1"/>
  <c r="IE23" i="1"/>
  <c r="IF23" i="1"/>
  <c r="ID24" i="1"/>
  <c r="IE24" i="1"/>
  <c r="IF24" i="1"/>
  <c r="ID25" i="1"/>
  <c r="IE25" i="1"/>
  <c r="IF25" i="1"/>
  <c r="ID26" i="1"/>
  <c r="IE26" i="1"/>
  <c r="IF26" i="1"/>
  <c r="ID27" i="1"/>
  <c r="IE27" i="1"/>
  <c r="IF27" i="1"/>
  <c r="ID28" i="1"/>
  <c r="IE28" i="1"/>
  <c r="IF28" i="1"/>
  <c r="ID29" i="1"/>
  <c r="IE29" i="1"/>
  <c r="IF29" i="1"/>
  <c r="ID30" i="1"/>
  <c r="IE30" i="1"/>
  <c r="IF30" i="1"/>
  <c r="ID31" i="1"/>
  <c r="IE31" i="1"/>
  <c r="IF31" i="1"/>
  <c r="IE4" i="1"/>
  <c r="IF4" i="1"/>
  <c r="ID4" i="1"/>
  <c r="A1" i="13" l="1" a="1"/>
  <c r="V238" i="13" s="1"/>
  <c r="AA39" i="12"/>
  <c r="Y39" i="12" s="1"/>
  <c r="AA40" i="12"/>
  <c r="Y40" i="12" s="1"/>
  <c r="AA41" i="12"/>
  <c r="Y41" i="12" s="1"/>
  <c r="AA42" i="12"/>
  <c r="Y42" i="12" s="1"/>
  <c r="AA43" i="12"/>
  <c r="Y43" i="12" s="1"/>
  <c r="AA44" i="12"/>
  <c r="Y44" i="12" s="1"/>
  <c r="AA45" i="12"/>
  <c r="Y45" i="12" s="1"/>
  <c r="AA46" i="12"/>
  <c r="Y46" i="12" s="1"/>
  <c r="AA47" i="12"/>
  <c r="Y47" i="12" s="1"/>
  <c r="AA48" i="12"/>
  <c r="Y48" i="12" s="1"/>
  <c r="AA49" i="12"/>
  <c r="Y49" i="12" s="1"/>
  <c r="AA50" i="12"/>
  <c r="Y50" i="12" s="1"/>
  <c r="AA51" i="12"/>
  <c r="Y51" i="12" s="1"/>
  <c r="AA52" i="12"/>
  <c r="Y52" i="12" s="1"/>
  <c r="AA53" i="12"/>
  <c r="Y53" i="12" s="1"/>
  <c r="AA38" i="12"/>
  <c r="Y38" i="12" s="1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18" i="12"/>
  <c r="B17" i="17"/>
  <c r="D17" i="17" s="1"/>
  <c r="B16" i="17"/>
  <c r="D16" i="17" s="1"/>
  <c r="B15" i="17"/>
  <c r="D15" i="17" s="1"/>
  <c r="B14" i="17"/>
  <c r="D14" i="17" s="1"/>
  <c r="B13" i="17"/>
  <c r="D13" i="17" s="1"/>
  <c r="B12" i="17"/>
  <c r="D12" i="17" s="1"/>
  <c r="B11" i="17"/>
  <c r="D11" i="17" s="1"/>
  <c r="B10" i="17"/>
  <c r="D10" i="17" s="1"/>
  <c r="B9" i="17"/>
  <c r="D9" i="17" s="1"/>
  <c r="B8" i="17"/>
  <c r="D8" i="17" s="1"/>
  <c r="B7" i="17"/>
  <c r="D7" i="17" s="1"/>
  <c r="B6" i="17"/>
  <c r="D6" i="17" s="1"/>
  <c r="B5" i="17"/>
  <c r="D5" i="17" s="1"/>
  <c r="B4" i="17"/>
  <c r="D4" i="17" s="1"/>
  <c r="B3" i="17"/>
  <c r="D3" i="17" s="1"/>
  <c r="B2" i="17"/>
  <c r="D2" i="17" s="1"/>
  <c r="AA3" i="13" l="1"/>
  <c r="S11" i="13"/>
  <c r="J5" i="13"/>
  <c r="P11" i="13"/>
  <c r="W13" i="13"/>
  <c r="C7" i="13"/>
  <c r="W11" i="13"/>
  <c r="AE6" i="13"/>
  <c r="M3" i="13"/>
  <c r="J12" i="13"/>
  <c r="L238" i="13"/>
  <c r="F239" i="13"/>
  <c r="G7" i="13"/>
  <c r="Q1" i="13"/>
  <c r="T4" i="13"/>
  <c r="W7" i="13"/>
  <c r="Z10" i="13"/>
  <c r="Q4" i="13"/>
  <c r="F9" i="13"/>
  <c r="V4" i="13"/>
  <c r="AD12" i="13"/>
  <c r="B16" i="13"/>
  <c r="H239" i="13"/>
  <c r="Z239" i="13"/>
  <c r="N239" i="16" s="1"/>
  <c r="J6" i="13"/>
  <c r="D3" i="13"/>
  <c r="AD4" i="13"/>
  <c r="AD239" i="13"/>
  <c r="Y1" i="13"/>
  <c r="V1" i="13"/>
  <c r="O6" i="13"/>
  <c r="F240" i="13"/>
  <c r="AD6" i="13"/>
  <c r="AA6" i="13"/>
  <c r="O6" i="22" s="1"/>
  <c r="E3" i="13"/>
  <c r="E3" i="22" s="1"/>
  <c r="H238" i="13"/>
  <c r="F10" i="13"/>
  <c r="AB3" i="13"/>
  <c r="T11" i="13"/>
  <c r="AA13" i="13"/>
  <c r="G239" i="13"/>
  <c r="R2" i="13"/>
  <c r="F6" i="13"/>
  <c r="N1" i="13"/>
  <c r="C6" i="13"/>
  <c r="W10" i="13"/>
  <c r="Y7" i="13"/>
  <c r="M7" i="22" s="1"/>
  <c r="P14" i="13"/>
  <c r="J14" i="22" s="1"/>
  <c r="D240" i="13"/>
  <c r="E240" i="13"/>
  <c r="U239" i="13"/>
  <c r="U1" i="13"/>
  <c r="X4" i="13"/>
  <c r="M9" i="13"/>
  <c r="R1" i="13"/>
  <c r="G6" i="13"/>
  <c r="J9" i="13"/>
  <c r="AA1" i="13"/>
  <c r="E11" i="13"/>
  <c r="E11" i="22" s="1"/>
  <c r="T14" i="13"/>
  <c r="K14" i="22" s="1"/>
  <c r="O240" i="13"/>
  <c r="L240" i="13"/>
  <c r="F238" i="13"/>
  <c r="AB4" i="13"/>
  <c r="AE7" i="13"/>
  <c r="C11" i="13"/>
  <c r="Y4" i="13"/>
  <c r="AB7" i="13"/>
  <c r="AE10" i="13"/>
  <c r="G5" i="13"/>
  <c r="M11" i="13"/>
  <c r="G11" i="22" s="1"/>
  <c r="X14" i="13"/>
  <c r="L14" i="22" s="1"/>
  <c r="S240" i="13"/>
  <c r="M240" i="13"/>
  <c r="J238" i="13"/>
  <c r="AC1" i="13"/>
  <c r="O3" i="13"/>
  <c r="R6" i="13"/>
  <c r="U9" i="13"/>
  <c r="Z1" i="13"/>
  <c r="L3" i="13"/>
  <c r="A8" i="13"/>
  <c r="D11" i="13"/>
  <c r="D11" i="22" s="1"/>
  <c r="O5" i="13"/>
  <c r="I5" i="22" s="1"/>
  <c r="U11" i="13"/>
  <c r="AB14" i="13"/>
  <c r="N16" i="13"/>
  <c r="T239" i="13"/>
  <c r="Q240" i="13"/>
  <c r="N238" i="13"/>
  <c r="B2" i="13"/>
  <c r="S3" i="13"/>
  <c r="E5" i="13"/>
  <c r="V6" i="13"/>
  <c r="H8" i="13"/>
  <c r="Y9" i="13"/>
  <c r="M9" i="22" s="1"/>
  <c r="K11" i="13"/>
  <c r="AD1" i="13"/>
  <c r="P3" i="13"/>
  <c r="B5" i="13"/>
  <c r="S6" i="13"/>
  <c r="E8" i="13"/>
  <c r="V9" i="13"/>
  <c r="H11" i="13"/>
  <c r="T2" i="13"/>
  <c r="W5" i="13"/>
  <c r="Z8" i="13"/>
  <c r="N8" i="22" s="1"/>
  <c r="AC11" i="13"/>
  <c r="Q11" i="22" s="1"/>
  <c r="O13" i="13"/>
  <c r="A15" i="13"/>
  <c r="R16" i="13"/>
  <c r="AA240" i="13"/>
  <c r="X239" i="13"/>
  <c r="E238" i="13"/>
  <c r="U240" i="13"/>
  <c r="J240" i="13"/>
  <c r="W238" i="13"/>
  <c r="R238" i="13"/>
  <c r="P8" i="13"/>
  <c r="J8" i="22" s="1"/>
  <c r="M8" i="13"/>
  <c r="G8" i="22" s="1"/>
  <c r="F12" i="13"/>
  <c r="T8" i="13"/>
  <c r="Q8" i="13"/>
  <c r="P6" i="13"/>
  <c r="M15" i="13"/>
  <c r="V240" i="13"/>
  <c r="D4" i="13"/>
  <c r="C3" i="13"/>
  <c r="I9" i="13"/>
  <c r="AE2" i="13"/>
  <c r="S2" i="22" s="1"/>
  <c r="T7" i="13"/>
  <c r="K7" i="22" s="1"/>
  <c r="S1" i="13"/>
  <c r="AB10" i="13"/>
  <c r="K240" i="13"/>
  <c r="S239" i="13"/>
  <c r="G3" i="13"/>
  <c r="AA7" i="13"/>
  <c r="AD10" i="13"/>
  <c r="U4" i="13"/>
  <c r="X7" i="13"/>
  <c r="AA10" i="13"/>
  <c r="B8" i="13"/>
  <c r="C13" i="13"/>
  <c r="F16" i="13"/>
  <c r="L239" i="13"/>
  <c r="I240" i="13"/>
  <c r="G238" i="13"/>
  <c r="K3" i="13"/>
  <c r="N6" i="13"/>
  <c r="Q9" i="13"/>
  <c r="H3" i="13"/>
  <c r="K6" i="13"/>
  <c r="N9" i="13"/>
  <c r="D2" i="13"/>
  <c r="D2" i="22" s="1"/>
  <c r="J8" i="13"/>
  <c r="G13" i="13"/>
  <c r="J16" i="13"/>
  <c r="P239" i="13"/>
  <c r="T240" i="13"/>
  <c r="AA239" i="13"/>
  <c r="K238" i="13"/>
  <c r="A5" i="13"/>
  <c r="D8" i="13"/>
  <c r="G11" i="13"/>
  <c r="AC4" i="13"/>
  <c r="R9" i="13"/>
  <c r="L2" i="13"/>
  <c r="R8" i="13"/>
  <c r="K13" i="13"/>
  <c r="W240" i="13"/>
  <c r="D238" i="13"/>
  <c r="O238" i="13"/>
  <c r="F2" i="13"/>
  <c r="W3" i="13"/>
  <c r="I5" i="13"/>
  <c r="Z6" i="13"/>
  <c r="L8" i="13"/>
  <c r="AC9" i="13"/>
  <c r="Q9" i="22" s="1"/>
  <c r="O11" i="13"/>
  <c r="I11" i="22" s="1"/>
  <c r="C2" i="13"/>
  <c r="T3" i="13"/>
  <c r="F5" i="13"/>
  <c r="W6" i="13"/>
  <c r="I8" i="13"/>
  <c r="Z9" i="13"/>
  <c r="L11" i="13"/>
  <c r="AB2" i="13"/>
  <c r="AE5" i="13"/>
  <c r="C9" i="13"/>
  <c r="B12" i="13"/>
  <c r="S13" i="13"/>
  <c r="E15" i="13"/>
  <c r="E15" i="22" s="1"/>
  <c r="V16" i="13"/>
  <c r="AE240" i="13"/>
  <c r="AB239" i="13"/>
  <c r="I238" i="13"/>
  <c r="Y240" i="13"/>
  <c r="N240" i="13"/>
  <c r="AA238" i="13"/>
  <c r="A1" i="13"/>
  <c r="D1" i="13"/>
  <c r="E2" i="13"/>
  <c r="E2" i="22" s="1"/>
  <c r="F3" i="13"/>
  <c r="G4" i="13"/>
  <c r="H5" i="13"/>
  <c r="I6" i="13"/>
  <c r="J7" i="13"/>
  <c r="K8" i="13"/>
  <c r="L9" i="13"/>
  <c r="M10" i="13"/>
  <c r="N11" i="13"/>
  <c r="G12" i="13"/>
  <c r="W12" i="13"/>
  <c r="H13" i="13"/>
  <c r="X13" i="13"/>
  <c r="L13" i="22" s="1"/>
  <c r="I14" i="13"/>
  <c r="F14" i="22" s="1"/>
  <c r="Y14" i="13"/>
  <c r="J15" i="13"/>
  <c r="Z15" i="13"/>
  <c r="K16" i="13"/>
  <c r="AA16" i="13"/>
  <c r="L17" i="13"/>
  <c r="X17" i="13"/>
  <c r="E18" i="13"/>
  <c r="Q18" i="13"/>
  <c r="AC18" i="13"/>
  <c r="Q18" i="22" s="1"/>
  <c r="J19" i="13"/>
  <c r="V19" i="13"/>
  <c r="C20" i="13"/>
  <c r="O20" i="13"/>
  <c r="AA20" i="13"/>
  <c r="H21" i="13"/>
  <c r="T21" i="13"/>
  <c r="A22" i="13"/>
  <c r="M22" i="13"/>
  <c r="Y22" i="13"/>
  <c r="F23" i="13"/>
  <c r="R23" i="13"/>
  <c r="AD23" i="13"/>
  <c r="R23" i="22" s="1"/>
  <c r="K24" i="13"/>
  <c r="W24" i="13"/>
  <c r="D25" i="13"/>
  <c r="P25" i="13"/>
  <c r="AB25" i="13"/>
  <c r="I26" i="13"/>
  <c r="U26" i="13"/>
  <c r="B27" i="13"/>
  <c r="N27" i="13"/>
  <c r="Z27" i="13"/>
  <c r="G28" i="13"/>
  <c r="S28" i="13"/>
  <c r="AE28" i="13"/>
  <c r="S28" i="22" s="1"/>
  <c r="L29" i="13"/>
  <c r="X29" i="13"/>
  <c r="E30" i="13"/>
  <c r="Q30" i="13"/>
  <c r="AC30" i="13"/>
  <c r="J31" i="13"/>
  <c r="V31" i="13"/>
  <c r="C32" i="13"/>
  <c r="O32" i="13"/>
  <c r="AA32" i="13"/>
  <c r="O32" i="22" s="1"/>
  <c r="H33" i="13"/>
  <c r="T33" i="13"/>
  <c r="K33" i="22" s="1"/>
  <c r="A34" i="13"/>
  <c r="M34" i="13"/>
  <c r="Y34" i="13"/>
  <c r="F35" i="13"/>
  <c r="R35" i="13"/>
  <c r="AD35" i="13"/>
  <c r="K36" i="13"/>
  <c r="W36" i="13"/>
  <c r="D37" i="13"/>
  <c r="P37" i="13"/>
  <c r="J37" i="22" s="1"/>
  <c r="AB37" i="13"/>
  <c r="P37" i="22" s="1"/>
  <c r="I38" i="13"/>
  <c r="F38" i="22" s="1"/>
  <c r="U38" i="13"/>
  <c r="B39" i="13"/>
  <c r="N39" i="13"/>
  <c r="Z39" i="13"/>
  <c r="G40" i="13"/>
  <c r="S40" i="13"/>
  <c r="AE40" i="13"/>
  <c r="L41" i="13"/>
  <c r="X41" i="13"/>
  <c r="H1" i="13"/>
  <c r="I2" i="13"/>
  <c r="F2" i="22" s="1"/>
  <c r="J3" i="13"/>
  <c r="K4" i="13"/>
  <c r="L5" i="13"/>
  <c r="M6" i="13"/>
  <c r="N7" i="13"/>
  <c r="O8" i="13"/>
  <c r="L1" i="13"/>
  <c r="M2" i="13"/>
  <c r="N3" i="13"/>
  <c r="O4" i="13"/>
  <c r="P5" i="13"/>
  <c r="J5" i="22" s="1"/>
  <c r="Q6" i="13"/>
  <c r="R7" i="13"/>
  <c r="S8" i="13"/>
  <c r="T9" i="13"/>
  <c r="U10" i="13"/>
  <c r="V11" i="13"/>
  <c r="K12" i="13"/>
  <c r="AA12" i="13"/>
  <c r="L13" i="13"/>
  <c r="AB13" i="13"/>
  <c r="M14" i="13"/>
  <c r="AC14" i="13"/>
  <c r="Q14" i="22" s="1"/>
  <c r="N15" i="13"/>
  <c r="H15" i="22" s="1"/>
  <c r="AD15" i="13"/>
  <c r="R15" i="22" s="1"/>
  <c r="O16" i="13"/>
  <c r="AE16" i="13"/>
  <c r="O17" i="13"/>
  <c r="AA17" i="13"/>
  <c r="H18" i="13"/>
  <c r="T18" i="13"/>
  <c r="A19" i="13"/>
  <c r="M19" i="13"/>
  <c r="Y19" i="13"/>
  <c r="F20" i="13"/>
  <c r="R20" i="13"/>
  <c r="AD20" i="13"/>
  <c r="R20" i="22" s="1"/>
  <c r="K21" i="13"/>
  <c r="W21" i="13"/>
  <c r="D22" i="13"/>
  <c r="P22" i="13"/>
  <c r="AB22" i="13"/>
  <c r="I23" i="13"/>
  <c r="U23" i="13"/>
  <c r="B24" i="13"/>
  <c r="N24" i="13"/>
  <c r="Z24" i="13"/>
  <c r="N24" i="22" s="1"/>
  <c r="G25" i="13"/>
  <c r="S25" i="13"/>
  <c r="AE25" i="13"/>
  <c r="L26" i="13"/>
  <c r="X26" i="13"/>
  <c r="E27" i="13"/>
  <c r="Q27" i="13"/>
  <c r="AC27" i="13"/>
  <c r="J28" i="13"/>
  <c r="V28" i="13"/>
  <c r="C29" i="13"/>
  <c r="O29" i="13"/>
  <c r="I29" i="22" s="1"/>
  <c r="AA29" i="13"/>
  <c r="O29" i="22" s="1"/>
  <c r="H30" i="13"/>
  <c r="T30" i="13"/>
  <c r="A31" i="13"/>
  <c r="M31" i="13"/>
  <c r="Y31" i="13"/>
  <c r="F32" i="13"/>
  <c r="R32" i="13"/>
  <c r="AD32" i="13"/>
  <c r="K33" i="13"/>
  <c r="W33" i="13"/>
  <c r="D34" i="13"/>
  <c r="D34" i="22" s="1"/>
  <c r="P34" i="13"/>
  <c r="J34" i="22" s="1"/>
  <c r="AB34" i="13"/>
  <c r="P34" i="22" s="1"/>
  <c r="I35" i="13"/>
  <c r="U35" i="13"/>
  <c r="B36" i="13"/>
  <c r="N36" i="13"/>
  <c r="Z36" i="13"/>
  <c r="G37" i="13"/>
  <c r="S37" i="13"/>
  <c r="AE37" i="13"/>
  <c r="L38" i="13"/>
  <c r="X38" i="13"/>
  <c r="L38" i="22" s="1"/>
  <c r="E39" i="13"/>
  <c r="E39" i="22" s="1"/>
  <c r="P1" i="13"/>
  <c r="Q2" i="13"/>
  <c r="R3" i="13"/>
  <c r="S4" i="13"/>
  <c r="T5" i="13"/>
  <c r="U6" i="13"/>
  <c r="V7" i="13"/>
  <c r="W8" i="13"/>
  <c r="X9" i="13"/>
  <c r="Y10" i="13"/>
  <c r="Z11" i="13"/>
  <c r="N11" i="22" s="1"/>
  <c r="M12" i="13"/>
  <c r="G12" i="22" s="1"/>
  <c r="AC12" i="13"/>
  <c r="Q12" i="22" s="1"/>
  <c r="N13" i="13"/>
  <c r="AD13" i="13"/>
  <c r="O14" i="13"/>
  <c r="AE14" i="13"/>
  <c r="P15" i="13"/>
  <c r="A16" i="13"/>
  <c r="Q16" i="13"/>
  <c r="B17" i="13"/>
  <c r="Q17" i="13"/>
  <c r="AC17" i="13"/>
  <c r="Q17" i="22" s="1"/>
  <c r="J18" i="13"/>
  <c r="V18" i="13"/>
  <c r="C19" i="13"/>
  <c r="O19" i="13"/>
  <c r="AA19" i="13"/>
  <c r="H20" i="13"/>
  <c r="T20" i="13"/>
  <c r="A21" i="13"/>
  <c r="M21" i="13"/>
  <c r="Y21" i="13"/>
  <c r="F22" i="13"/>
  <c r="R22" i="13"/>
  <c r="AD22" i="13"/>
  <c r="R22" i="22" s="1"/>
  <c r="K23" i="13"/>
  <c r="W23" i="13"/>
  <c r="D24" i="13"/>
  <c r="P24" i="13"/>
  <c r="AB24" i="13"/>
  <c r="I25" i="13"/>
  <c r="U25" i="13"/>
  <c r="B26" i="13"/>
  <c r="N26" i="13"/>
  <c r="Z26" i="13"/>
  <c r="G27" i="13"/>
  <c r="S27" i="13"/>
  <c r="AE27" i="13"/>
  <c r="S27" i="22" s="1"/>
  <c r="L28" i="13"/>
  <c r="X28" i="13"/>
  <c r="E29" i="13"/>
  <c r="Q29" i="13"/>
  <c r="AC29" i="13"/>
  <c r="J30" i="13"/>
  <c r="V30" i="13"/>
  <c r="C31" i="13"/>
  <c r="O31" i="13"/>
  <c r="AA31" i="13"/>
  <c r="O31" i="22" s="1"/>
  <c r="H32" i="13"/>
  <c r="T32" i="13"/>
  <c r="K32" i="22" s="1"/>
  <c r="A33" i="13"/>
  <c r="M33" i="13"/>
  <c r="Y33" i="13"/>
  <c r="F34" i="13"/>
  <c r="R34" i="13"/>
  <c r="AD34" i="13"/>
  <c r="K35" i="13"/>
  <c r="W35" i="13"/>
  <c r="D36" i="13"/>
  <c r="P36" i="13"/>
  <c r="J36" i="22" s="1"/>
  <c r="AB36" i="13"/>
  <c r="P36" i="22" s="1"/>
  <c r="I37" i="13"/>
  <c r="F37" i="22" s="1"/>
  <c r="U37" i="13"/>
  <c r="B38" i="13"/>
  <c r="N38" i="13"/>
  <c r="Z38" i="13"/>
  <c r="G39" i="13"/>
  <c r="S39" i="13"/>
  <c r="AE39" i="13"/>
  <c r="L40" i="13"/>
  <c r="X40" i="13"/>
  <c r="E41" i="13"/>
  <c r="E41" i="22" s="1"/>
  <c r="Q41" i="13"/>
  <c r="AC41" i="13"/>
  <c r="Q41" i="22" s="1"/>
  <c r="T1" i="13"/>
  <c r="U2" i="13"/>
  <c r="V3" i="13"/>
  <c r="W4" i="13"/>
  <c r="X5" i="13"/>
  <c r="Y6" i="13"/>
  <c r="Z7" i="13"/>
  <c r="AA8" i="13"/>
  <c r="AB9" i="13"/>
  <c r="AC10" i="13"/>
  <c r="Q10" i="22" s="1"/>
  <c r="AD11" i="13"/>
  <c r="R11" i="22" s="1"/>
  <c r="O12" i="13"/>
  <c r="I12" i="22" s="1"/>
  <c r="AE12" i="13"/>
  <c r="P13" i="13"/>
  <c r="A14" i="13"/>
  <c r="Q14" i="13"/>
  <c r="B15" i="13"/>
  <c r="R15" i="13"/>
  <c r="C16" i="13"/>
  <c r="S16" i="13"/>
  <c r="D17" i="13"/>
  <c r="R17" i="13"/>
  <c r="AD17" i="13"/>
  <c r="R17" i="22" s="1"/>
  <c r="K18" i="13"/>
  <c r="W18" i="13"/>
  <c r="D19" i="13"/>
  <c r="P19" i="13"/>
  <c r="AB19" i="13"/>
  <c r="I20" i="13"/>
  <c r="U20" i="13"/>
  <c r="B21" i="13"/>
  <c r="N21" i="13"/>
  <c r="Z21" i="13"/>
  <c r="G22" i="13"/>
  <c r="S22" i="13"/>
  <c r="AE22" i="13"/>
  <c r="S22" i="22" s="1"/>
  <c r="L23" i="13"/>
  <c r="X23" i="13"/>
  <c r="E24" i="13"/>
  <c r="Q24" i="13"/>
  <c r="AC24" i="13"/>
  <c r="J25" i="13"/>
  <c r="V25" i="13"/>
  <c r="C26" i="13"/>
  <c r="O26" i="13"/>
  <c r="AA26" i="13"/>
  <c r="O26" i="22" s="1"/>
  <c r="H27" i="13"/>
  <c r="T27" i="13"/>
  <c r="K27" i="22" s="1"/>
  <c r="A28" i="13"/>
  <c r="M28" i="13"/>
  <c r="Y28" i="13"/>
  <c r="F29" i="13"/>
  <c r="R29" i="13"/>
  <c r="AD29" i="13"/>
  <c r="K30" i="13"/>
  <c r="W30" i="13"/>
  <c r="D31" i="13"/>
  <c r="P31" i="13"/>
  <c r="J31" i="22" s="1"/>
  <c r="AB31" i="13"/>
  <c r="P31" i="22" s="1"/>
  <c r="I32" i="13"/>
  <c r="F32" i="22" s="1"/>
  <c r="U32" i="13"/>
  <c r="B33" i="13"/>
  <c r="N33" i="13"/>
  <c r="Z33" i="13"/>
  <c r="G34" i="13"/>
  <c r="S34" i="13"/>
  <c r="AE34" i="13"/>
  <c r="L35" i="13"/>
  <c r="X35" i="13"/>
  <c r="E36" i="13"/>
  <c r="E36" i="22" s="1"/>
  <c r="Q36" i="13"/>
  <c r="AC36" i="13"/>
  <c r="Q36" i="22" s="1"/>
  <c r="J37" i="13"/>
  <c r="V37" i="13"/>
  <c r="C38" i="13"/>
  <c r="O38" i="13"/>
  <c r="AA38" i="13"/>
  <c r="H39" i="13"/>
  <c r="T39" i="13"/>
  <c r="A40" i="13"/>
  <c r="M40" i="13"/>
  <c r="Y40" i="13"/>
  <c r="M40" i="22" s="1"/>
  <c r="F41" i="13"/>
  <c r="R41" i="13"/>
  <c r="AD41" i="13"/>
  <c r="W1" i="13"/>
  <c r="X2" i="13"/>
  <c r="Y3" i="13"/>
  <c r="Z4" i="13"/>
  <c r="AA5" i="13"/>
  <c r="AB6" i="13"/>
  <c r="AC7" i="13"/>
  <c r="AD8" i="13"/>
  <c r="AE9" i="13"/>
  <c r="S9" i="22" s="1"/>
  <c r="A11" i="13"/>
  <c r="AE11" i="13"/>
  <c r="S11" i="22" s="1"/>
  <c r="P12" i="13"/>
  <c r="A13" i="13"/>
  <c r="Q13" i="13"/>
  <c r="B14" i="13"/>
  <c r="R14" i="13"/>
  <c r="C15" i="13"/>
  <c r="S15" i="13"/>
  <c r="D16" i="13"/>
  <c r="T16" i="13"/>
  <c r="E17" i="13"/>
  <c r="E17" i="22" s="1"/>
  <c r="S17" i="13"/>
  <c r="AE17" i="13"/>
  <c r="S17" i="22" s="1"/>
  <c r="L18" i="13"/>
  <c r="X18" i="13"/>
  <c r="E19" i="13"/>
  <c r="Q19" i="13"/>
  <c r="AC19" i="13"/>
  <c r="J20" i="13"/>
  <c r="V20" i="13"/>
  <c r="C21" i="13"/>
  <c r="O21" i="13"/>
  <c r="AA21" i="13"/>
  <c r="O21" i="22" s="1"/>
  <c r="H22" i="13"/>
  <c r="T22" i="13"/>
  <c r="K22" i="22" s="1"/>
  <c r="A23" i="13"/>
  <c r="M23" i="13"/>
  <c r="Y23" i="13"/>
  <c r="F24" i="13"/>
  <c r="R24" i="13"/>
  <c r="AD24" i="13"/>
  <c r="K25" i="13"/>
  <c r="W25" i="13"/>
  <c r="D26" i="13"/>
  <c r="P26" i="13"/>
  <c r="J26" i="22" s="1"/>
  <c r="AB26" i="13"/>
  <c r="P26" i="22" s="1"/>
  <c r="I27" i="13"/>
  <c r="F27" i="22" s="1"/>
  <c r="U27" i="13"/>
  <c r="B28" i="13"/>
  <c r="N28" i="13"/>
  <c r="Z28" i="13"/>
  <c r="G29" i="13"/>
  <c r="S29" i="13"/>
  <c r="AE29" i="13"/>
  <c r="L30" i="13"/>
  <c r="X30" i="13"/>
  <c r="E31" i="13"/>
  <c r="E31" i="22" s="1"/>
  <c r="Q31" i="13"/>
  <c r="AC31" i="13"/>
  <c r="Q31" i="22" s="1"/>
  <c r="J32" i="13"/>
  <c r="V32" i="13"/>
  <c r="C33" i="13"/>
  <c r="O33" i="13"/>
  <c r="AA33" i="13"/>
  <c r="H34" i="13"/>
  <c r="T34" i="13"/>
  <c r="A35" i="13"/>
  <c r="M35" i="13"/>
  <c r="Y35" i="13"/>
  <c r="M35" i="22" s="1"/>
  <c r="F36" i="13"/>
  <c r="R36" i="13"/>
  <c r="AD36" i="13"/>
  <c r="K37" i="13"/>
  <c r="W37" i="13"/>
  <c r="D38" i="13"/>
  <c r="P38" i="13"/>
  <c r="AB38" i="13"/>
  <c r="I39" i="13"/>
  <c r="U39" i="13"/>
  <c r="B40" i="13"/>
  <c r="N40" i="13"/>
  <c r="H40" i="22" s="1"/>
  <c r="Z40" i="13"/>
  <c r="N40" i="22" s="1"/>
  <c r="G41" i="13"/>
  <c r="S41" i="13"/>
  <c r="AE41" i="13"/>
  <c r="X1" i="13"/>
  <c r="Y2" i="13"/>
  <c r="Z3" i="13"/>
  <c r="AA4" i="13"/>
  <c r="AB5" i="13"/>
  <c r="AC6" i="13"/>
  <c r="AD7" i="13"/>
  <c r="AE8" i="13"/>
  <c r="S8" i="22" s="1"/>
  <c r="A10" i="13"/>
  <c r="B11" i="13"/>
  <c r="A12" i="13"/>
  <c r="Q12" i="13"/>
  <c r="B13" i="13"/>
  <c r="R13" i="13"/>
  <c r="C14" i="13"/>
  <c r="S14" i="13"/>
  <c r="D15" i="13"/>
  <c r="T15" i="13"/>
  <c r="E16" i="13"/>
  <c r="U16" i="13"/>
  <c r="F17" i="13"/>
  <c r="T17" i="13"/>
  <c r="K17" i="22" s="1"/>
  <c r="A18" i="13"/>
  <c r="M18" i="13"/>
  <c r="Y18" i="13"/>
  <c r="F19" i="13"/>
  <c r="R19" i="13"/>
  <c r="AD19" i="13"/>
  <c r="K20" i="13"/>
  <c r="W20" i="13"/>
  <c r="D21" i="13"/>
  <c r="P21" i="13"/>
  <c r="J21" i="22" s="1"/>
  <c r="AB21" i="13"/>
  <c r="P21" i="22" s="1"/>
  <c r="I22" i="13"/>
  <c r="F22" i="22" s="1"/>
  <c r="U22" i="13"/>
  <c r="B23" i="13"/>
  <c r="N23" i="13"/>
  <c r="Z23" i="13"/>
  <c r="G24" i="13"/>
  <c r="S24" i="13"/>
  <c r="AE24" i="13"/>
  <c r="L25" i="13"/>
  <c r="X25" i="13"/>
  <c r="E26" i="13"/>
  <c r="E26" i="22" s="1"/>
  <c r="Q26" i="13"/>
  <c r="AC26" i="13"/>
  <c r="Q26" i="22" s="1"/>
  <c r="J27" i="13"/>
  <c r="V27" i="13"/>
  <c r="C28" i="13"/>
  <c r="O28" i="13"/>
  <c r="AA28" i="13"/>
  <c r="H29" i="13"/>
  <c r="T29" i="13"/>
  <c r="A30" i="13"/>
  <c r="M30" i="13"/>
  <c r="Y30" i="13"/>
  <c r="F31" i="13"/>
  <c r="R31" i="13"/>
  <c r="AD31" i="13"/>
  <c r="K32" i="13"/>
  <c r="W32" i="13"/>
  <c r="D33" i="13"/>
  <c r="P33" i="13"/>
  <c r="AB33" i="13"/>
  <c r="I34" i="13"/>
  <c r="U34" i="13"/>
  <c r="B35" i="13"/>
  <c r="N35" i="13"/>
  <c r="H35" i="22" s="1"/>
  <c r="Z35" i="13"/>
  <c r="N35" i="22" s="1"/>
  <c r="G36" i="13"/>
  <c r="S36" i="13"/>
  <c r="AE36" i="13"/>
  <c r="L37" i="13"/>
  <c r="X37" i="13"/>
  <c r="E38" i="13"/>
  <c r="Q38" i="13"/>
  <c r="AC38" i="13"/>
  <c r="J39" i="13"/>
  <c r="V39" i="13"/>
  <c r="C40" i="13"/>
  <c r="O40" i="13"/>
  <c r="AA40" i="13"/>
  <c r="O40" i="22" s="1"/>
  <c r="H41" i="13"/>
  <c r="T41" i="13"/>
  <c r="A42" i="13"/>
  <c r="G1" i="13"/>
  <c r="AD3" i="13"/>
  <c r="E6" i="13"/>
  <c r="V8" i="13"/>
  <c r="X10" i="13"/>
  <c r="L12" i="13"/>
  <c r="M13" i="13"/>
  <c r="G13" i="22" s="1"/>
  <c r="N14" i="13"/>
  <c r="H14" i="22" s="1"/>
  <c r="O15" i="13"/>
  <c r="I15" i="22" s="1"/>
  <c r="P16" i="13"/>
  <c r="P17" i="13"/>
  <c r="I18" i="13"/>
  <c r="B19" i="13"/>
  <c r="Z19" i="13"/>
  <c r="S20" i="13"/>
  <c r="L21" i="13"/>
  <c r="E22" i="13"/>
  <c r="AC22" i="13"/>
  <c r="V23" i="13"/>
  <c r="O24" i="13"/>
  <c r="I24" i="22" s="1"/>
  <c r="H25" i="13"/>
  <c r="A26" i="13"/>
  <c r="Y26" i="13"/>
  <c r="R27" i="13"/>
  <c r="K28" i="13"/>
  <c r="D29" i="13"/>
  <c r="AB29" i="13"/>
  <c r="U30" i="13"/>
  <c r="N31" i="13"/>
  <c r="G32" i="13"/>
  <c r="AE32" i="13"/>
  <c r="S32" i="22" s="1"/>
  <c r="X33" i="13"/>
  <c r="L33" i="22" s="1"/>
  <c r="Q34" i="13"/>
  <c r="J35" i="13"/>
  <c r="C36" i="13"/>
  <c r="AA36" i="13"/>
  <c r="T37" i="13"/>
  <c r="M38" i="13"/>
  <c r="F39" i="13"/>
  <c r="AB39" i="13"/>
  <c r="R40" i="13"/>
  <c r="I41" i="13"/>
  <c r="AA41" i="13"/>
  <c r="O41" i="22" s="1"/>
  <c r="L42" i="13"/>
  <c r="X42" i="13"/>
  <c r="L42" i="22" s="1"/>
  <c r="E43" i="13"/>
  <c r="Q43" i="13"/>
  <c r="AC43" i="13"/>
  <c r="J44" i="13"/>
  <c r="V44" i="13"/>
  <c r="C45" i="13"/>
  <c r="O45" i="13"/>
  <c r="AA45" i="13"/>
  <c r="H46" i="13"/>
  <c r="T46" i="13"/>
  <c r="K46" i="22" s="1"/>
  <c r="A47" i="13"/>
  <c r="M47" i="13"/>
  <c r="G47" i="22" s="1"/>
  <c r="Y47" i="13"/>
  <c r="F48" i="13"/>
  <c r="R48" i="13"/>
  <c r="AD48" i="13"/>
  <c r="K49" i="13"/>
  <c r="W49" i="13"/>
  <c r="D50" i="13"/>
  <c r="P50" i="13"/>
  <c r="AB50" i="13"/>
  <c r="I51" i="13"/>
  <c r="F51" i="22" s="1"/>
  <c r="U51" i="13"/>
  <c r="B52" i="13"/>
  <c r="N52" i="13"/>
  <c r="Z52" i="13"/>
  <c r="G53" i="13"/>
  <c r="S53" i="13"/>
  <c r="AE53" i="13"/>
  <c r="L54" i="13"/>
  <c r="X54" i="13"/>
  <c r="E55" i="13"/>
  <c r="Q55" i="13"/>
  <c r="AC55" i="13"/>
  <c r="Q55" i="22" s="1"/>
  <c r="J56" i="13"/>
  <c r="V56" i="13"/>
  <c r="C57" i="13"/>
  <c r="O57" i="13"/>
  <c r="AA57" i="13"/>
  <c r="H58" i="13"/>
  <c r="O1" i="13"/>
  <c r="C4" i="13"/>
  <c r="B7" i="13"/>
  <c r="O9" i="13"/>
  <c r="R11" i="13"/>
  <c r="AB12" i="13"/>
  <c r="P12" i="22" s="1"/>
  <c r="E14" i="13"/>
  <c r="E14" i="22" s="1"/>
  <c r="G15" i="13"/>
  <c r="I16" i="13"/>
  <c r="M17" i="13"/>
  <c r="G18" i="13"/>
  <c r="G19" i="13"/>
  <c r="A20" i="13"/>
  <c r="Z20" i="13"/>
  <c r="U21" i="13"/>
  <c r="O22" i="13"/>
  <c r="J23" i="13"/>
  <c r="H24" i="13"/>
  <c r="B25" i="13"/>
  <c r="AA25" i="13"/>
  <c r="O25" i="22" s="1"/>
  <c r="V26" i="13"/>
  <c r="P27" i="13"/>
  <c r="P28" i="13"/>
  <c r="J29" i="13"/>
  <c r="D30" i="13"/>
  <c r="AD30" i="13"/>
  <c r="X31" i="13"/>
  <c r="S32" i="13"/>
  <c r="Q33" i="13"/>
  <c r="K34" i="13"/>
  <c r="E35" i="13"/>
  <c r="E35" i="22" s="1"/>
  <c r="AE35" i="13"/>
  <c r="S35" i="22" s="1"/>
  <c r="Y36" i="13"/>
  <c r="Y37" i="13"/>
  <c r="S38" i="13"/>
  <c r="M39" i="13"/>
  <c r="E40" i="13"/>
  <c r="AB40" i="13"/>
  <c r="P41" i="13"/>
  <c r="G42" i="13"/>
  <c r="T42" i="13"/>
  <c r="B43" i="13"/>
  <c r="O43" i="13"/>
  <c r="I43" i="22" s="1"/>
  <c r="AB43" i="13"/>
  <c r="P43" i="22" s="1"/>
  <c r="K44" i="13"/>
  <c r="X44" i="13"/>
  <c r="F45" i="13"/>
  <c r="S45" i="13"/>
  <c r="A46" i="13"/>
  <c r="N46" i="13"/>
  <c r="AA46" i="13"/>
  <c r="I47" i="13"/>
  <c r="V47" i="13"/>
  <c r="D48" i="13"/>
  <c r="D48" i="22" s="1"/>
  <c r="Q48" i="13"/>
  <c r="AE48" i="13"/>
  <c r="S48" i="22" s="1"/>
  <c r="M49" i="13"/>
  <c r="Z49" i="13"/>
  <c r="H50" i="13"/>
  <c r="U50" i="13"/>
  <c r="C51" i="13"/>
  <c r="P51" i="13"/>
  <c r="AC51" i="13"/>
  <c r="K52" i="13"/>
  <c r="X52" i="13"/>
  <c r="F53" i="13"/>
  <c r="T53" i="13"/>
  <c r="K53" i="22" s="1"/>
  <c r="B54" i="13"/>
  <c r="O54" i="13"/>
  <c r="AB54" i="13"/>
  <c r="J55" i="13"/>
  <c r="W55" i="13"/>
  <c r="E56" i="13"/>
  <c r="R56" i="13"/>
  <c r="AE56" i="13"/>
  <c r="M57" i="13"/>
  <c r="Z57" i="13"/>
  <c r="I58" i="13"/>
  <c r="U58" i="13"/>
  <c r="B59" i="13"/>
  <c r="AB1" i="13"/>
  <c r="J4" i="13"/>
  <c r="E7" i="13"/>
  <c r="P9" i="13"/>
  <c r="Y11" i="13"/>
  <c r="D13" i="13"/>
  <c r="F14" i="13"/>
  <c r="H15" i="13"/>
  <c r="L16" i="13"/>
  <c r="N17" i="13"/>
  <c r="H17" i="22" s="1"/>
  <c r="N18" i="13"/>
  <c r="H18" i="22" s="1"/>
  <c r="H19" i="13"/>
  <c r="B20" i="13"/>
  <c r="AB20" i="13"/>
  <c r="V21" i="13"/>
  <c r="Q22" i="13"/>
  <c r="O23" i="13"/>
  <c r="I24" i="13"/>
  <c r="C25" i="13"/>
  <c r="AC25" i="13"/>
  <c r="W26" i="13"/>
  <c r="W27" i="13"/>
  <c r="Q28" i="13"/>
  <c r="K29" i="13"/>
  <c r="F30" i="13"/>
  <c r="AE30" i="13"/>
  <c r="Z31" i="13"/>
  <c r="X32" i="13"/>
  <c r="R33" i="13"/>
  <c r="L34" i="13"/>
  <c r="G35" i="13"/>
  <c r="A36" i="13"/>
  <c r="A37" i="13"/>
  <c r="Z37" i="13"/>
  <c r="N37" i="22" s="1"/>
  <c r="T38" i="13"/>
  <c r="K38" i="22" s="1"/>
  <c r="O39" i="13"/>
  <c r="I39" i="22" s="1"/>
  <c r="F40" i="13"/>
  <c r="AC40" i="13"/>
  <c r="U41" i="13"/>
  <c r="H42" i="13"/>
  <c r="U42" i="13"/>
  <c r="C43" i="13"/>
  <c r="P43" i="13"/>
  <c r="AD43" i="13"/>
  <c r="L44" i="13"/>
  <c r="Y44" i="13"/>
  <c r="G45" i="13"/>
  <c r="T45" i="13"/>
  <c r="K45" i="22" s="1"/>
  <c r="B46" i="13"/>
  <c r="O46" i="13"/>
  <c r="AB46" i="13"/>
  <c r="J47" i="13"/>
  <c r="W47" i="13"/>
  <c r="E48" i="13"/>
  <c r="S48" i="13"/>
  <c r="A49" i="13"/>
  <c r="N49" i="13"/>
  <c r="AA49" i="13"/>
  <c r="O49" i="22" s="1"/>
  <c r="I50" i="13"/>
  <c r="F50" i="22" s="1"/>
  <c r="V50" i="13"/>
  <c r="D51" i="13"/>
  <c r="Q51" i="13"/>
  <c r="AD51" i="13"/>
  <c r="L52" i="13"/>
  <c r="Y52" i="13"/>
  <c r="H53" i="13"/>
  <c r="U53" i="13"/>
  <c r="C54" i="13"/>
  <c r="P54" i="13"/>
  <c r="AC54" i="13"/>
  <c r="Q54" i="22" s="1"/>
  <c r="K55" i="13"/>
  <c r="X55" i="13"/>
  <c r="L55" i="22" s="1"/>
  <c r="F56" i="13"/>
  <c r="S56" i="13"/>
  <c r="A57" i="13"/>
  <c r="N57" i="13"/>
  <c r="AB57" i="13"/>
  <c r="J58" i="13"/>
  <c r="V58" i="13"/>
  <c r="C59" i="13"/>
  <c r="A3" i="13"/>
  <c r="S5" i="13"/>
  <c r="G8" i="13"/>
  <c r="Q10" i="13"/>
  <c r="S12" i="13"/>
  <c r="U13" i="13"/>
  <c r="W14" i="13"/>
  <c r="AA15" i="13"/>
  <c r="AC16" i="13"/>
  <c r="AB17" i="13"/>
  <c r="Z18" i="13"/>
  <c r="T19" i="13"/>
  <c r="N20" i="13"/>
  <c r="I21" i="13"/>
  <c r="F21" i="22" s="1"/>
  <c r="C22" i="13"/>
  <c r="C23" i="13"/>
  <c r="AB23" i="13"/>
  <c r="V24" i="13"/>
  <c r="Q25" i="13"/>
  <c r="K26" i="13"/>
  <c r="F27" i="13"/>
  <c r="D28" i="13"/>
  <c r="AC28" i="13"/>
  <c r="W29" i="13"/>
  <c r="R30" i="13"/>
  <c r="L31" i="13"/>
  <c r="L32" i="13"/>
  <c r="F33" i="13"/>
  <c r="AE33" i="13"/>
  <c r="Z34" i="13"/>
  <c r="T35" i="13"/>
  <c r="O36" i="13"/>
  <c r="M37" i="13"/>
  <c r="G38" i="13"/>
  <c r="A39" i="13"/>
  <c r="Y39" i="13"/>
  <c r="Q40" i="13"/>
  <c r="J41" i="13"/>
  <c r="B42" i="13"/>
  <c r="O42" i="13"/>
  <c r="I42" i="22" s="1"/>
  <c r="AB42" i="13"/>
  <c r="J43" i="13"/>
  <c r="W43" i="13"/>
  <c r="E44" i="13"/>
  <c r="R44" i="13"/>
  <c r="AE44" i="13"/>
  <c r="M45" i="13"/>
  <c r="Z45" i="13"/>
  <c r="I46" i="13"/>
  <c r="V46" i="13"/>
  <c r="D47" i="13"/>
  <c r="D47" i="22" s="1"/>
  <c r="Q47" i="13"/>
  <c r="AD47" i="13"/>
  <c r="L48" i="13"/>
  <c r="Y48" i="13"/>
  <c r="G49" i="13"/>
  <c r="T49" i="13"/>
  <c r="B50" i="13"/>
  <c r="O50" i="13"/>
  <c r="AC50" i="13"/>
  <c r="K51" i="13"/>
  <c r="X51" i="13"/>
  <c r="F52" i="13"/>
  <c r="S52" i="13"/>
  <c r="A53" i="13"/>
  <c r="N53" i="13"/>
  <c r="AA53" i="13"/>
  <c r="I54" i="13"/>
  <c r="V54" i="13"/>
  <c r="D55" i="13"/>
  <c r="R55" i="13"/>
  <c r="AE55" i="13"/>
  <c r="M56" i="13"/>
  <c r="Z56" i="13"/>
  <c r="N56" i="22" s="1"/>
  <c r="H57" i="13"/>
  <c r="U57" i="13"/>
  <c r="C58" i="13"/>
  <c r="P58" i="13"/>
  <c r="B3" i="13"/>
  <c r="A6" i="13"/>
  <c r="N8" i="13"/>
  <c r="F11" i="13"/>
  <c r="T12" i="13"/>
  <c r="V13" i="13"/>
  <c r="Z14" i="13"/>
  <c r="AB15" i="13"/>
  <c r="P15" i="22" s="1"/>
  <c r="A17" i="13"/>
  <c r="B18" i="13"/>
  <c r="AA18" i="13"/>
  <c r="U19" i="13"/>
  <c r="P20" i="13"/>
  <c r="J21" i="13"/>
  <c r="J22" i="13"/>
  <c r="D23" i="13"/>
  <c r="AC23" i="13"/>
  <c r="X24" i="13"/>
  <c r="R25" i="13"/>
  <c r="M26" i="13"/>
  <c r="G26" i="22" s="1"/>
  <c r="K27" i="13"/>
  <c r="E28" i="13"/>
  <c r="E28" i="22" s="1"/>
  <c r="AD28" i="13"/>
  <c r="Y29" i="13"/>
  <c r="S30" i="13"/>
  <c r="S31" i="13"/>
  <c r="M32" i="13"/>
  <c r="G33" i="13"/>
  <c r="B34" i="13"/>
  <c r="AA34" i="13"/>
  <c r="V35" i="13"/>
  <c r="T36" i="13"/>
  <c r="K36" i="22" s="1"/>
  <c r="N37" i="13"/>
  <c r="H37" i="22" s="1"/>
  <c r="H38" i="13"/>
  <c r="C39" i="13"/>
  <c r="AA39" i="13"/>
  <c r="T40" i="13"/>
  <c r="K41" i="13"/>
  <c r="C42" i="13"/>
  <c r="P42" i="13"/>
  <c r="AC42" i="13"/>
  <c r="K43" i="13"/>
  <c r="X43" i="13"/>
  <c r="F44" i="13"/>
  <c r="S44" i="13"/>
  <c r="A45" i="13"/>
  <c r="N45" i="13"/>
  <c r="AB45" i="13"/>
  <c r="J46" i="13"/>
  <c r="W46" i="13"/>
  <c r="E47" i="13"/>
  <c r="R47" i="13"/>
  <c r="AE47" i="13"/>
  <c r="M48" i="13"/>
  <c r="Z48" i="13"/>
  <c r="H49" i="13"/>
  <c r="U49" i="13"/>
  <c r="C50" i="13"/>
  <c r="Q50" i="13"/>
  <c r="AD50" i="13"/>
  <c r="L51" i="13"/>
  <c r="Y51" i="13"/>
  <c r="G52" i="13"/>
  <c r="T52" i="13"/>
  <c r="B53" i="13"/>
  <c r="O53" i="13"/>
  <c r="AB53" i="13"/>
  <c r="J54" i="13"/>
  <c r="W54" i="13"/>
  <c r="F55" i="13"/>
  <c r="S55" i="13"/>
  <c r="A56" i="13"/>
  <c r="N56" i="13"/>
  <c r="AA56" i="13"/>
  <c r="I57" i="13"/>
  <c r="V57" i="13"/>
  <c r="D58" i="13"/>
  <c r="Q58" i="13"/>
  <c r="AC58" i="13"/>
  <c r="J59" i="13"/>
  <c r="V59" i="13"/>
  <c r="C60" i="13"/>
  <c r="O60" i="13"/>
  <c r="AA60" i="13"/>
  <c r="H61" i="13"/>
  <c r="T61" i="13"/>
  <c r="A62" i="13"/>
  <c r="M62" i="13"/>
  <c r="Y62" i="13"/>
  <c r="F63" i="13"/>
  <c r="R63" i="13"/>
  <c r="AD63" i="13"/>
  <c r="R63" i="22" s="1"/>
  <c r="K64" i="13"/>
  <c r="W64" i="13"/>
  <c r="D65" i="13"/>
  <c r="P65" i="13"/>
  <c r="AB65" i="13"/>
  <c r="I66" i="13"/>
  <c r="U66" i="13"/>
  <c r="B67" i="13"/>
  <c r="N67" i="13"/>
  <c r="Z67" i="13"/>
  <c r="G68" i="13"/>
  <c r="S68" i="13"/>
  <c r="AE68" i="13"/>
  <c r="S68" i="22" s="1"/>
  <c r="L69" i="13"/>
  <c r="X69" i="13"/>
  <c r="E70" i="13"/>
  <c r="Q70" i="13"/>
  <c r="AC70" i="13"/>
  <c r="J71" i="13"/>
  <c r="V71" i="13"/>
  <c r="C72" i="13"/>
  <c r="O72" i="13"/>
  <c r="AA72" i="13"/>
  <c r="H73" i="13"/>
  <c r="T73" i="13"/>
  <c r="A74" i="13"/>
  <c r="M74" i="13"/>
  <c r="Y74" i="13"/>
  <c r="F75" i="13"/>
  <c r="R75" i="13"/>
  <c r="AD75" i="13"/>
  <c r="K76" i="13"/>
  <c r="W76" i="13"/>
  <c r="D77" i="13"/>
  <c r="P77" i="13"/>
  <c r="AB77" i="13"/>
  <c r="P77" i="22" s="1"/>
  <c r="I78" i="13"/>
  <c r="U78" i="13"/>
  <c r="B79" i="13"/>
  <c r="N79" i="13"/>
  <c r="Z79" i="13"/>
  <c r="G80" i="13"/>
  <c r="S80" i="13"/>
  <c r="AE80" i="13"/>
  <c r="L81" i="13"/>
  <c r="X81" i="13"/>
  <c r="E82" i="13"/>
  <c r="Q82" i="13"/>
  <c r="AC82" i="13"/>
  <c r="Q82" i="22" s="1"/>
  <c r="J83" i="13"/>
  <c r="V83" i="13"/>
  <c r="C84" i="13"/>
  <c r="O84" i="13"/>
  <c r="AA84" i="13"/>
  <c r="H85" i="13"/>
  <c r="T85" i="13"/>
  <c r="A86" i="13"/>
  <c r="M86" i="13"/>
  <c r="Y86" i="13"/>
  <c r="F87" i="13"/>
  <c r="R87" i="13"/>
  <c r="AD87" i="13"/>
  <c r="R87" i="22" s="1"/>
  <c r="K88" i="13"/>
  <c r="W88" i="13"/>
  <c r="D89" i="13"/>
  <c r="P89" i="13"/>
  <c r="AB89" i="13"/>
  <c r="I90" i="13"/>
  <c r="U90" i="13"/>
  <c r="B91" i="13"/>
  <c r="N91" i="13"/>
  <c r="Z91" i="13"/>
  <c r="N91" i="22" s="1"/>
  <c r="G92" i="13"/>
  <c r="S92" i="13"/>
  <c r="AE92" i="13"/>
  <c r="L93" i="13"/>
  <c r="X93" i="13"/>
  <c r="E94" i="13"/>
  <c r="I3" i="13"/>
  <c r="D6" i="13"/>
  <c r="D9" i="13"/>
  <c r="I11" i="13"/>
  <c r="U12" i="13"/>
  <c r="Y13" i="13"/>
  <c r="M13" i="22" s="1"/>
  <c r="AA14" i="13"/>
  <c r="O14" i="22" s="1"/>
  <c r="AE15" i="13"/>
  <c r="S15" i="22" s="1"/>
  <c r="H17" i="13"/>
  <c r="C18" i="13"/>
  <c r="AB18" i="13"/>
  <c r="W19" i="13"/>
  <c r="Q20" i="13"/>
  <c r="Q21" i="13"/>
  <c r="K22" i="13"/>
  <c r="E23" i="13"/>
  <c r="AE23" i="13"/>
  <c r="Y24" i="13"/>
  <c r="M24" i="22" s="1"/>
  <c r="T25" i="13"/>
  <c r="K25" i="22" s="1"/>
  <c r="R26" i="13"/>
  <c r="L27" i="13"/>
  <c r="F28" i="13"/>
  <c r="A29" i="13"/>
  <c r="Z29" i="13"/>
  <c r="Z30" i="13"/>
  <c r="T31" i="13"/>
  <c r="N32" i="13"/>
  <c r="I33" i="13"/>
  <c r="C34" i="13"/>
  <c r="AC34" i="13"/>
  <c r="Q34" i="22" s="1"/>
  <c r="AA35" i="13"/>
  <c r="O35" i="22" s="1"/>
  <c r="U36" i="13"/>
  <c r="O37" i="13"/>
  <c r="J38" i="13"/>
  <c r="D39" i="13"/>
  <c r="AC39" i="13"/>
  <c r="U40" i="13"/>
  <c r="M41" i="13"/>
  <c r="D42" i="13"/>
  <c r="Q42" i="13"/>
  <c r="AD42" i="13"/>
  <c r="L43" i="13"/>
  <c r="Y43" i="13"/>
  <c r="M43" i="22" s="1"/>
  <c r="G44" i="13"/>
  <c r="T44" i="13"/>
  <c r="B45" i="13"/>
  <c r="P45" i="13"/>
  <c r="AC45" i="13"/>
  <c r="K46" i="13"/>
  <c r="X46" i="13"/>
  <c r="F47" i="13"/>
  <c r="S47" i="13"/>
  <c r="A48" i="13"/>
  <c r="N48" i="13"/>
  <c r="AA48" i="13"/>
  <c r="O48" i="22" s="1"/>
  <c r="I49" i="13"/>
  <c r="F49" i="22" s="1"/>
  <c r="V49" i="13"/>
  <c r="E50" i="13"/>
  <c r="R50" i="13"/>
  <c r="AE50" i="13"/>
  <c r="M51" i="13"/>
  <c r="Z51" i="13"/>
  <c r="H52" i="13"/>
  <c r="U52" i="13"/>
  <c r="C53" i="13"/>
  <c r="P53" i="13"/>
  <c r="J53" i="22" s="1"/>
  <c r="AC53" i="13"/>
  <c r="Q53" i="22" s="1"/>
  <c r="K54" i="13"/>
  <c r="Y54" i="13"/>
  <c r="G55" i="13"/>
  <c r="T55" i="13"/>
  <c r="B56" i="13"/>
  <c r="O56" i="13"/>
  <c r="AB56" i="13"/>
  <c r="J57" i="13"/>
  <c r="W57" i="13"/>
  <c r="E58" i="13"/>
  <c r="R58" i="13"/>
  <c r="AD58" i="13"/>
  <c r="K59" i="13"/>
  <c r="W59" i="13"/>
  <c r="D60" i="13"/>
  <c r="P60" i="13"/>
  <c r="AB60" i="13"/>
  <c r="I61" i="13"/>
  <c r="U61" i="13"/>
  <c r="B62" i="13"/>
  <c r="N62" i="13"/>
  <c r="Z62" i="13"/>
  <c r="G63" i="13"/>
  <c r="S63" i="13"/>
  <c r="AE63" i="13"/>
  <c r="L64" i="13"/>
  <c r="X64" i="13"/>
  <c r="E65" i="13"/>
  <c r="Q65" i="13"/>
  <c r="AC65" i="13"/>
  <c r="J66" i="13"/>
  <c r="V66" i="13"/>
  <c r="C67" i="13"/>
  <c r="O67" i="13"/>
  <c r="AA67" i="13"/>
  <c r="H68" i="13"/>
  <c r="T68" i="13"/>
  <c r="K68" i="22" s="1"/>
  <c r="A69" i="13"/>
  <c r="M69" i="13"/>
  <c r="Y69" i="13"/>
  <c r="F70" i="13"/>
  <c r="R70" i="13"/>
  <c r="AD70" i="13"/>
  <c r="K71" i="13"/>
  <c r="W71" i="13"/>
  <c r="D72" i="13"/>
  <c r="P72" i="13"/>
  <c r="AB72" i="13"/>
  <c r="P72" i="22" s="1"/>
  <c r="I73" i="13"/>
  <c r="F73" i="16" s="1"/>
  <c r="U73" i="13"/>
  <c r="B74" i="13"/>
  <c r="N74" i="13"/>
  <c r="Z74" i="13"/>
  <c r="G75" i="13"/>
  <c r="S75" i="13"/>
  <c r="AE75" i="13"/>
  <c r="L76" i="13"/>
  <c r="X76" i="13"/>
  <c r="E77" i="13"/>
  <c r="Q77" i="13"/>
  <c r="AC77" i="13"/>
  <c r="Q77" i="16" s="1"/>
  <c r="J78" i="13"/>
  <c r="V78" i="13"/>
  <c r="C79" i="13"/>
  <c r="O79" i="13"/>
  <c r="AA79" i="13"/>
  <c r="H80" i="13"/>
  <c r="T80" i="13"/>
  <c r="A81" i="13"/>
  <c r="M81" i="13"/>
  <c r="Y81" i="13"/>
  <c r="M81" i="16" s="1"/>
  <c r="F82" i="13"/>
  <c r="R82" i="13"/>
  <c r="AD82" i="13"/>
  <c r="K83" i="13"/>
  <c r="W83" i="13"/>
  <c r="D84" i="13"/>
  <c r="P84" i="13"/>
  <c r="AB84" i="13"/>
  <c r="I85" i="13"/>
  <c r="U85" i="13"/>
  <c r="B86" i="13"/>
  <c r="N86" i="13"/>
  <c r="Z86" i="13"/>
  <c r="G87" i="13"/>
  <c r="S87" i="13"/>
  <c r="AE87" i="13"/>
  <c r="L88" i="13"/>
  <c r="X88" i="13"/>
  <c r="E89" i="13"/>
  <c r="Q89" i="13"/>
  <c r="AC89" i="13"/>
  <c r="J90" i="13"/>
  <c r="V90" i="13"/>
  <c r="C91" i="13"/>
  <c r="O91" i="13"/>
  <c r="AA91" i="13"/>
  <c r="O91" i="22" s="1"/>
  <c r="H92" i="13"/>
  <c r="T92" i="13"/>
  <c r="A93" i="13"/>
  <c r="M93" i="13"/>
  <c r="Y93" i="13"/>
  <c r="F94" i="13"/>
  <c r="Q3" i="13"/>
  <c r="L6" i="13"/>
  <c r="G9" i="13"/>
  <c r="J11" i="13"/>
  <c r="X12" i="13"/>
  <c r="L12" i="22" s="1"/>
  <c r="Z13" i="13"/>
  <c r="N13" i="22" s="1"/>
  <c r="AD14" i="13"/>
  <c r="G16" i="13"/>
  <c r="I17" i="13"/>
  <c r="D18" i="13"/>
  <c r="AD18" i="13"/>
  <c r="X19" i="13"/>
  <c r="X20" i="13"/>
  <c r="R21" i="13"/>
  <c r="L22" i="13"/>
  <c r="G23" i="13"/>
  <c r="A24" i="13"/>
  <c r="AA24" i="13"/>
  <c r="O24" i="22" s="1"/>
  <c r="Y25" i="13"/>
  <c r="S26" i="13"/>
  <c r="M27" i="13"/>
  <c r="H28" i="13"/>
  <c r="B29" i="13"/>
  <c r="B30" i="13"/>
  <c r="AA30" i="13"/>
  <c r="U31" i="13"/>
  <c r="P32" i="13"/>
  <c r="J33" i="13"/>
  <c r="E34" i="13"/>
  <c r="E34" i="22" s="1"/>
  <c r="C35" i="13"/>
  <c r="AB35" i="13"/>
  <c r="V36" i="13"/>
  <c r="Q37" i="13"/>
  <c r="K38" i="13"/>
  <c r="K39" i="13"/>
  <c r="AD39" i="13"/>
  <c r="V40" i="13"/>
  <c r="N41" i="13"/>
  <c r="E42" i="13"/>
  <c r="R42" i="13"/>
  <c r="AE42" i="13"/>
  <c r="S42" i="22" s="1"/>
  <c r="M43" i="13"/>
  <c r="G43" i="22" s="1"/>
  <c r="Z43" i="13"/>
  <c r="H44" i="13"/>
  <c r="U44" i="13"/>
  <c r="D45" i="13"/>
  <c r="Q45" i="13"/>
  <c r="AD45" i="13"/>
  <c r="L46" i="13"/>
  <c r="Y46" i="13"/>
  <c r="G47" i="13"/>
  <c r="T47" i="13"/>
  <c r="K47" i="22" s="1"/>
  <c r="B48" i="13"/>
  <c r="O48" i="13"/>
  <c r="I48" i="22" s="1"/>
  <c r="AB48" i="13"/>
  <c r="J49" i="13"/>
  <c r="X49" i="13"/>
  <c r="F50" i="13"/>
  <c r="S50" i="13"/>
  <c r="A51" i="13"/>
  <c r="N51" i="13"/>
  <c r="AA51" i="13"/>
  <c r="I52" i="13"/>
  <c r="V52" i="13"/>
  <c r="D53" i="13"/>
  <c r="D53" i="22" s="1"/>
  <c r="T53" i="22" s="1"/>
  <c r="Q53" i="13"/>
  <c r="AD53" i="13"/>
  <c r="M54" i="13"/>
  <c r="Z54" i="13"/>
  <c r="H55" i="13"/>
  <c r="U55" i="13"/>
  <c r="C56" i="13"/>
  <c r="P56" i="13"/>
  <c r="AC56" i="13"/>
  <c r="K57" i="13"/>
  <c r="X57" i="13"/>
  <c r="AE1" i="13"/>
  <c r="F7" i="13"/>
  <c r="C12" i="13"/>
  <c r="G14" i="13"/>
  <c r="M16" i="13"/>
  <c r="O18" i="13"/>
  <c r="D20" i="13"/>
  <c r="X21" i="13"/>
  <c r="P23" i="13"/>
  <c r="E25" i="13"/>
  <c r="AD26" i="13"/>
  <c r="R28" i="13"/>
  <c r="G30" i="13"/>
  <c r="AE31" i="13"/>
  <c r="S31" i="22" s="1"/>
  <c r="S33" i="13"/>
  <c r="H35" i="13"/>
  <c r="B37" i="13"/>
  <c r="V38" i="13"/>
  <c r="H40" i="13"/>
  <c r="V41" i="13"/>
  <c r="V42" i="13"/>
  <c r="R43" i="13"/>
  <c r="M44" i="13"/>
  <c r="H45" i="13"/>
  <c r="C46" i="13"/>
  <c r="AC46" i="13"/>
  <c r="Q46" i="22" s="1"/>
  <c r="X47" i="13"/>
  <c r="T48" i="13"/>
  <c r="O49" i="13"/>
  <c r="J50" i="13"/>
  <c r="E51" i="13"/>
  <c r="AE51" i="13"/>
  <c r="AA52" i="13"/>
  <c r="V53" i="13"/>
  <c r="Q54" i="13"/>
  <c r="L55" i="13"/>
  <c r="G56" i="13"/>
  <c r="B57" i="13"/>
  <c r="AC57" i="13"/>
  <c r="S58" i="13"/>
  <c r="F59" i="13"/>
  <c r="T59" i="13"/>
  <c r="E60" i="13"/>
  <c r="S60" i="13"/>
  <c r="B61" i="13"/>
  <c r="P61" i="13"/>
  <c r="AD61" i="13"/>
  <c r="O62" i="13"/>
  <c r="I62" i="16" s="1"/>
  <c r="AC62" i="13"/>
  <c r="Q62" i="22" s="1"/>
  <c r="L63" i="13"/>
  <c r="Z63" i="13"/>
  <c r="I64" i="13"/>
  <c r="Y64" i="13"/>
  <c r="H65" i="13"/>
  <c r="V65" i="13"/>
  <c r="E66" i="13"/>
  <c r="S66" i="13"/>
  <c r="D67" i="13"/>
  <c r="R67" i="13"/>
  <c r="A68" i="13"/>
  <c r="O68" i="13"/>
  <c r="AC68" i="13"/>
  <c r="Q68" i="16" s="1"/>
  <c r="N69" i="13"/>
  <c r="AB69" i="13"/>
  <c r="K70" i="13"/>
  <c r="Y70" i="13"/>
  <c r="H71" i="13"/>
  <c r="X71" i="13"/>
  <c r="G72" i="13"/>
  <c r="U72" i="13"/>
  <c r="D73" i="13"/>
  <c r="R73" i="13"/>
  <c r="C74" i="13"/>
  <c r="Q74" i="13"/>
  <c r="AE74" i="13"/>
  <c r="N75" i="13"/>
  <c r="AB75" i="13"/>
  <c r="M76" i="13"/>
  <c r="AA76" i="13"/>
  <c r="J77" i="13"/>
  <c r="X77" i="13"/>
  <c r="G78" i="13"/>
  <c r="W78" i="13"/>
  <c r="F79" i="13"/>
  <c r="T79" i="13"/>
  <c r="K79" i="22" s="1"/>
  <c r="C80" i="13"/>
  <c r="Q80" i="13"/>
  <c r="B81" i="13"/>
  <c r="P81" i="13"/>
  <c r="AD81" i="13"/>
  <c r="M82" i="13"/>
  <c r="AA82" i="13"/>
  <c r="L83" i="13"/>
  <c r="Z83" i="13"/>
  <c r="I84" i="13"/>
  <c r="W84" i="13"/>
  <c r="F85" i="13"/>
  <c r="V85" i="13"/>
  <c r="E86" i="13"/>
  <c r="S86" i="13"/>
  <c r="B87" i="13"/>
  <c r="P87" i="13"/>
  <c r="A88" i="13"/>
  <c r="O88" i="13"/>
  <c r="AC88" i="13"/>
  <c r="L89" i="13"/>
  <c r="Z89" i="13"/>
  <c r="K90" i="13"/>
  <c r="Y90" i="13"/>
  <c r="H91" i="13"/>
  <c r="V91" i="13"/>
  <c r="E92" i="13"/>
  <c r="U92" i="13"/>
  <c r="D93" i="13"/>
  <c r="R93" i="13"/>
  <c r="A94" i="13"/>
  <c r="O94" i="13"/>
  <c r="AA94" i="13"/>
  <c r="H95" i="13"/>
  <c r="T95" i="13"/>
  <c r="A96" i="13"/>
  <c r="M96" i="13"/>
  <c r="G96" i="22" s="1"/>
  <c r="Y96" i="13"/>
  <c r="F97" i="13"/>
  <c r="R97" i="13"/>
  <c r="AD97" i="13"/>
  <c r="K98" i="13"/>
  <c r="W98" i="13"/>
  <c r="D99" i="13"/>
  <c r="P99" i="13"/>
  <c r="AB99" i="13"/>
  <c r="I100" i="13"/>
  <c r="U100" i="13"/>
  <c r="B101" i="13"/>
  <c r="N101" i="13"/>
  <c r="Z101" i="13"/>
  <c r="G102" i="13"/>
  <c r="S102" i="13"/>
  <c r="AE102" i="13"/>
  <c r="L103" i="13"/>
  <c r="X103" i="13"/>
  <c r="E104" i="13"/>
  <c r="Q104" i="13"/>
  <c r="AC104" i="13"/>
  <c r="Q104" i="22" s="1"/>
  <c r="J105" i="13"/>
  <c r="V105" i="13"/>
  <c r="C106" i="13"/>
  <c r="O106" i="13"/>
  <c r="AA106" i="13"/>
  <c r="H107" i="13"/>
  <c r="T107" i="13"/>
  <c r="A108" i="13"/>
  <c r="M108" i="13"/>
  <c r="Y108" i="13"/>
  <c r="F109" i="13"/>
  <c r="R109" i="13"/>
  <c r="AD109" i="13"/>
  <c r="K110" i="13"/>
  <c r="W110" i="13"/>
  <c r="D111" i="13"/>
  <c r="P111" i="13"/>
  <c r="AB111" i="13"/>
  <c r="I112" i="13"/>
  <c r="U112" i="13"/>
  <c r="B113" i="13"/>
  <c r="N113" i="13"/>
  <c r="Z113" i="13"/>
  <c r="G114" i="13"/>
  <c r="S114" i="13"/>
  <c r="AE114" i="13"/>
  <c r="S114" i="22" s="1"/>
  <c r="AC2" i="13"/>
  <c r="F8" i="13"/>
  <c r="I12" i="13"/>
  <c r="V14" i="13"/>
  <c r="AB16" i="13"/>
  <c r="U18" i="13"/>
  <c r="M20" i="13"/>
  <c r="B22" i="13"/>
  <c r="AA23" i="13"/>
  <c r="O25" i="13"/>
  <c r="I25" i="22" s="1"/>
  <c r="D27" i="13"/>
  <c r="D27" i="22" s="1"/>
  <c r="AB28" i="13"/>
  <c r="P28" i="22" s="1"/>
  <c r="P30" i="13"/>
  <c r="E32" i="13"/>
  <c r="AD33" i="13"/>
  <c r="S35" i="13"/>
  <c r="H37" i="13"/>
  <c r="AE38" i="13"/>
  <c r="P40" i="13"/>
  <c r="AB41" i="13"/>
  <c r="AA42" i="13"/>
  <c r="V43" i="13"/>
  <c r="Q44" i="13"/>
  <c r="L45" i="13"/>
  <c r="G46" i="13"/>
  <c r="C47" i="13"/>
  <c r="AC47" i="13"/>
  <c r="X48" i="13"/>
  <c r="S49" i="13"/>
  <c r="N50" i="13"/>
  <c r="J51" i="13"/>
  <c r="E52" i="13"/>
  <c r="AE52" i="13"/>
  <c r="B4" i="13"/>
  <c r="H9" i="13"/>
  <c r="Y12" i="13"/>
  <c r="M12" i="22" s="1"/>
  <c r="F15" i="13"/>
  <c r="J17" i="13"/>
  <c r="AE18" i="13"/>
  <c r="Y20" i="13"/>
  <c r="N22" i="13"/>
  <c r="C24" i="13"/>
  <c r="Z25" i="13"/>
  <c r="O27" i="13"/>
  <c r="I29" i="13"/>
  <c r="AB30" i="13"/>
  <c r="P30" i="22" s="1"/>
  <c r="Q32" i="13"/>
  <c r="J34" i="13"/>
  <c r="AC35" i="13"/>
  <c r="R37" i="13"/>
  <c r="L39" i="13"/>
  <c r="W40" i="13"/>
  <c r="F42" i="13"/>
  <c r="A43" i="13"/>
  <c r="AA43" i="13"/>
  <c r="W44" i="13"/>
  <c r="R45" i="13"/>
  <c r="M46" i="13"/>
  <c r="G46" i="22" s="1"/>
  <c r="H47" i="13"/>
  <c r="C48" i="13"/>
  <c r="AC48" i="13"/>
  <c r="Y49" i="13"/>
  <c r="T50" i="13"/>
  <c r="O51" i="13"/>
  <c r="J52" i="13"/>
  <c r="E53" i="13"/>
  <c r="A54" i="13"/>
  <c r="AA54" i="13"/>
  <c r="V55" i="13"/>
  <c r="R4" i="13"/>
  <c r="W9" i="13"/>
  <c r="E13" i="13"/>
  <c r="E13" i="22" s="1"/>
  <c r="K15" i="13"/>
  <c r="U17" i="13"/>
  <c r="I19" i="13"/>
  <c r="AC20" i="13"/>
  <c r="V22" i="13"/>
  <c r="J24" i="13"/>
  <c r="AD25" i="13"/>
  <c r="X27" i="13"/>
  <c r="M29" i="13"/>
  <c r="B31" i="13"/>
  <c r="Y32" i="13"/>
  <c r="M32" i="22" s="1"/>
  <c r="N34" i="13"/>
  <c r="H34" i="22" s="1"/>
  <c r="H36" i="13"/>
  <c r="AA37" i="13"/>
  <c r="P39" i="13"/>
  <c r="AD40" i="13"/>
  <c r="I42" i="13"/>
  <c r="D43" i="13"/>
  <c r="AE43" i="13"/>
  <c r="Z44" i="13"/>
  <c r="U45" i="13"/>
  <c r="P46" i="13"/>
  <c r="J46" i="22" s="1"/>
  <c r="K47" i="13"/>
  <c r="G48" i="13"/>
  <c r="B49" i="13"/>
  <c r="AB49" i="13"/>
  <c r="W50" i="13"/>
  <c r="R51" i="13"/>
  <c r="M52" i="13"/>
  <c r="I53" i="13"/>
  <c r="D54" i="13"/>
  <c r="AD54" i="13"/>
  <c r="Y55" i="13"/>
  <c r="T56" i="13"/>
  <c r="K56" i="22" s="1"/>
  <c r="P57" i="13"/>
  <c r="J57" i="22" s="1"/>
  <c r="G58" i="13"/>
  <c r="AA58" i="13"/>
  <c r="N59" i="13"/>
  <c r="AB59" i="13"/>
  <c r="K60" i="13"/>
  <c r="Y60" i="13"/>
  <c r="AE4" i="13"/>
  <c r="E10" i="13"/>
  <c r="F13" i="13"/>
  <c r="L15" i="13"/>
  <c r="V17" i="13"/>
  <c r="K19" i="13"/>
  <c r="AE20" i="13"/>
  <c r="S20" i="22" s="1"/>
  <c r="W22" i="13"/>
  <c r="L24" i="13"/>
  <c r="F26" i="13"/>
  <c r="Y27" i="13"/>
  <c r="N29" i="13"/>
  <c r="G31" i="13"/>
  <c r="Z32" i="13"/>
  <c r="O34" i="13"/>
  <c r="I36" i="13"/>
  <c r="AC37" i="13"/>
  <c r="Q37" i="22" s="1"/>
  <c r="Q39" i="13"/>
  <c r="A41" i="13"/>
  <c r="J42" i="13"/>
  <c r="F43" i="13"/>
  <c r="A44" i="13"/>
  <c r="AA44" i="13"/>
  <c r="V45" i="13"/>
  <c r="Q46" i="13"/>
  <c r="L47" i="13"/>
  <c r="H48" i="13"/>
  <c r="C49" i="13"/>
  <c r="AC49" i="13"/>
  <c r="Q49" i="22" s="1"/>
  <c r="X50" i="13"/>
  <c r="L50" i="22" s="1"/>
  <c r="S51" i="13"/>
  <c r="O52" i="13"/>
  <c r="J53" i="13"/>
  <c r="E54" i="13"/>
  <c r="AE54" i="13"/>
  <c r="Z55" i="13"/>
  <c r="U56" i="13"/>
  <c r="Q57" i="13"/>
  <c r="K58" i="13"/>
  <c r="AB58" i="13"/>
  <c r="O59" i="13"/>
  <c r="I59" i="22" s="1"/>
  <c r="AC59" i="13"/>
  <c r="Q59" i="22" s="1"/>
  <c r="L60" i="13"/>
  <c r="Z60" i="13"/>
  <c r="C5" i="13"/>
  <c r="H10" i="13"/>
  <c r="I13" i="13"/>
  <c r="V15" i="13"/>
  <c r="W17" i="13"/>
  <c r="L19" i="13"/>
  <c r="E21" i="13"/>
  <c r="X22" i="13"/>
  <c r="M24" i="13"/>
  <c r="G24" i="22" s="1"/>
  <c r="G26" i="13"/>
  <c r="AA27" i="13"/>
  <c r="O27" i="22" s="1"/>
  <c r="P29" i="13"/>
  <c r="H31" i="13"/>
  <c r="AB32" i="13"/>
  <c r="V34" i="13"/>
  <c r="J36" i="13"/>
  <c r="AD37" i="13"/>
  <c r="R39" i="13"/>
  <c r="B41" i="13"/>
  <c r="T6" i="13"/>
  <c r="AC13" i="13"/>
  <c r="F18" i="13"/>
  <c r="S21" i="13"/>
  <c r="A25" i="13"/>
  <c r="I28" i="13"/>
  <c r="W31" i="13"/>
  <c r="D35" i="13"/>
  <c r="R38" i="13"/>
  <c r="O41" i="13"/>
  <c r="H43" i="13"/>
  <c r="P44" i="13"/>
  <c r="D46" i="13"/>
  <c r="P47" i="13"/>
  <c r="J47" i="22" s="1"/>
  <c r="D49" i="13"/>
  <c r="D49" i="22" s="1"/>
  <c r="L50" i="13"/>
  <c r="AB51" i="13"/>
  <c r="L53" i="13"/>
  <c r="S54" i="13"/>
  <c r="AB55" i="13"/>
  <c r="D57" i="13"/>
  <c r="B58" i="13"/>
  <c r="A59" i="13"/>
  <c r="U59" i="13"/>
  <c r="I60" i="13"/>
  <c r="AD60" i="13"/>
  <c r="R60" i="22" s="1"/>
  <c r="N61" i="13"/>
  <c r="H61" i="22" s="1"/>
  <c r="AC61" i="13"/>
  <c r="Q61" i="22" s="1"/>
  <c r="P62" i="13"/>
  <c r="AE62" i="13"/>
  <c r="O63" i="13"/>
  <c r="A64" i="13"/>
  <c r="P64" i="13"/>
  <c r="AE64" i="13"/>
  <c r="O65" i="13"/>
  <c r="A66" i="13"/>
  <c r="P66" i="13"/>
  <c r="AE66" i="13"/>
  <c r="Q67" i="13"/>
  <c r="B68" i="13"/>
  <c r="Q68" i="13"/>
  <c r="C69" i="13"/>
  <c r="R69" i="13"/>
  <c r="B70" i="13"/>
  <c r="S70" i="13"/>
  <c r="C71" i="13"/>
  <c r="R71" i="13"/>
  <c r="B72" i="13"/>
  <c r="S72" i="13"/>
  <c r="C73" i="13"/>
  <c r="S73" i="13"/>
  <c r="E74" i="13"/>
  <c r="E74" i="22" s="1"/>
  <c r="T74" i="13"/>
  <c r="D75" i="13"/>
  <c r="U75" i="13"/>
  <c r="E76" i="13"/>
  <c r="T76" i="13"/>
  <c r="F77" i="13"/>
  <c r="U77" i="13"/>
  <c r="E78" i="13"/>
  <c r="T78" i="13"/>
  <c r="G79" i="13"/>
  <c r="V79" i="13"/>
  <c r="F80" i="13"/>
  <c r="W80" i="13"/>
  <c r="G81" i="13"/>
  <c r="V81" i="13"/>
  <c r="H82" i="13"/>
  <c r="W82" i="13"/>
  <c r="G83" i="13"/>
  <c r="X83" i="13"/>
  <c r="H84" i="13"/>
  <c r="X84" i="13"/>
  <c r="J85" i="13"/>
  <c r="Y85" i="13"/>
  <c r="I86" i="13"/>
  <c r="F86" i="16" s="1"/>
  <c r="X86" i="13"/>
  <c r="J87" i="13"/>
  <c r="Y87" i="13"/>
  <c r="I88" i="13"/>
  <c r="Z88" i="13"/>
  <c r="J89" i="13"/>
  <c r="Y89" i="13"/>
  <c r="L90" i="13"/>
  <c r="AA90" i="13"/>
  <c r="M7" i="13"/>
  <c r="G7" i="22" s="1"/>
  <c r="J14" i="13"/>
  <c r="P18" i="13"/>
  <c r="J18" i="22" s="1"/>
  <c r="AC21" i="13"/>
  <c r="F25" i="13"/>
  <c r="T28" i="13"/>
  <c r="A32" i="13"/>
  <c r="O35" i="13"/>
  <c r="W38" i="13"/>
  <c r="W41" i="13"/>
  <c r="I43" i="13"/>
  <c r="AB44" i="13"/>
  <c r="E46" i="13"/>
  <c r="E46" i="22" s="1"/>
  <c r="U47" i="13"/>
  <c r="E49" i="13"/>
  <c r="E49" i="22" s="1"/>
  <c r="M50" i="13"/>
  <c r="A52" i="13"/>
  <c r="M53" i="13"/>
  <c r="T54" i="13"/>
  <c r="AD55" i="13"/>
  <c r="E57" i="13"/>
  <c r="F58" i="13"/>
  <c r="D59" i="13"/>
  <c r="X59" i="13"/>
  <c r="J60" i="13"/>
  <c r="AE60" i="13"/>
  <c r="S60" i="22" s="1"/>
  <c r="O61" i="13"/>
  <c r="I61" i="22" s="1"/>
  <c r="AE61" i="13"/>
  <c r="Q62" i="13"/>
  <c r="A63" i="13"/>
  <c r="P63" i="13"/>
  <c r="B64" i="13"/>
  <c r="Q64" i="13"/>
  <c r="A65" i="13"/>
  <c r="R65" i="13"/>
  <c r="B66" i="13"/>
  <c r="Q66" i="13"/>
  <c r="A67" i="13"/>
  <c r="S67" i="13"/>
  <c r="C68" i="13"/>
  <c r="R68" i="13"/>
  <c r="D69" i="13"/>
  <c r="S69" i="13"/>
  <c r="C70" i="13"/>
  <c r="T70" i="13"/>
  <c r="D71" i="13"/>
  <c r="S71" i="13"/>
  <c r="E72" i="13"/>
  <c r="T72" i="13"/>
  <c r="E73" i="13"/>
  <c r="V73" i="13"/>
  <c r="F74" i="13"/>
  <c r="U74" i="13"/>
  <c r="E75" i="13"/>
  <c r="V75" i="13"/>
  <c r="F76" i="13"/>
  <c r="U76" i="13"/>
  <c r="G77" i="13"/>
  <c r="V77" i="13"/>
  <c r="F78" i="13"/>
  <c r="U7" i="13"/>
  <c r="K14" i="13"/>
  <c r="R18" i="13"/>
  <c r="AD21" i="13"/>
  <c r="M25" i="13"/>
  <c r="U28" i="13"/>
  <c r="B32" i="13"/>
  <c r="P35" i="13"/>
  <c r="Y38" i="13"/>
  <c r="Y41" i="13"/>
  <c r="N43" i="13"/>
  <c r="AC44" i="13"/>
  <c r="F46" i="13"/>
  <c r="Z47" i="13"/>
  <c r="N47" i="22" s="1"/>
  <c r="F49" i="13"/>
  <c r="Y50" i="13"/>
  <c r="C52" i="13"/>
  <c r="R53" i="13"/>
  <c r="U54" i="13"/>
  <c r="D56" i="13"/>
  <c r="F57" i="13"/>
  <c r="L58" i="13"/>
  <c r="E59" i="13"/>
  <c r="Y59" i="13"/>
  <c r="M60" i="13"/>
  <c r="G60" i="22" s="1"/>
  <c r="A61" i="13"/>
  <c r="Q61" i="13"/>
  <c r="C62" i="13"/>
  <c r="R62" i="13"/>
  <c r="B63" i="13"/>
  <c r="Q63" i="13"/>
  <c r="C64" i="13"/>
  <c r="R64" i="13"/>
  <c r="B65" i="13"/>
  <c r="S65" i="13"/>
  <c r="C66" i="13"/>
  <c r="R66" i="13"/>
  <c r="E67" i="13"/>
  <c r="E67" i="22" s="1"/>
  <c r="T67" i="13"/>
  <c r="K67" i="22" s="1"/>
  <c r="D68" i="13"/>
  <c r="U68" i="13"/>
  <c r="E69" i="13"/>
  <c r="T69" i="13"/>
  <c r="D70" i="13"/>
  <c r="U70" i="13"/>
  <c r="E71" i="13"/>
  <c r="T71" i="13"/>
  <c r="F72" i="13"/>
  <c r="V72" i="13"/>
  <c r="F73" i="13"/>
  <c r="W73" i="13"/>
  <c r="G74" i="13"/>
  <c r="V74" i="13"/>
  <c r="H75" i="13"/>
  <c r="W75" i="13"/>
  <c r="G76" i="13"/>
  <c r="V76" i="13"/>
  <c r="H77" i="13"/>
  <c r="W77" i="13"/>
  <c r="H78" i="13"/>
  <c r="Y78" i="13"/>
  <c r="M78" i="22" s="1"/>
  <c r="I79" i="13"/>
  <c r="X79" i="13"/>
  <c r="J80" i="13"/>
  <c r="Y80" i="13"/>
  <c r="I81" i="13"/>
  <c r="Z81" i="13"/>
  <c r="J82" i="13"/>
  <c r="Y82" i="13"/>
  <c r="I83" i="13"/>
  <c r="AA83" i="13"/>
  <c r="K84" i="13"/>
  <c r="Z84" i="13"/>
  <c r="L85" i="13"/>
  <c r="AA85" i="13"/>
  <c r="O85" i="22" s="1"/>
  <c r="K86" i="13"/>
  <c r="AB86" i="13"/>
  <c r="L87" i="13"/>
  <c r="AA87" i="13"/>
  <c r="M88" i="13"/>
  <c r="AB88" i="13"/>
  <c r="M89" i="13"/>
  <c r="AD89" i="13"/>
  <c r="N90" i="13"/>
  <c r="AC90" i="13"/>
  <c r="M91" i="13"/>
  <c r="G91" i="22" s="1"/>
  <c r="C8" i="13"/>
  <c r="U14" i="13"/>
  <c r="S18" i="13"/>
  <c r="AE21" i="13"/>
  <c r="N25" i="13"/>
  <c r="W28" i="13"/>
  <c r="D32" i="13"/>
  <c r="Q35" i="13"/>
  <c r="AD38" i="13"/>
  <c r="Z41" i="13"/>
  <c r="S43" i="13"/>
  <c r="AD44" i="13"/>
  <c r="R44" i="22" s="1"/>
  <c r="R46" i="13"/>
  <c r="AA47" i="13"/>
  <c r="L49" i="13"/>
  <c r="Z50" i="13"/>
  <c r="D52" i="13"/>
  <c r="W53" i="13"/>
  <c r="A55" i="13"/>
  <c r="H56" i="13"/>
  <c r="G57" i="13"/>
  <c r="M58" i="13"/>
  <c r="G59" i="13"/>
  <c r="Z59" i="13"/>
  <c r="N60" i="13"/>
  <c r="H60" i="22" s="1"/>
  <c r="C61" i="13"/>
  <c r="R61" i="13"/>
  <c r="D62" i="13"/>
  <c r="S62" i="13"/>
  <c r="C63" i="13"/>
  <c r="T63" i="13"/>
  <c r="D64" i="13"/>
  <c r="S64" i="13"/>
  <c r="C65" i="13"/>
  <c r="T65" i="13"/>
  <c r="D66" i="13"/>
  <c r="I10" i="13"/>
  <c r="F10" i="22" s="1"/>
  <c r="W15" i="13"/>
  <c r="N19" i="13"/>
  <c r="Z22" i="13"/>
  <c r="H26" i="13"/>
  <c r="U29" i="13"/>
  <c r="AC32" i="13"/>
  <c r="L36" i="13"/>
  <c r="W39" i="13"/>
  <c r="K42" i="13"/>
  <c r="T43" i="13"/>
  <c r="K43" i="22" s="1"/>
  <c r="E45" i="13"/>
  <c r="E45" i="22" s="1"/>
  <c r="S46" i="13"/>
  <c r="AB47" i="13"/>
  <c r="P49" i="13"/>
  <c r="AA50" i="13"/>
  <c r="P52" i="13"/>
  <c r="X53" i="13"/>
  <c r="B55" i="13"/>
  <c r="I56" i="13"/>
  <c r="A2" i="13"/>
  <c r="X15" i="13"/>
  <c r="F21" i="13"/>
  <c r="A27" i="13"/>
  <c r="L33" i="13"/>
  <c r="F38" i="13"/>
  <c r="Y42" i="13"/>
  <c r="K45" i="13"/>
  <c r="I48" i="13"/>
  <c r="G50" i="13"/>
  <c r="AB52" i="13"/>
  <c r="I55" i="13"/>
  <c r="AD56" i="13"/>
  <c r="W58" i="13"/>
  <c r="S59" i="13"/>
  <c r="U60" i="13"/>
  <c r="M61" i="13"/>
  <c r="G61" i="22" s="1"/>
  <c r="H62" i="13"/>
  <c r="AD62" i="13"/>
  <c r="X63" i="13"/>
  <c r="O64" i="13"/>
  <c r="J65" i="13"/>
  <c r="AE65" i="13"/>
  <c r="Y66" i="13"/>
  <c r="L67" i="13"/>
  <c r="E68" i="13"/>
  <c r="Y68" i="13"/>
  <c r="M68" i="16" s="1"/>
  <c r="O69" i="13"/>
  <c r="G70" i="13"/>
  <c r="Z70" i="13"/>
  <c r="O71" i="13"/>
  <c r="P10" i="13"/>
  <c r="Y17" i="13"/>
  <c r="S23" i="13"/>
  <c r="C30" i="13"/>
  <c r="X34" i="13"/>
  <c r="K40" i="13"/>
  <c r="C44" i="13"/>
  <c r="U46" i="13"/>
  <c r="V48" i="13"/>
  <c r="H51" i="13"/>
  <c r="Z53" i="13"/>
  <c r="AA55" i="13"/>
  <c r="Y57" i="13"/>
  <c r="H59" i="13"/>
  <c r="B60" i="13"/>
  <c r="D61" i="13"/>
  <c r="Y61" i="13"/>
  <c r="T62" i="13"/>
  <c r="J63" i="13"/>
  <c r="E64" i="13"/>
  <c r="AA64" i="13"/>
  <c r="O64" i="16" s="1"/>
  <c r="U65" i="13"/>
  <c r="L66" i="13"/>
  <c r="AD66" i="13"/>
  <c r="W67" i="13"/>
  <c r="L68" i="13"/>
  <c r="B69" i="13"/>
  <c r="W69" i="13"/>
  <c r="M70" i="13"/>
  <c r="B71" i="13"/>
  <c r="Z71" i="13"/>
  <c r="M72" i="13"/>
  <c r="B73" i="13"/>
  <c r="Z73" i="13"/>
  <c r="N73" i="22" s="1"/>
  <c r="O74" i="13"/>
  <c r="C75" i="13"/>
  <c r="Z75" i="13"/>
  <c r="P76" i="13"/>
  <c r="C77" i="13"/>
  <c r="AA77" i="13"/>
  <c r="P78" i="13"/>
  <c r="D79" i="13"/>
  <c r="W79" i="13"/>
  <c r="L80" i="13"/>
  <c r="AC80" i="13"/>
  <c r="R81" i="13"/>
  <c r="D82" i="13"/>
  <c r="X82" i="13"/>
  <c r="N83" i="13"/>
  <c r="AE83" i="13"/>
  <c r="S84" i="13"/>
  <c r="E85" i="13"/>
  <c r="Z85" i="13"/>
  <c r="O86" i="13"/>
  <c r="A87" i="13"/>
  <c r="U87" i="13"/>
  <c r="G88" i="13"/>
  <c r="AA88" i="13"/>
  <c r="O88" i="22" s="1"/>
  <c r="O89" i="13"/>
  <c r="C90" i="13"/>
  <c r="T90" i="13"/>
  <c r="I91" i="13"/>
  <c r="Y91" i="13"/>
  <c r="K92" i="13"/>
  <c r="Z92" i="13"/>
  <c r="J93" i="13"/>
  <c r="AA93" i="13"/>
  <c r="K94" i="13"/>
  <c r="X94" i="13"/>
  <c r="F95" i="13"/>
  <c r="S95" i="13"/>
  <c r="B96" i="13"/>
  <c r="O96" i="13"/>
  <c r="AB96" i="13"/>
  <c r="J97" i="13"/>
  <c r="W97" i="13"/>
  <c r="E98" i="13"/>
  <c r="R98" i="13"/>
  <c r="AE98" i="13"/>
  <c r="M99" i="13"/>
  <c r="G99" i="22" s="1"/>
  <c r="Z99" i="13"/>
  <c r="N99" i="22" s="1"/>
  <c r="H100" i="13"/>
  <c r="V100" i="13"/>
  <c r="D101" i="13"/>
  <c r="Q101" i="13"/>
  <c r="AD101" i="13"/>
  <c r="L102" i="13"/>
  <c r="Y102" i="13"/>
  <c r="G103" i="13"/>
  <c r="T103" i="13"/>
  <c r="B104" i="13"/>
  <c r="O104" i="13"/>
  <c r="AB104" i="13"/>
  <c r="P104" i="22" s="1"/>
  <c r="K105" i="13"/>
  <c r="X105" i="13"/>
  <c r="F106" i="13"/>
  <c r="S106" i="13"/>
  <c r="A107" i="13"/>
  <c r="N107" i="13"/>
  <c r="AA107" i="13"/>
  <c r="I108" i="13"/>
  <c r="V108" i="13"/>
  <c r="D109" i="13"/>
  <c r="Q109" i="13"/>
  <c r="AE109" i="13"/>
  <c r="M110" i="13"/>
  <c r="G110" i="16" s="1"/>
  <c r="Z110" i="13"/>
  <c r="H111" i="13"/>
  <c r="U111" i="13"/>
  <c r="C112" i="13"/>
  <c r="P112" i="13"/>
  <c r="AC112" i="13"/>
  <c r="K113" i="13"/>
  <c r="X113" i="13"/>
  <c r="F114" i="13"/>
  <c r="T114" i="13"/>
  <c r="K114" i="22" s="1"/>
  <c r="B115" i="13"/>
  <c r="N115" i="13"/>
  <c r="H115" i="16" s="1"/>
  <c r="Z115" i="13"/>
  <c r="G116" i="13"/>
  <c r="S116" i="13"/>
  <c r="AE116" i="13"/>
  <c r="L117" i="13"/>
  <c r="X117" i="13"/>
  <c r="E118" i="13"/>
  <c r="Q118" i="13"/>
  <c r="AC118" i="13"/>
  <c r="J119" i="13"/>
  <c r="V119" i="13"/>
  <c r="C120" i="13"/>
  <c r="O120" i="13"/>
  <c r="AA120" i="13"/>
  <c r="H121" i="13"/>
  <c r="T121" i="13"/>
  <c r="A122" i="13"/>
  <c r="M122" i="13"/>
  <c r="Y122" i="13"/>
  <c r="F123" i="13"/>
  <c r="R123" i="13"/>
  <c r="AD123" i="13"/>
  <c r="K124" i="13"/>
  <c r="W124" i="13"/>
  <c r="D125" i="13"/>
  <c r="P125" i="13"/>
  <c r="AB125" i="13"/>
  <c r="I126" i="13"/>
  <c r="U126" i="13"/>
  <c r="B127" i="13"/>
  <c r="N127" i="13"/>
  <c r="Z127" i="13"/>
  <c r="G128" i="13"/>
  <c r="S128" i="13"/>
  <c r="AE128" i="13"/>
  <c r="L129" i="13"/>
  <c r="X129" i="13"/>
  <c r="E130" i="13"/>
  <c r="Q130" i="13"/>
  <c r="AC130" i="13"/>
  <c r="J131" i="13"/>
  <c r="V131" i="13"/>
  <c r="C132" i="13"/>
  <c r="O132" i="13"/>
  <c r="AA132" i="13"/>
  <c r="H133" i="13"/>
  <c r="T133" i="13"/>
  <c r="K133" i="22" s="1"/>
  <c r="A134" i="13"/>
  <c r="M134" i="13"/>
  <c r="Y134" i="13"/>
  <c r="F135" i="13"/>
  <c r="R135" i="13"/>
  <c r="Q11" i="13"/>
  <c r="Z17" i="13"/>
  <c r="T23" i="13"/>
  <c r="I30" i="13"/>
  <c r="M36" i="13"/>
  <c r="C41" i="13"/>
  <c r="D44" i="13"/>
  <c r="D44" i="22" s="1"/>
  <c r="Z46" i="13"/>
  <c r="N46" i="22" s="1"/>
  <c r="W48" i="13"/>
  <c r="T51" i="13"/>
  <c r="F54" i="13"/>
  <c r="K56" i="13"/>
  <c r="AD57" i="13"/>
  <c r="I59" i="13"/>
  <c r="F60" i="13"/>
  <c r="E61" i="13"/>
  <c r="Z61" i="13"/>
  <c r="U62" i="13"/>
  <c r="K63" i="13"/>
  <c r="F64" i="13"/>
  <c r="AB64" i="13"/>
  <c r="W65" i="13"/>
  <c r="M66" i="13"/>
  <c r="F67" i="13"/>
  <c r="X67" i="13"/>
  <c r="M68" i="13"/>
  <c r="F69" i="13"/>
  <c r="Z69" i="13"/>
  <c r="N70" i="13"/>
  <c r="F71" i="13"/>
  <c r="AA71" i="13"/>
  <c r="N72" i="13"/>
  <c r="G73" i="13"/>
  <c r="AA73" i="13"/>
  <c r="P74" i="13"/>
  <c r="I75" i="13"/>
  <c r="AA75" i="13"/>
  <c r="Q76" i="13"/>
  <c r="I77" i="13"/>
  <c r="AD77" i="13"/>
  <c r="Q78" i="13"/>
  <c r="E79" i="13"/>
  <c r="Y79" i="13"/>
  <c r="M80" i="13"/>
  <c r="G80" i="22" s="1"/>
  <c r="AD80" i="13"/>
  <c r="S81" i="13"/>
  <c r="G82" i="13"/>
  <c r="Z82" i="13"/>
  <c r="O83" i="13"/>
  <c r="A84" i="13"/>
  <c r="T84" i="13"/>
  <c r="G85" i="13"/>
  <c r="AB85" i="13"/>
  <c r="P86" i="13"/>
  <c r="C87" i="13"/>
  <c r="V87" i="13"/>
  <c r="H88" i="13"/>
  <c r="AD88" i="13"/>
  <c r="R89" i="13"/>
  <c r="D90" i="13"/>
  <c r="W90" i="13"/>
  <c r="J91" i="13"/>
  <c r="AB91" i="13"/>
  <c r="L92" i="13"/>
  <c r="AA92" i="13"/>
  <c r="K93" i="13"/>
  <c r="AB93" i="13"/>
  <c r="L94" i="13"/>
  <c r="Y94" i="13"/>
  <c r="G95" i="13"/>
  <c r="U95" i="13"/>
  <c r="C96" i="13"/>
  <c r="P96" i="13"/>
  <c r="AC96" i="13"/>
  <c r="K97" i="13"/>
  <c r="X97" i="13"/>
  <c r="F98" i="13"/>
  <c r="S98" i="13"/>
  <c r="A99" i="13"/>
  <c r="N99" i="13"/>
  <c r="AA99" i="13"/>
  <c r="J100" i="13"/>
  <c r="W100" i="13"/>
  <c r="E101" i="13"/>
  <c r="R101" i="13"/>
  <c r="AE101" i="13"/>
  <c r="M102" i="13"/>
  <c r="Z102" i="13"/>
  <c r="H103" i="13"/>
  <c r="U103" i="13"/>
  <c r="C104" i="13"/>
  <c r="P104" i="13"/>
  <c r="J104" i="22" s="1"/>
  <c r="AD104" i="13"/>
  <c r="L105" i="13"/>
  <c r="Y105" i="13"/>
  <c r="G106" i="13"/>
  <c r="T106" i="13"/>
  <c r="B107" i="13"/>
  <c r="O107" i="13"/>
  <c r="AB107" i="13"/>
  <c r="J108" i="13"/>
  <c r="W108" i="13"/>
  <c r="E109" i="13"/>
  <c r="S109" i="13"/>
  <c r="A110" i="13"/>
  <c r="N110" i="13"/>
  <c r="AA110" i="13"/>
  <c r="I111" i="13"/>
  <c r="V111" i="13"/>
  <c r="D112" i="13"/>
  <c r="Q112" i="13"/>
  <c r="AD112" i="13"/>
  <c r="L113" i="13"/>
  <c r="Y113" i="13"/>
  <c r="M113" i="22" s="1"/>
  <c r="H114" i="13"/>
  <c r="U114" i="13"/>
  <c r="C115" i="13"/>
  <c r="O115" i="13"/>
  <c r="AA115" i="13"/>
  <c r="H116" i="13"/>
  <c r="T116" i="13"/>
  <c r="A117" i="13"/>
  <c r="M117" i="13"/>
  <c r="Y117" i="13"/>
  <c r="F118" i="13"/>
  <c r="R118" i="13"/>
  <c r="AD118" i="13"/>
  <c r="K119" i="13"/>
  <c r="W119" i="13"/>
  <c r="D120" i="13"/>
  <c r="P120" i="13"/>
  <c r="AB120" i="13"/>
  <c r="I121" i="13"/>
  <c r="U121" i="13"/>
  <c r="B122" i="13"/>
  <c r="N122" i="13"/>
  <c r="Z122" i="13"/>
  <c r="G123" i="13"/>
  <c r="S123" i="13"/>
  <c r="AE123" i="13"/>
  <c r="S123" i="22" s="1"/>
  <c r="L124" i="13"/>
  <c r="X124" i="13"/>
  <c r="E125" i="13"/>
  <c r="Q125" i="13"/>
  <c r="AC125" i="13"/>
  <c r="J126" i="13"/>
  <c r="V126" i="13"/>
  <c r="C127" i="13"/>
  <c r="O127" i="13"/>
  <c r="AA127" i="13"/>
  <c r="H128" i="13"/>
  <c r="T128" i="13"/>
  <c r="K128" i="22" s="1"/>
  <c r="A129" i="13"/>
  <c r="D12" i="13"/>
  <c r="S19" i="13"/>
  <c r="T24" i="13"/>
  <c r="N30" i="13"/>
  <c r="X36" i="13"/>
  <c r="D41" i="13"/>
  <c r="I44" i="13"/>
  <c r="AD46" i="13"/>
  <c r="Q49" i="13"/>
  <c r="V51" i="13"/>
  <c r="G54" i="13"/>
  <c r="L56" i="13"/>
  <c r="AE57" i="13"/>
  <c r="L59" i="13"/>
  <c r="G60" i="13"/>
  <c r="F61" i="13"/>
  <c r="AA61" i="13"/>
  <c r="V62" i="13"/>
  <c r="M63" i="13"/>
  <c r="G64" i="13"/>
  <c r="AC64" i="13"/>
  <c r="X65" i="13"/>
  <c r="N66" i="13"/>
  <c r="G67" i="13"/>
  <c r="Y67" i="13"/>
  <c r="N68" i="13"/>
  <c r="G69" i="13"/>
  <c r="AA69" i="13"/>
  <c r="O70" i="13"/>
  <c r="G71" i="13"/>
  <c r="AB71" i="13"/>
  <c r="Q72" i="13"/>
  <c r="J73" i="13"/>
  <c r="AB73" i="13"/>
  <c r="P73" i="22" s="1"/>
  <c r="R74" i="13"/>
  <c r="J75" i="13"/>
  <c r="AC75" i="13"/>
  <c r="R76" i="13"/>
  <c r="K77" i="13"/>
  <c r="AE77" i="13"/>
  <c r="R78" i="13"/>
  <c r="H79" i="13"/>
  <c r="AB79" i="13"/>
  <c r="N80" i="13"/>
  <c r="C81" i="13"/>
  <c r="T81" i="13"/>
  <c r="I82" i="13"/>
  <c r="F82" i="22" s="1"/>
  <c r="AB82" i="13"/>
  <c r="P83" i="13"/>
  <c r="B84" i="13"/>
  <c r="U84" i="13"/>
  <c r="K85" i="13"/>
  <c r="AC85" i="13"/>
  <c r="Q86" i="13"/>
  <c r="D87" i="13"/>
  <c r="W87" i="13"/>
  <c r="J88" i="13"/>
  <c r="AE88" i="13"/>
  <c r="S89" i="13"/>
  <c r="E90" i="13"/>
  <c r="X90" i="13"/>
  <c r="K91" i="13"/>
  <c r="AC91" i="13"/>
  <c r="M92" i="13"/>
  <c r="AB92" i="13"/>
  <c r="N93" i="13"/>
  <c r="AC93" i="13"/>
  <c r="M94" i="13"/>
  <c r="Z94" i="13"/>
  <c r="I95" i="13"/>
  <c r="F95" i="22" s="1"/>
  <c r="V95" i="13"/>
  <c r="D96" i="13"/>
  <c r="Q96" i="13"/>
  <c r="AD96" i="13"/>
  <c r="L97" i="13"/>
  <c r="Y97" i="13"/>
  <c r="G98" i="13"/>
  <c r="T98" i="13"/>
  <c r="B99" i="13"/>
  <c r="O99" i="13"/>
  <c r="AC99" i="13"/>
  <c r="Q99" i="22" s="1"/>
  <c r="K100" i="13"/>
  <c r="X100" i="13"/>
  <c r="L100" i="22" s="1"/>
  <c r="F101" i="13"/>
  <c r="S101" i="13"/>
  <c r="A102" i="13"/>
  <c r="N102" i="13"/>
  <c r="AA102" i="13"/>
  <c r="I103" i="13"/>
  <c r="V103" i="13"/>
  <c r="D104" i="13"/>
  <c r="R104" i="13"/>
  <c r="AE104" i="13"/>
  <c r="M105" i="13"/>
  <c r="Z105" i="13"/>
  <c r="N105" i="22" s="1"/>
  <c r="H106" i="13"/>
  <c r="U106" i="13"/>
  <c r="C107" i="13"/>
  <c r="P107" i="13"/>
  <c r="AC107" i="13"/>
  <c r="K108" i="13"/>
  <c r="X108" i="13"/>
  <c r="G109" i="13"/>
  <c r="T109" i="13"/>
  <c r="B110" i="13"/>
  <c r="O110" i="13"/>
  <c r="I110" i="22" s="1"/>
  <c r="AB110" i="13"/>
  <c r="P110" i="22" s="1"/>
  <c r="J111" i="13"/>
  <c r="W111" i="13"/>
  <c r="E112" i="13"/>
  <c r="R112" i="13"/>
  <c r="AE112" i="13"/>
  <c r="M113" i="13"/>
  <c r="AA113" i="13"/>
  <c r="I114" i="13"/>
  <c r="V114" i="13"/>
  <c r="D115" i="13"/>
  <c r="P115" i="13"/>
  <c r="J115" i="22" s="1"/>
  <c r="AB115" i="13"/>
  <c r="I116" i="13"/>
  <c r="U116" i="13"/>
  <c r="B117" i="13"/>
  <c r="N117" i="13"/>
  <c r="Z117" i="13"/>
  <c r="G118" i="13"/>
  <c r="S118" i="13"/>
  <c r="AE118" i="13"/>
  <c r="L119" i="13"/>
  <c r="X119" i="13"/>
  <c r="E120" i="13"/>
  <c r="E120" i="22" s="1"/>
  <c r="Q120" i="13"/>
  <c r="AC120" i="13"/>
  <c r="J121" i="13"/>
  <c r="V121" i="13"/>
  <c r="C122" i="13"/>
  <c r="O122" i="13"/>
  <c r="AA122" i="13"/>
  <c r="H123" i="13"/>
  <c r="T123" i="13"/>
  <c r="A124" i="13"/>
  <c r="M124" i="13"/>
  <c r="G124" i="22" s="1"/>
  <c r="Y124" i="13"/>
  <c r="F125" i="13"/>
  <c r="R125" i="13"/>
  <c r="AD125" i="13"/>
  <c r="K126" i="13"/>
  <c r="W126" i="13"/>
  <c r="D127" i="13"/>
  <c r="P127" i="13"/>
  <c r="AB127" i="13"/>
  <c r="I128" i="13"/>
  <c r="U128" i="13"/>
  <c r="B129" i="13"/>
  <c r="N129" i="13"/>
  <c r="H129" i="22" s="1"/>
  <c r="Z129" i="13"/>
  <c r="N129" i="22" s="1"/>
  <c r="G130" i="13"/>
  <c r="S130" i="13"/>
  <c r="AE130" i="13"/>
  <c r="L131" i="13"/>
  <c r="X131" i="13"/>
  <c r="E132" i="13"/>
  <c r="Q132" i="13"/>
  <c r="AC132" i="13"/>
  <c r="J133" i="13"/>
  <c r="V133" i="13"/>
  <c r="C134" i="13"/>
  <c r="O134" i="13"/>
  <c r="I134" i="22" s="1"/>
  <c r="AA134" i="13"/>
  <c r="H135" i="13"/>
  <c r="T135" i="13"/>
  <c r="E12" i="13"/>
  <c r="AE19" i="13"/>
  <c r="U24" i="13"/>
  <c r="O30" i="13"/>
  <c r="C37" i="13"/>
  <c r="M42" i="13"/>
  <c r="N44" i="13"/>
  <c r="H44" i="22" s="1"/>
  <c r="AE46" i="13"/>
  <c r="R49" i="13"/>
  <c r="W51" i="13"/>
  <c r="H54" i="13"/>
  <c r="Q56" i="13"/>
  <c r="A58" i="13"/>
  <c r="M59" i="13"/>
  <c r="H60" i="13"/>
  <c r="G61" i="13"/>
  <c r="AB61" i="13"/>
  <c r="W62" i="13"/>
  <c r="N63" i="13"/>
  <c r="H63" i="22" s="1"/>
  <c r="H64" i="13"/>
  <c r="AD64" i="13"/>
  <c r="R64" i="16" s="1"/>
  <c r="Y65" i="13"/>
  <c r="O66" i="13"/>
  <c r="H67" i="13"/>
  <c r="AB67" i="13"/>
  <c r="P68" i="13"/>
  <c r="H69" i="13"/>
  <c r="AC69" i="13"/>
  <c r="P70" i="13"/>
  <c r="I71" i="13"/>
  <c r="AC71" i="13"/>
  <c r="R72" i="13"/>
  <c r="K73" i="13"/>
  <c r="AC73" i="13"/>
  <c r="S74" i="13"/>
  <c r="K75" i="13"/>
  <c r="A76" i="13"/>
  <c r="S76" i="13"/>
  <c r="L77" i="13"/>
  <c r="A78" i="13"/>
  <c r="S78" i="13"/>
  <c r="J79" i="13"/>
  <c r="AC79" i="13"/>
  <c r="O80" i="13"/>
  <c r="I80" i="22" s="1"/>
  <c r="D81" i="13"/>
  <c r="U81" i="13"/>
  <c r="K82" i="13"/>
  <c r="AE82" i="13"/>
  <c r="Q83" i="13"/>
  <c r="E84" i="13"/>
  <c r="V84" i="13"/>
  <c r="M85" i="13"/>
  <c r="AD85" i="13"/>
  <c r="R86" i="13"/>
  <c r="E87" i="13"/>
  <c r="E87" i="22" s="1"/>
  <c r="X87" i="13"/>
  <c r="N88" i="13"/>
  <c r="H88" i="16" s="1"/>
  <c r="A89" i="13"/>
  <c r="T89" i="13"/>
  <c r="F90" i="13"/>
  <c r="Z90" i="13"/>
  <c r="L91" i="13"/>
  <c r="AD91" i="13"/>
  <c r="N92" i="13"/>
  <c r="AC92" i="13"/>
  <c r="O93" i="13"/>
  <c r="AD93" i="13"/>
  <c r="N94" i="13"/>
  <c r="AB94" i="13"/>
  <c r="J95" i="13"/>
  <c r="W95" i="13"/>
  <c r="E96" i="13"/>
  <c r="R96" i="13"/>
  <c r="AE96" i="13"/>
  <c r="M97" i="13"/>
  <c r="Z97" i="13"/>
  <c r="H98" i="13"/>
  <c r="U98" i="13"/>
  <c r="C99" i="13"/>
  <c r="Q99" i="13"/>
  <c r="AD99" i="13"/>
  <c r="R99" i="22" s="1"/>
  <c r="L100" i="13"/>
  <c r="Y100" i="13"/>
  <c r="G101" i="13"/>
  <c r="T101" i="13"/>
  <c r="B102" i="13"/>
  <c r="O102" i="13"/>
  <c r="AB102" i="13"/>
  <c r="J103" i="13"/>
  <c r="W103" i="13"/>
  <c r="F104" i="13"/>
  <c r="S104" i="13"/>
  <c r="A105" i="13"/>
  <c r="N105" i="13"/>
  <c r="AA105" i="13"/>
  <c r="I106" i="13"/>
  <c r="V106" i="13"/>
  <c r="D107" i="13"/>
  <c r="Q107" i="13"/>
  <c r="AD107" i="13"/>
  <c r="L108" i="13"/>
  <c r="Z108" i="13"/>
  <c r="H109" i="13"/>
  <c r="U109" i="13"/>
  <c r="C110" i="13"/>
  <c r="P110" i="13"/>
  <c r="AC110" i="13"/>
  <c r="K111" i="13"/>
  <c r="X111" i="13"/>
  <c r="F112" i="13"/>
  <c r="S112" i="13"/>
  <c r="A113" i="13"/>
  <c r="O113" i="13"/>
  <c r="AB113" i="13"/>
  <c r="J114" i="13"/>
  <c r="W114" i="13"/>
  <c r="E115" i="13"/>
  <c r="E115" i="16" s="1"/>
  <c r="Q115" i="13"/>
  <c r="H16" i="13"/>
  <c r="T26" i="13"/>
  <c r="W34" i="13"/>
  <c r="G43" i="13"/>
  <c r="O47" i="13"/>
  <c r="Q52" i="13"/>
  <c r="O55" i="13"/>
  <c r="X58" i="13"/>
  <c r="R60" i="13"/>
  <c r="X61" i="13"/>
  <c r="L61" i="22" s="1"/>
  <c r="E63" i="13"/>
  <c r="E63" i="22" s="1"/>
  <c r="N64" i="13"/>
  <c r="Z65" i="13"/>
  <c r="AB66" i="13"/>
  <c r="F68" i="13"/>
  <c r="J69" i="13"/>
  <c r="L70" i="13"/>
  <c r="Q71" i="13"/>
  <c r="X72" i="13"/>
  <c r="Q73" i="13"/>
  <c r="X74" i="13"/>
  <c r="L74" i="22" s="1"/>
  <c r="T75" i="13"/>
  <c r="Z76" i="13"/>
  <c r="N76" i="22" s="1"/>
  <c r="T77" i="13"/>
  <c r="Z78" i="13"/>
  <c r="R79" i="13"/>
  <c r="R80" i="13"/>
  <c r="N81" i="13"/>
  <c r="N82" i="13"/>
  <c r="F83" i="13"/>
  <c r="G84" i="13"/>
  <c r="B85" i="13"/>
  <c r="C86" i="13"/>
  <c r="AC86" i="13"/>
  <c r="Q86" i="22" s="1"/>
  <c r="AB87" i="13"/>
  <c r="P87" i="22" s="1"/>
  <c r="U88" i="13"/>
  <c r="V89" i="13"/>
  <c r="Q90" i="13"/>
  <c r="Q91" i="13"/>
  <c r="F92" i="13"/>
  <c r="B93" i="13"/>
  <c r="V93" i="13"/>
  <c r="Q94" i="13"/>
  <c r="C95" i="13"/>
  <c r="Y95" i="13"/>
  <c r="M95" i="22" s="1"/>
  <c r="K96" i="13"/>
  <c r="B97" i="13"/>
  <c r="T97" i="13"/>
  <c r="J98" i="13"/>
  <c r="AB98" i="13"/>
  <c r="S99" i="13"/>
  <c r="E100" i="13"/>
  <c r="AA100" i="13"/>
  <c r="M101" i="13"/>
  <c r="D102" i="13"/>
  <c r="V102" i="13"/>
  <c r="M103" i="13"/>
  <c r="G103" i="22" s="1"/>
  <c r="AD103" i="13"/>
  <c r="R103" i="22" s="1"/>
  <c r="U104" i="13"/>
  <c r="G105" i="13"/>
  <c r="AC105" i="13"/>
  <c r="P106" i="13"/>
  <c r="F107" i="13"/>
  <c r="X107" i="13"/>
  <c r="O108" i="13"/>
  <c r="A109" i="13"/>
  <c r="W109" i="13"/>
  <c r="I110" i="13"/>
  <c r="AE110" i="13"/>
  <c r="S110" i="22" s="1"/>
  <c r="R111" i="13"/>
  <c r="H112" i="13"/>
  <c r="Z112" i="13"/>
  <c r="Q113" i="13"/>
  <c r="C114" i="13"/>
  <c r="Y114" i="13"/>
  <c r="K115" i="13"/>
  <c r="AD115" i="13"/>
  <c r="N116" i="13"/>
  <c r="AC116" i="13"/>
  <c r="P117" i="13"/>
  <c r="AE117" i="13"/>
  <c r="O118" i="13"/>
  <c r="I118" i="22" s="1"/>
  <c r="B119" i="13"/>
  <c r="Q119" i="13"/>
  <c r="A120" i="13"/>
  <c r="S120" i="13"/>
  <c r="C121" i="13"/>
  <c r="R121" i="13"/>
  <c r="E122" i="13"/>
  <c r="T122" i="13"/>
  <c r="D123" i="13"/>
  <c r="V123" i="13"/>
  <c r="F124" i="13"/>
  <c r="U124" i="13"/>
  <c r="H125" i="13"/>
  <c r="W125" i="13"/>
  <c r="G126" i="13"/>
  <c r="Y126" i="13"/>
  <c r="I127" i="13"/>
  <c r="X127" i="13"/>
  <c r="K128" i="13"/>
  <c r="Z128" i="13"/>
  <c r="J129" i="13"/>
  <c r="Y129" i="13"/>
  <c r="I130" i="13"/>
  <c r="F130" i="22" s="1"/>
  <c r="W130" i="13"/>
  <c r="F131" i="13"/>
  <c r="T131" i="13"/>
  <c r="D132" i="13"/>
  <c r="S132" i="13"/>
  <c r="B133" i="13"/>
  <c r="P133" i="13"/>
  <c r="AD133" i="13"/>
  <c r="N134" i="13"/>
  <c r="AC134" i="13"/>
  <c r="L135" i="13"/>
  <c r="Z135" i="13"/>
  <c r="N135" i="16" s="1"/>
  <c r="G136" i="13"/>
  <c r="S136" i="13"/>
  <c r="AE136" i="13"/>
  <c r="L137" i="13"/>
  <c r="X137" i="13"/>
  <c r="E138" i="13"/>
  <c r="Q138" i="13"/>
  <c r="AC138" i="13"/>
  <c r="W16" i="13"/>
  <c r="AE26" i="13"/>
  <c r="E37" i="13"/>
  <c r="U43" i="13"/>
  <c r="J48" i="13"/>
  <c r="R52" i="13"/>
  <c r="P55" i="13"/>
  <c r="Y58" i="13"/>
  <c r="T60" i="13"/>
  <c r="E62" i="13"/>
  <c r="H63" i="13"/>
  <c r="T64" i="13"/>
  <c r="AA65" i="13"/>
  <c r="AC66" i="13"/>
  <c r="I68" i="13"/>
  <c r="K69" i="13"/>
  <c r="V70" i="13"/>
  <c r="U71" i="13"/>
  <c r="Y72" i="13"/>
  <c r="X73" i="13"/>
  <c r="AA74" i="13"/>
  <c r="X75" i="13"/>
  <c r="AB76" i="13"/>
  <c r="Y77" i="13"/>
  <c r="AA78" i="13"/>
  <c r="S79" i="13"/>
  <c r="U80" i="13"/>
  <c r="O81" i="13"/>
  <c r="O82" i="13"/>
  <c r="H83" i="13"/>
  <c r="J84" i="13"/>
  <c r="C85" i="13"/>
  <c r="D86" i="13"/>
  <c r="AD86" i="13"/>
  <c r="AC87" i="13"/>
  <c r="V88" i="13"/>
  <c r="W89" i="13"/>
  <c r="R90" i="13"/>
  <c r="R91" i="13"/>
  <c r="I92" i="13"/>
  <c r="C93" i="13"/>
  <c r="W93" i="13"/>
  <c r="R94" i="13"/>
  <c r="D95" i="13"/>
  <c r="Z95" i="13"/>
  <c r="L96" i="13"/>
  <c r="C97" i="13"/>
  <c r="U97" i="13"/>
  <c r="L98" i="13"/>
  <c r="AC98" i="13"/>
  <c r="T99" i="13"/>
  <c r="F100" i="13"/>
  <c r="AB100" i="13"/>
  <c r="P100" i="22" s="1"/>
  <c r="O101" i="13"/>
  <c r="I101" i="22" s="1"/>
  <c r="E102" i="13"/>
  <c r="W102" i="13"/>
  <c r="N103" i="13"/>
  <c r="AE103" i="13"/>
  <c r="V104" i="13"/>
  <c r="H105" i="13"/>
  <c r="AD105" i="13"/>
  <c r="Q106" i="13"/>
  <c r="G107" i="13"/>
  <c r="Y107" i="13"/>
  <c r="P108" i="13"/>
  <c r="B109" i="13"/>
  <c r="X109" i="13"/>
  <c r="J110" i="13"/>
  <c r="A111" i="13"/>
  <c r="S111" i="13"/>
  <c r="J112" i="13"/>
  <c r="AA112" i="13"/>
  <c r="R113" i="13"/>
  <c r="D114" i="13"/>
  <c r="Z114" i="13"/>
  <c r="L115" i="13"/>
  <c r="AE115" i="13"/>
  <c r="O116" i="13"/>
  <c r="I116" i="22" s="1"/>
  <c r="AD116" i="13"/>
  <c r="Q117" i="13"/>
  <c r="A118" i="13"/>
  <c r="P118" i="13"/>
  <c r="C119" i="13"/>
  <c r="R119" i="13"/>
  <c r="B120" i="13"/>
  <c r="T120" i="13"/>
  <c r="D121" i="13"/>
  <c r="S121" i="13"/>
  <c r="F122" i="13"/>
  <c r="U122" i="13"/>
  <c r="E123" i="13"/>
  <c r="W123" i="13"/>
  <c r="G124" i="13"/>
  <c r="V124" i="13"/>
  <c r="I125" i="13"/>
  <c r="X125" i="13"/>
  <c r="H126" i="13"/>
  <c r="Z126" i="13"/>
  <c r="J127" i="13"/>
  <c r="Y127" i="13"/>
  <c r="M127" i="22" s="1"/>
  <c r="L128" i="13"/>
  <c r="AA128" i="13"/>
  <c r="O128" i="22" s="1"/>
  <c r="K129" i="13"/>
  <c r="AA129" i="13"/>
  <c r="J130" i="13"/>
  <c r="X130" i="13"/>
  <c r="G131" i="13"/>
  <c r="U131" i="13"/>
  <c r="F132" i="13"/>
  <c r="T132" i="13"/>
  <c r="C133" i="13"/>
  <c r="Q133" i="13"/>
  <c r="AE133" i="13"/>
  <c r="P134" i="13"/>
  <c r="J134" i="22" s="1"/>
  <c r="AD134" i="13"/>
  <c r="M135" i="13"/>
  <c r="AA135" i="13"/>
  <c r="H136" i="13"/>
  <c r="T136" i="13"/>
  <c r="A137" i="13"/>
  <c r="M137" i="13"/>
  <c r="Y137" i="13"/>
  <c r="F138" i="13"/>
  <c r="R138" i="13"/>
  <c r="AD138" i="13"/>
  <c r="K139" i="13"/>
  <c r="W139" i="13"/>
  <c r="X16" i="13"/>
  <c r="C27" i="13"/>
  <c r="F37" i="13"/>
  <c r="B44" i="13"/>
  <c r="K48" i="13"/>
  <c r="W52" i="13"/>
  <c r="W56" i="13"/>
  <c r="Z58" i="13"/>
  <c r="V60" i="13"/>
  <c r="F62" i="13"/>
  <c r="I63" i="13"/>
  <c r="F63" i="22" s="1"/>
  <c r="U64" i="13"/>
  <c r="AD65" i="13"/>
  <c r="I67" i="13"/>
  <c r="J68" i="13"/>
  <c r="P69" i="13"/>
  <c r="W70" i="13"/>
  <c r="Y71" i="13"/>
  <c r="Z72" i="13"/>
  <c r="Y73" i="13"/>
  <c r="AB74" i="13"/>
  <c r="Y75" i="13"/>
  <c r="AC76" i="13"/>
  <c r="Q76" i="16" s="1"/>
  <c r="Z77" i="13"/>
  <c r="AB78" i="13"/>
  <c r="U79" i="13"/>
  <c r="V80" i="13"/>
  <c r="Q81" i="13"/>
  <c r="P82" i="13"/>
  <c r="M83" i="13"/>
  <c r="L84" i="13"/>
  <c r="D85" i="13"/>
  <c r="F86" i="13"/>
  <c r="AE86" i="13"/>
  <c r="B88" i="13"/>
  <c r="Y88" i="13"/>
  <c r="X89" i="13"/>
  <c r="S90" i="13"/>
  <c r="S91" i="13"/>
  <c r="J92" i="13"/>
  <c r="E93" i="13"/>
  <c r="Z93" i="13"/>
  <c r="S94" i="13"/>
  <c r="E95" i="13"/>
  <c r="AA95" i="13"/>
  <c r="N96" i="13"/>
  <c r="D97" i="13"/>
  <c r="D97" i="16" s="1"/>
  <c r="V97" i="13"/>
  <c r="M98" i="13"/>
  <c r="AD98" i="13"/>
  <c r="U99" i="13"/>
  <c r="G100" i="13"/>
  <c r="AC100" i="13"/>
  <c r="P101" i="13"/>
  <c r="F102" i="13"/>
  <c r="X102" i="13"/>
  <c r="O103" i="13"/>
  <c r="I103" i="22" s="1"/>
  <c r="A104" i="13"/>
  <c r="W104" i="13"/>
  <c r="I105" i="13"/>
  <c r="AE105" i="13"/>
  <c r="R106" i="13"/>
  <c r="I107" i="13"/>
  <c r="Z107" i="13"/>
  <c r="Q108" i="13"/>
  <c r="C109" i="13"/>
  <c r="Y109" i="13"/>
  <c r="L110" i="13"/>
  <c r="B111" i="13"/>
  <c r="T111" i="13"/>
  <c r="K112" i="13"/>
  <c r="AB112" i="13"/>
  <c r="S113" i="13"/>
  <c r="E114" i="13"/>
  <c r="AA114" i="13"/>
  <c r="M115" i="13"/>
  <c r="A116" i="13"/>
  <c r="P116" i="13"/>
  <c r="C117" i="13"/>
  <c r="R117" i="13"/>
  <c r="B118" i="13"/>
  <c r="T118" i="13"/>
  <c r="D119" i="13"/>
  <c r="S119" i="13"/>
  <c r="F120" i="13"/>
  <c r="U120" i="13"/>
  <c r="E121" i="13"/>
  <c r="W121" i="13"/>
  <c r="G122" i="13"/>
  <c r="V122" i="13"/>
  <c r="I123" i="13"/>
  <c r="X123" i="13"/>
  <c r="H124" i="13"/>
  <c r="Z124" i="13"/>
  <c r="J125" i="13"/>
  <c r="Y125" i="13"/>
  <c r="L126" i="13"/>
  <c r="AA126" i="13"/>
  <c r="K127" i="13"/>
  <c r="AC127" i="13"/>
  <c r="M128" i="13"/>
  <c r="AB128" i="13"/>
  <c r="M129" i="13"/>
  <c r="AB129" i="13"/>
  <c r="K130" i="13"/>
  <c r="Y130" i="13"/>
  <c r="H131" i="13"/>
  <c r="W131" i="13"/>
  <c r="G132" i="13"/>
  <c r="U132" i="13"/>
  <c r="D133" i="13"/>
  <c r="R133" i="13"/>
  <c r="B134" i="13"/>
  <c r="Q134" i="13"/>
  <c r="AE134" i="13"/>
  <c r="N135" i="13"/>
  <c r="AB135" i="13"/>
  <c r="P135" i="22" s="1"/>
  <c r="I136" i="13"/>
  <c r="U136" i="13"/>
  <c r="B137" i="13"/>
  <c r="N137" i="13"/>
  <c r="Z137" i="13"/>
  <c r="G138" i="13"/>
  <c r="S138" i="13"/>
  <c r="AE138" i="13"/>
  <c r="L139" i="13"/>
  <c r="X139" i="13"/>
  <c r="Y16" i="13"/>
  <c r="AB27" i="13"/>
  <c r="P27" i="22" s="1"/>
  <c r="A38" i="13"/>
  <c r="O44" i="13"/>
  <c r="I44" i="22" s="1"/>
  <c r="P48" i="13"/>
  <c r="AC52" i="13"/>
  <c r="X56" i="13"/>
  <c r="AE58" i="13"/>
  <c r="W60" i="13"/>
  <c r="G62" i="13"/>
  <c r="U63" i="13"/>
  <c r="V64" i="13"/>
  <c r="F66" i="13"/>
  <c r="J67" i="13"/>
  <c r="K68" i="13"/>
  <c r="Q69" i="13"/>
  <c r="X70" i="13"/>
  <c r="AD71" i="13"/>
  <c r="AC72" i="13"/>
  <c r="AD73" i="13"/>
  <c r="AC74" i="13"/>
  <c r="B76" i="13"/>
  <c r="AD76" i="13"/>
  <c r="B78" i="13"/>
  <c r="AC78" i="13"/>
  <c r="AD79" i="13"/>
  <c r="X80" i="13"/>
  <c r="W81" i="13"/>
  <c r="S82" i="13"/>
  <c r="R83" i="13"/>
  <c r="M84" i="13"/>
  <c r="N85" i="13"/>
  <c r="G86" i="13"/>
  <c r="H87" i="13"/>
  <c r="C88" i="13"/>
  <c r="B89" i="13"/>
  <c r="AA89" i="13"/>
  <c r="AB90" i="13"/>
  <c r="T91" i="13"/>
  <c r="O92" i="13"/>
  <c r="I92" i="22" s="1"/>
  <c r="F93" i="13"/>
  <c r="AE93" i="13"/>
  <c r="T94" i="13"/>
  <c r="K95" i="13"/>
  <c r="AB95" i="13"/>
  <c r="S96" i="13"/>
  <c r="E97" i="13"/>
  <c r="AA97" i="13"/>
  <c r="N98" i="13"/>
  <c r="E99" i="13"/>
  <c r="E99" i="22" s="1"/>
  <c r="V99" i="13"/>
  <c r="M100" i="13"/>
  <c r="G100" i="16" s="1"/>
  <c r="AD100" i="13"/>
  <c r="U101" i="13"/>
  <c r="H102" i="13"/>
  <c r="AC102" i="13"/>
  <c r="P103" i="13"/>
  <c r="G104" i="13"/>
  <c r="X104" i="13"/>
  <c r="O105" i="13"/>
  <c r="A106" i="13"/>
  <c r="W106" i="13"/>
  <c r="J107" i="13"/>
  <c r="AE107" i="13"/>
  <c r="S107" i="22" s="1"/>
  <c r="R108" i="13"/>
  <c r="I109" i="13"/>
  <c r="Z109" i="13"/>
  <c r="Q110" i="13"/>
  <c r="C111" i="13"/>
  <c r="Y111" i="13"/>
  <c r="L112" i="13"/>
  <c r="C113" i="13"/>
  <c r="T113" i="13"/>
  <c r="K114" i="13"/>
  <c r="AB114" i="13"/>
  <c r="R115" i="13"/>
  <c r="B116" i="13"/>
  <c r="Q116" i="13"/>
  <c r="D117" i="13"/>
  <c r="S117" i="13"/>
  <c r="C118" i="13"/>
  <c r="U118" i="13"/>
  <c r="E119" i="13"/>
  <c r="T119" i="13"/>
  <c r="G120" i="13"/>
  <c r="P2" i="13"/>
  <c r="J2" i="22" s="1"/>
  <c r="Q23" i="13"/>
  <c r="I40" i="13"/>
  <c r="F40" i="22" s="1"/>
  <c r="B47" i="13"/>
  <c r="Y53" i="13"/>
  <c r="O58" i="13"/>
  <c r="J61" i="13"/>
  <c r="AB62" i="13"/>
  <c r="G65" i="13"/>
  <c r="Z66" i="13"/>
  <c r="X68" i="13"/>
  <c r="I70" i="13"/>
  <c r="H72" i="13"/>
  <c r="O73" i="13"/>
  <c r="B75" i="13"/>
  <c r="O76" i="13"/>
  <c r="K78" i="13"/>
  <c r="P79" i="13"/>
  <c r="AB80" i="13"/>
  <c r="C82" i="13"/>
  <c r="U83" i="13"/>
  <c r="AE84" i="13"/>
  <c r="L86" i="13"/>
  <c r="T87" i="13"/>
  <c r="G89" i="13"/>
  <c r="O90" i="13"/>
  <c r="X91" i="13"/>
  <c r="Y92" i="13"/>
  <c r="D94" i="13"/>
  <c r="A95" i="13"/>
  <c r="AE95" i="13"/>
  <c r="AA96" i="13"/>
  <c r="AE97" i="13"/>
  <c r="Z98" i="13"/>
  <c r="Y99" i="13"/>
  <c r="T100" i="13"/>
  <c r="X101" i="13"/>
  <c r="T102" i="13"/>
  <c r="S103" i="13"/>
  <c r="N104" i="13"/>
  <c r="R105" i="13"/>
  <c r="M106" i="13"/>
  <c r="M107" i="13"/>
  <c r="H108" i="13"/>
  <c r="L109" i="13"/>
  <c r="G110" i="13"/>
  <c r="G111" i="13"/>
  <c r="B112" i="13"/>
  <c r="F113" i="13"/>
  <c r="A114" i="13"/>
  <c r="A115" i="13"/>
  <c r="Y115" i="13"/>
  <c r="W116" i="13"/>
  <c r="K117" i="13"/>
  <c r="I118" i="13"/>
  <c r="AB118" i="13"/>
  <c r="Z119" i="13"/>
  <c r="N120" i="13"/>
  <c r="G121" i="13"/>
  <c r="AB121" i="13"/>
  <c r="R122" i="13"/>
  <c r="K123" i="13"/>
  <c r="AC123" i="13"/>
  <c r="Q123" i="16" s="1"/>
  <c r="S124" i="13"/>
  <c r="L125" i="13"/>
  <c r="B126" i="13"/>
  <c r="T126" i="13"/>
  <c r="M127" i="13"/>
  <c r="C128" i="13"/>
  <c r="X128" i="13"/>
  <c r="P129" i="13"/>
  <c r="B130" i="13"/>
  <c r="U130" i="13"/>
  <c r="K131" i="13"/>
  <c r="AC131" i="13"/>
  <c r="Q131" i="22" s="1"/>
  <c r="P132" i="13"/>
  <c r="F133" i="13"/>
  <c r="Y133" i="13"/>
  <c r="K134" i="13"/>
  <c r="B135" i="13"/>
  <c r="U135" i="13"/>
  <c r="E136" i="13"/>
  <c r="W136" i="13"/>
  <c r="G137" i="13"/>
  <c r="V137" i="13"/>
  <c r="I138" i="13"/>
  <c r="X138" i="13"/>
  <c r="L138" i="22" s="1"/>
  <c r="H139" i="13"/>
  <c r="V139" i="13"/>
  <c r="E140" i="13"/>
  <c r="Q140" i="13"/>
  <c r="AC140" i="13"/>
  <c r="J141" i="13"/>
  <c r="V141" i="13"/>
  <c r="C142" i="13"/>
  <c r="O142" i="13"/>
  <c r="AA142" i="13"/>
  <c r="H143" i="13"/>
  <c r="T143" i="13"/>
  <c r="A144" i="13"/>
  <c r="M144" i="13"/>
  <c r="Y144" i="13"/>
  <c r="F145" i="13"/>
  <c r="R145" i="13"/>
  <c r="AD145" i="13"/>
  <c r="K146" i="13"/>
  <c r="W146" i="13"/>
  <c r="D147" i="13"/>
  <c r="P147" i="13"/>
  <c r="J147" i="22" s="1"/>
  <c r="AB147" i="13"/>
  <c r="I148" i="13"/>
  <c r="F148" i="16" s="1"/>
  <c r="U148" i="13"/>
  <c r="B149" i="13"/>
  <c r="N149" i="13"/>
  <c r="Z149" i="13"/>
  <c r="G150" i="13"/>
  <c r="S150" i="13"/>
  <c r="AE150" i="13"/>
  <c r="L151" i="13"/>
  <c r="X151" i="13"/>
  <c r="E152" i="13"/>
  <c r="E152" i="22" s="1"/>
  <c r="Q152" i="13"/>
  <c r="AC152" i="13"/>
  <c r="Q152" i="16" s="1"/>
  <c r="J153" i="13"/>
  <c r="V153" i="13"/>
  <c r="C154" i="13"/>
  <c r="O154" i="13"/>
  <c r="AA154" i="13"/>
  <c r="H155" i="13"/>
  <c r="T155" i="13"/>
  <c r="A156" i="13"/>
  <c r="M156" i="13"/>
  <c r="Y156" i="13"/>
  <c r="M156" i="16" s="1"/>
  <c r="F157" i="13"/>
  <c r="R157" i="13"/>
  <c r="AD157" i="13"/>
  <c r="K158" i="13"/>
  <c r="W158" i="13"/>
  <c r="D159" i="13"/>
  <c r="P159" i="13"/>
  <c r="AB159" i="13"/>
  <c r="I160" i="13"/>
  <c r="U160" i="13"/>
  <c r="B161" i="13"/>
  <c r="N161" i="13"/>
  <c r="Z161" i="13"/>
  <c r="G162" i="13"/>
  <c r="S162" i="13"/>
  <c r="AE162" i="13"/>
  <c r="L163" i="13"/>
  <c r="X163" i="13"/>
  <c r="D5" i="13"/>
  <c r="J26" i="13"/>
  <c r="J40" i="13"/>
  <c r="N47" i="13"/>
  <c r="N54" i="13"/>
  <c r="T58" i="13"/>
  <c r="K58" i="22" s="1"/>
  <c r="K61" i="13"/>
  <c r="D63" i="13"/>
  <c r="I65" i="13"/>
  <c r="AA66" i="13"/>
  <c r="Z68" i="13"/>
  <c r="J70" i="13"/>
  <c r="I72" i="13"/>
  <c r="P73" i="13"/>
  <c r="L75" i="13"/>
  <c r="Y76" i="13"/>
  <c r="L78" i="13"/>
  <c r="Q79" i="13"/>
  <c r="E81" i="13"/>
  <c r="E81" i="22" s="1"/>
  <c r="L82" i="13"/>
  <c r="Y83" i="13"/>
  <c r="A85" i="13"/>
  <c r="T86" i="13"/>
  <c r="Z87" i="13"/>
  <c r="H89" i="13"/>
  <c r="P90" i="13"/>
  <c r="AE91" i="13"/>
  <c r="AD92" i="13"/>
  <c r="G94" i="13"/>
  <c r="B95" i="13"/>
  <c r="F96" i="13"/>
  <c r="A97" i="13"/>
  <c r="A98" i="13"/>
  <c r="AA98" i="13"/>
  <c r="AE99" i="13"/>
  <c r="Z100" i="13"/>
  <c r="Y101" i="13"/>
  <c r="U102" i="13"/>
  <c r="Y103" i="13"/>
  <c r="T104" i="13"/>
  <c r="S105" i="13"/>
  <c r="N106" i="13"/>
  <c r="H106" i="22" s="1"/>
  <c r="R107" i="13"/>
  <c r="N108" i="13"/>
  <c r="M109" i="13"/>
  <c r="H110" i="13"/>
  <c r="L111" i="13"/>
  <c r="G112" i="13"/>
  <c r="G113" i="13"/>
  <c r="B114" i="13"/>
  <c r="F115" i="13"/>
  <c r="AC115" i="13"/>
  <c r="X116" i="13"/>
  <c r="O117" i="13"/>
  <c r="I117" i="22" s="1"/>
  <c r="J118" i="13"/>
  <c r="A119" i="13"/>
  <c r="AA119" i="13"/>
  <c r="R120" i="13"/>
  <c r="T13" i="13"/>
  <c r="K31" i="13"/>
  <c r="Z42" i="13"/>
  <c r="A50" i="13"/>
  <c r="N55" i="13"/>
  <c r="AA59" i="13"/>
  <c r="W61" i="13"/>
  <c r="AA63" i="13"/>
  <c r="N65" i="13"/>
  <c r="U67" i="13"/>
  <c r="I69" i="13"/>
  <c r="A71" i="13"/>
  <c r="W72" i="13"/>
  <c r="I74" i="13"/>
  <c r="Q75" i="13"/>
  <c r="M77" i="13"/>
  <c r="X78" i="13"/>
  <c r="D80" i="13"/>
  <c r="K81" i="13"/>
  <c r="A83" i="13"/>
  <c r="F84" i="13"/>
  <c r="R85" i="13"/>
  <c r="AA86" i="13"/>
  <c r="P88" i="13"/>
  <c r="U89" i="13"/>
  <c r="D91" i="13"/>
  <c r="D92" i="13"/>
  <c r="P93" i="13"/>
  <c r="P94" i="13"/>
  <c r="O95" i="13"/>
  <c r="J96" i="13"/>
  <c r="N97" i="13"/>
  <c r="H97" i="22" s="1"/>
  <c r="I98" i="13"/>
  <c r="I99" i="13"/>
  <c r="F99" i="22" s="1"/>
  <c r="D100" i="13"/>
  <c r="H101" i="13"/>
  <c r="C102" i="13"/>
  <c r="C103" i="13"/>
  <c r="AC103" i="13"/>
  <c r="B105" i="13"/>
  <c r="AB105" i="13"/>
  <c r="AB106" i="13"/>
  <c r="W107" i="13"/>
  <c r="AA108" i="13"/>
  <c r="O108" i="22" s="1"/>
  <c r="V109" i="13"/>
  <c r="U110" i="13"/>
  <c r="Q111" i="13"/>
  <c r="T112" i="13"/>
  <c r="P113" i="13"/>
  <c r="O114" i="13"/>
  <c r="J115" i="13"/>
  <c r="F116" i="13"/>
  <c r="AB116" i="13"/>
  <c r="W117" i="13"/>
  <c r="N118" i="13"/>
  <c r="I119" i="13"/>
  <c r="AE119" i="13"/>
  <c r="Y120" i="13"/>
  <c r="O121" i="13"/>
  <c r="H122" i="13"/>
  <c r="AC122" i="13"/>
  <c r="P123" i="13"/>
  <c r="I124" i="13"/>
  <c r="AD124" i="13"/>
  <c r="T125" i="13"/>
  <c r="M126" i="13"/>
  <c r="AE126" i="13"/>
  <c r="U127" i="13"/>
  <c r="N128" i="13"/>
  <c r="D129" i="13"/>
  <c r="D129" i="22" s="1"/>
  <c r="U129" i="13"/>
  <c r="L130" i="13"/>
  <c r="AD130" i="13"/>
  <c r="Q131" i="13"/>
  <c r="H132" i="13"/>
  <c r="Y132" i="13"/>
  <c r="M133" i="13"/>
  <c r="D134" i="13"/>
  <c r="U134" i="13"/>
  <c r="I135" i="13"/>
  <c r="F135" i="22" s="1"/>
  <c r="AC135" i="13"/>
  <c r="M136" i="13"/>
  <c r="G136" i="16" s="1"/>
  <c r="AB136" i="13"/>
  <c r="O137" i="13"/>
  <c r="AD137" i="13"/>
  <c r="N138" i="13"/>
  <c r="A139" i="13"/>
  <c r="O139" i="13"/>
  <c r="AC139" i="13"/>
  <c r="J140" i="13"/>
  <c r="V140" i="13"/>
  <c r="C141" i="13"/>
  <c r="O141" i="13"/>
  <c r="AA141" i="13"/>
  <c r="H142" i="13"/>
  <c r="T142" i="13"/>
  <c r="A143" i="13"/>
  <c r="M143" i="13"/>
  <c r="Y143" i="13"/>
  <c r="F144" i="13"/>
  <c r="R144" i="13"/>
  <c r="AD144" i="13"/>
  <c r="K145" i="13"/>
  <c r="W145" i="13"/>
  <c r="D146" i="13"/>
  <c r="P146" i="13"/>
  <c r="J146" i="22" s="1"/>
  <c r="AB146" i="13"/>
  <c r="I147" i="13"/>
  <c r="U147" i="13"/>
  <c r="B148" i="13"/>
  <c r="N148" i="13"/>
  <c r="Z148" i="13"/>
  <c r="G149" i="13"/>
  <c r="S149" i="13"/>
  <c r="AE149" i="13"/>
  <c r="L150" i="13"/>
  <c r="X150" i="13"/>
  <c r="E151" i="13"/>
  <c r="E151" i="16" s="1"/>
  <c r="Q151" i="13"/>
  <c r="AC151" i="13"/>
  <c r="J152" i="13"/>
  <c r="V152" i="13"/>
  <c r="C153" i="13"/>
  <c r="O153" i="13"/>
  <c r="AA153" i="13"/>
  <c r="H154" i="13"/>
  <c r="T154" i="13"/>
  <c r="A155" i="13"/>
  <c r="M155" i="13"/>
  <c r="Y155" i="13"/>
  <c r="M155" i="22" s="1"/>
  <c r="F156" i="13"/>
  <c r="R156" i="13"/>
  <c r="AD156" i="13"/>
  <c r="K157" i="13"/>
  <c r="W157" i="13"/>
  <c r="D158" i="13"/>
  <c r="P158" i="13"/>
  <c r="AB158" i="13"/>
  <c r="I159" i="13"/>
  <c r="U159" i="13"/>
  <c r="B160" i="13"/>
  <c r="N160" i="13"/>
  <c r="H160" i="16" s="1"/>
  <c r="Z160" i="13"/>
  <c r="G161" i="13"/>
  <c r="S161" i="13"/>
  <c r="AE161" i="13"/>
  <c r="L162" i="13"/>
  <c r="X162" i="13"/>
  <c r="E163" i="13"/>
  <c r="Q163" i="13"/>
  <c r="AC163" i="13"/>
  <c r="J164" i="13"/>
  <c r="V164" i="13"/>
  <c r="C165" i="13"/>
  <c r="O165" i="13"/>
  <c r="AA165" i="13"/>
  <c r="H166" i="13"/>
  <c r="T166" i="13"/>
  <c r="A167" i="13"/>
  <c r="M167" i="13"/>
  <c r="Y167" i="13"/>
  <c r="F168" i="13"/>
  <c r="R168" i="13"/>
  <c r="AD168" i="13"/>
  <c r="R168" i="22" s="1"/>
  <c r="K169" i="13"/>
  <c r="W169" i="13"/>
  <c r="D170" i="13"/>
  <c r="P170" i="13"/>
  <c r="AB170" i="13"/>
  <c r="I171" i="13"/>
  <c r="E20" i="13"/>
  <c r="E33" i="13"/>
  <c r="I45" i="13"/>
  <c r="K50" i="13"/>
  <c r="Y56" i="13"/>
  <c r="AD59" i="13"/>
  <c r="I62" i="13"/>
  <c r="F62" i="22" s="1"/>
  <c r="AB63" i="13"/>
  <c r="P63" i="22" s="1"/>
  <c r="G66" i="13"/>
  <c r="V67" i="13"/>
  <c r="U69" i="13"/>
  <c r="L71" i="13"/>
  <c r="AD72" i="13"/>
  <c r="J74" i="13"/>
  <c r="C76" i="13"/>
  <c r="N77" i="13"/>
  <c r="AD78" i="13"/>
  <c r="E80" i="13"/>
  <c r="AA81" i="13"/>
  <c r="B83" i="13"/>
  <c r="N84" i="13"/>
  <c r="S85" i="13"/>
  <c r="I87" i="13"/>
  <c r="Q88" i="13"/>
  <c r="AE89" i="13"/>
  <c r="E91" i="13"/>
  <c r="P92" i="13"/>
  <c r="Q93" i="13"/>
  <c r="U94" i="13"/>
  <c r="P95" i="13"/>
  <c r="T96" i="13"/>
  <c r="O97" i="13"/>
  <c r="I97" i="16" s="1"/>
  <c r="O98" i="13"/>
  <c r="J99" i="13"/>
  <c r="N100" i="13"/>
  <c r="I101" i="13"/>
  <c r="I102" i="13"/>
  <c r="D103" i="13"/>
  <c r="H104" i="13"/>
  <c r="C105" i="13"/>
  <c r="B106" i="13"/>
  <c r="AC106" i="13"/>
  <c r="B108" i="13"/>
  <c r="AB108" i="13"/>
  <c r="P108" i="22" s="1"/>
  <c r="AA109" i="13"/>
  <c r="V110" i="13"/>
  <c r="Z111" i="13"/>
  <c r="V112" i="13"/>
  <c r="U113" i="13"/>
  <c r="P114" i="13"/>
  <c r="S115" i="13"/>
  <c r="J116" i="13"/>
  <c r="E117" i="13"/>
  <c r="AA117" i="13"/>
  <c r="O117" i="22" s="1"/>
  <c r="V118" i="13"/>
  <c r="M119" i="13"/>
  <c r="G119" i="16" s="1"/>
  <c r="H120" i="13"/>
  <c r="Z120" i="13"/>
  <c r="P121" i="13"/>
  <c r="I122" i="13"/>
  <c r="AD122" i="13"/>
  <c r="Q123" i="13"/>
  <c r="J124" i="13"/>
  <c r="AE124" i="13"/>
  <c r="U125" i="13"/>
  <c r="N126" i="13"/>
  <c r="H126" i="16" s="1"/>
  <c r="A127" i="13"/>
  <c r="V127" i="13"/>
  <c r="O128" i="13"/>
  <c r="E129" i="13"/>
  <c r="V129" i="13"/>
  <c r="M130" i="13"/>
  <c r="A131" i="13"/>
  <c r="R131" i="13"/>
  <c r="I132" i="13"/>
  <c r="Z132" i="13"/>
  <c r="N133" i="13"/>
  <c r="E134" i="13"/>
  <c r="E134" i="22" s="1"/>
  <c r="V134" i="13"/>
  <c r="J135" i="13"/>
  <c r="AD135" i="13"/>
  <c r="N136" i="13"/>
  <c r="AC136" i="13"/>
  <c r="P137" i="13"/>
  <c r="AE137" i="13"/>
  <c r="O138" i="13"/>
  <c r="B139" i="13"/>
  <c r="P139" i="13"/>
  <c r="AD139" i="13"/>
  <c r="K140" i="13"/>
  <c r="W140" i="13"/>
  <c r="D141" i="13"/>
  <c r="P141" i="13"/>
  <c r="AB141" i="13"/>
  <c r="I142" i="13"/>
  <c r="U142" i="13"/>
  <c r="B143" i="13"/>
  <c r="N143" i="13"/>
  <c r="Z143" i="13"/>
  <c r="G144" i="13"/>
  <c r="S144" i="13"/>
  <c r="AE144" i="13"/>
  <c r="L145" i="13"/>
  <c r="X145" i="13"/>
  <c r="L145" i="22" s="1"/>
  <c r="E146" i="13"/>
  <c r="Q146" i="13"/>
  <c r="AC146" i="13"/>
  <c r="J147" i="13"/>
  <c r="V147" i="13"/>
  <c r="C148" i="13"/>
  <c r="O148" i="13"/>
  <c r="AA148" i="13"/>
  <c r="H149" i="13"/>
  <c r="T149" i="13"/>
  <c r="A150" i="13"/>
  <c r="M150" i="13"/>
  <c r="G150" i="22" s="1"/>
  <c r="Y150" i="13"/>
  <c r="F151" i="13"/>
  <c r="R151" i="13"/>
  <c r="AD151" i="13"/>
  <c r="K152" i="13"/>
  <c r="W152" i="13"/>
  <c r="D153" i="13"/>
  <c r="P153" i="13"/>
  <c r="AB153" i="13"/>
  <c r="I154" i="13"/>
  <c r="U154" i="13"/>
  <c r="B155" i="13"/>
  <c r="N155" i="13"/>
  <c r="Z155" i="13"/>
  <c r="G156" i="13"/>
  <c r="S156" i="13"/>
  <c r="AE156" i="13"/>
  <c r="L157" i="13"/>
  <c r="X157" i="13"/>
  <c r="E158" i="13"/>
  <c r="Q158" i="13"/>
  <c r="AC158" i="13"/>
  <c r="Q158" i="22" s="1"/>
  <c r="J159" i="13"/>
  <c r="V159" i="13"/>
  <c r="C160" i="13"/>
  <c r="O160" i="13"/>
  <c r="AA160" i="13"/>
  <c r="H161" i="13"/>
  <c r="T161" i="13"/>
  <c r="A162" i="13"/>
  <c r="M162" i="13"/>
  <c r="Y162" i="13"/>
  <c r="F163" i="13"/>
  <c r="R163" i="13"/>
  <c r="AD163" i="13"/>
  <c r="K164" i="13"/>
  <c r="W164" i="13"/>
  <c r="D165" i="13"/>
  <c r="P165" i="13"/>
  <c r="AB165" i="13"/>
  <c r="I166" i="13"/>
  <c r="U166" i="13"/>
  <c r="B167" i="13"/>
  <c r="N167" i="13"/>
  <c r="Z167" i="13"/>
  <c r="G168" i="13"/>
  <c r="S168" i="13"/>
  <c r="AE168" i="13"/>
  <c r="S168" i="22" s="1"/>
  <c r="L169" i="13"/>
  <c r="X169" i="13"/>
  <c r="G20" i="13"/>
  <c r="U33" i="13"/>
  <c r="J45" i="13"/>
  <c r="B51" i="13"/>
  <c r="L57" i="13"/>
  <c r="AE59" i="13"/>
  <c r="J62" i="13"/>
  <c r="AC63" i="13"/>
  <c r="Q63" i="22" s="1"/>
  <c r="H66" i="13"/>
  <c r="AC67" i="13"/>
  <c r="Q67" i="16" s="1"/>
  <c r="V69" i="13"/>
  <c r="M71" i="13"/>
  <c r="AE72" i="13"/>
  <c r="K74" i="13"/>
  <c r="D76" i="13"/>
  <c r="O77" i="13"/>
  <c r="AE78" i="13"/>
  <c r="I80" i="13"/>
  <c r="AB81" i="13"/>
  <c r="C83" i="13"/>
  <c r="Q84" i="13"/>
  <c r="W85" i="13"/>
  <c r="K87" i="13"/>
  <c r="R88" i="13"/>
  <c r="A90" i="13"/>
  <c r="F91" i="13"/>
  <c r="Q92" i="13"/>
  <c r="S93" i="13"/>
  <c r="V94" i="13"/>
  <c r="Q95" i="13"/>
  <c r="U96" i="13"/>
  <c r="P97" i="13"/>
  <c r="P98" i="13"/>
  <c r="K99" i="13"/>
  <c r="O100" i="13"/>
  <c r="J101" i="13"/>
  <c r="J102" i="13"/>
  <c r="E103" i="13"/>
  <c r="I104" i="13"/>
  <c r="D105" i="13"/>
  <c r="D106" i="13"/>
  <c r="AD106" i="13"/>
  <c r="C108" i="13"/>
  <c r="AC108" i="13"/>
  <c r="Q108" i="22" s="1"/>
  <c r="AB109" i="13"/>
  <c r="X110" i="13"/>
  <c r="AA111" i="13"/>
  <c r="W112" i="13"/>
  <c r="V113" i="13"/>
  <c r="Q114" i="13"/>
  <c r="T115" i="13"/>
  <c r="K116" i="13"/>
  <c r="F117" i="13"/>
  <c r="AB117" i="13"/>
  <c r="W118" i="13"/>
  <c r="N119" i="13"/>
  <c r="H119" i="22" s="1"/>
  <c r="I120" i="13"/>
  <c r="AD120" i="13"/>
  <c r="R120" i="22" s="1"/>
  <c r="Q121" i="13"/>
  <c r="J122" i="13"/>
  <c r="AE122" i="13"/>
  <c r="U123" i="13"/>
  <c r="N124" i="13"/>
  <c r="A125" i="13"/>
  <c r="V125" i="13"/>
  <c r="O126" i="13"/>
  <c r="E127" i="13"/>
  <c r="W127" i="13"/>
  <c r="P128" i="13"/>
  <c r="F129" i="13"/>
  <c r="W129" i="13"/>
  <c r="N130" i="13"/>
  <c r="B131" i="13"/>
  <c r="S131" i="13"/>
  <c r="J132" i="13"/>
  <c r="AB132" i="13"/>
  <c r="O133" i="13"/>
  <c r="F134" i="13"/>
  <c r="W134" i="13"/>
  <c r="K135" i="13"/>
  <c r="AE135" i="13"/>
  <c r="O136" i="13"/>
  <c r="I136" i="22" s="1"/>
  <c r="AD136" i="13"/>
  <c r="Q137" i="13"/>
  <c r="A138" i="13"/>
  <c r="P138" i="13"/>
  <c r="C139" i="13"/>
  <c r="Q139" i="13"/>
  <c r="AE139" i="13"/>
  <c r="L140" i="13"/>
  <c r="X140" i="13"/>
  <c r="E141" i="13"/>
  <c r="Q141" i="13"/>
  <c r="AC141" i="13"/>
  <c r="Q141" i="22" s="1"/>
  <c r="J142" i="13"/>
  <c r="V142" i="13"/>
  <c r="C143" i="13"/>
  <c r="O143" i="13"/>
  <c r="AA143" i="13"/>
  <c r="H144" i="13"/>
  <c r="T144" i="13"/>
  <c r="A145" i="13"/>
  <c r="M145" i="13"/>
  <c r="Y145" i="13"/>
  <c r="M145" i="22" s="1"/>
  <c r="F146" i="13"/>
  <c r="R146" i="13"/>
  <c r="AD146" i="13"/>
  <c r="K147" i="13"/>
  <c r="W147" i="13"/>
  <c r="D148" i="13"/>
  <c r="P148" i="13"/>
  <c r="AB148" i="13"/>
  <c r="I149" i="13"/>
  <c r="U149" i="13"/>
  <c r="B150" i="13"/>
  <c r="N150" i="13"/>
  <c r="Z150" i="13"/>
  <c r="G151" i="13"/>
  <c r="S151" i="13"/>
  <c r="AE151" i="13"/>
  <c r="L152" i="13"/>
  <c r="X152" i="13"/>
  <c r="E153" i="13"/>
  <c r="Q153" i="13"/>
  <c r="AC153" i="13"/>
  <c r="J154" i="13"/>
  <c r="V154" i="13"/>
  <c r="C155" i="13"/>
  <c r="O155" i="13"/>
  <c r="AA155" i="13"/>
  <c r="O155" i="16" s="1"/>
  <c r="H156" i="13"/>
  <c r="T156" i="13"/>
  <c r="A157" i="13"/>
  <c r="M157" i="13"/>
  <c r="Y157" i="13"/>
  <c r="F158" i="13"/>
  <c r="R158" i="13"/>
  <c r="AD158" i="13"/>
  <c r="K159" i="13"/>
  <c r="W159" i="13"/>
  <c r="D160" i="13"/>
  <c r="P160" i="13"/>
  <c r="J160" i="16" s="1"/>
  <c r="AB160" i="13"/>
  <c r="I161" i="13"/>
  <c r="U161" i="13"/>
  <c r="B162" i="13"/>
  <c r="N162" i="13"/>
  <c r="Z162" i="13"/>
  <c r="G163" i="13"/>
  <c r="S163" i="13"/>
  <c r="AE163" i="13"/>
  <c r="L164" i="13"/>
  <c r="X164" i="13"/>
  <c r="E165" i="13"/>
  <c r="E165" i="22" s="1"/>
  <c r="Q165" i="13"/>
  <c r="AC165" i="13"/>
  <c r="J166" i="13"/>
  <c r="V166" i="13"/>
  <c r="C167" i="13"/>
  <c r="O167" i="13"/>
  <c r="AA167" i="13"/>
  <c r="H168" i="13"/>
  <c r="T168" i="13"/>
  <c r="A169" i="13"/>
  <c r="M169" i="13"/>
  <c r="G169" i="22" s="1"/>
  <c r="Y169" i="13"/>
  <c r="M169" i="16" s="1"/>
  <c r="L20" i="13"/>
  <c r="V33" i="13"/>
  <c r="W45" i="13"/>
  <c r="F51" i="13"/>
  <c r="R57" i="13"/>
  <c r="A60" i="13"/>
  <c r="K62" i="13"/>
  <c r="J64" i="13"/>
  <c r="K66" i="13"/>
  <c r="AD67" i="13"/>
  <c r="AD69" i="13"/>
  <c r="N71" i="13"/>
  <c r="H71" i="22" s="1"/>
  <c r="A73" i="13"/>
  <c r="L74" i="13"/>
  <c r="H76" i="13"/>
  <c r="R77" i="13"/>
  <c r="A79" i="13"/>
  <c r="K80" i="13"/>
  <c r="AC81" i="13"/>
  <c r="D83" i="13"/>
  <c r="R84" i="13"/>
  <c r="X85" i="13"/>
  <c r="M87" i="13"/>
  <c r="S88" i="13"/>
  <c r="B90" i="13"/>
  <c r="G91" i="13"/>
  <c r="R92" i="13"/>
  <c r="T93" i="13"/>
  <c r="W94" i="13"/>
  <c r="R95" i="13"/>
  <c r="V96" i="13"/>
  <c r="Q97" i="13"/>
  <c r="Q98" i="13"/>
  <c r="L99" i="13"/>
  <c r="P100" i="13"/>
  <c r="K101" i="13"/>
  <c r="K102" i="13"/>
  <c r="F103" i="13"/>
  <c r="J104" i="13"/>
  <c r="E105" i="13"/>
  <c r="E106" i="13"/>
  <c r="AE106" i="13"/>
  <c r="D108" i="13"/>
  <c r="AD108" i="13"/>
  <c r="AC109" i="13"/>
  <c r="Y110" i="13"/>
  <c r="AC111" i="13"/>
  <c r="X112" i="13"/>
  <c r="L112" i="22" s="1"/>
  <c r="W113" i="13"/>
  <c r="R114" i="13"/>
  <c r="U115" i="13"/>
  <c r="L116" i="13"/>
  <c r="G117" i="13"/>
  <c r="AC117" i="13"/>
  <c r="X118" i="13"/>
  <c r="O119" i="13"/>
  <c r="J120" i="13"/>
  <c r="AE120" i="13"/>
  <c r="S120" i="22" s="1"/>
  <c r="X121" i="13"/>
  <c r="K122" i="13"/>
  <c r="A123" i="13"/>
  <c r="Y123" i="13"/>
  <c r="O124" i="13"/>
  <c r="B125" i="13"/>
  <c r="Z125" i="13"/>
  <c r="P126" i="13"/>
  <c r="F127" i="13"/>
  <c r="AD127" i="13"/>
  <c r="Q128" i="13"/>
  <c r="G129" i="13"/>
  <c r="AC129" i="13"/>
  <c r="O130" i="13"/>
  <c r="I130" i="16" s="1"/>
  <c r="C131" i="13"/>
  <c r="Y131" i="13"/>
  <c r="K132" i="13"/>
  <c r="AD132" i="13"/>
  <c r="S133" i="13"/>
  <c r="G134" i="13"/>
  <c r="X134" i="13"/>
  <c r="O135" i="13"/>
  <c r="A136" i="13"/>
  <c r="P136" i="13"/>
  <c r="C137" i="13"/>
  <c r="R137" i="13"/>
  <c r="B138" i="13"/>
  <c r="T138" i="13"/>
  <c r="D139" i="13"/>
  <c r="R139" i="13"/>
  <c r="A140" i="13"/>
  <c r="M140" i="13"/>
  <c r="Y140" i="13"/>
  <c r="F141" i="13"/>
  <c r="R141" i="13"/>
  <c r="AD141" i="13"/>
  <c r="K142" i="13"/>
  <c r="W142" i="13"/>
  <c r="D143" i="13"/>
  <c r="P143" i="13"/>
  <c r="AB143" i="13"/>
  <c r="I144" i="13"/>
  <c r="U144" i="13"/>
  <c r="B145" i="13"/>
  <c r="N145" i="13"/>
  <c r="Z145" i="13"/>
  <c r="G146" i="13"/>
  <c r="S146" i="13"/>
  <c r="AE146" i="13"/>
  <c r="L147" i="13"/>
  <c r="X147" i="13"/>
  <c r="E148" i="13"/>
  <c r="Q148" i="13"/>
  <c r="AC148" i="13"/>
  <c r="J149" i="13"/>
  <c r="V149" i="13"/>
  <c r="C150" i="13"/>
  <c r="O150" i="13"/>
  <c r="AA150" i="13"/>
  <c r="H151" i="13"/>
  <c r="T151" i="13"/>
  <c r="A152" i="13"/>
  <c r="M152" i="13"/>
  <c r="Y152" i="13"/>
  <c r="F153" i="13"/>
  <c r="R153" i="13"/>
  <c r="AD153" i="13"/>
  <c r="K154" i="13"/>
  <c r="W154" i="13"/>
  <c r="D155" i="13"/>
  <c r="P155" i="13"/>
  <c r="AB155" i="13"/>
  <c r="I156" i="13"/>
  <c r="U156" i="13"/>
  <c r="B157" i="13"/>
  <c r="N157" i="13"/>
  <c r="Z157" i="13"/>
  <c r="G158" i="13"/>
  <c r="S158" i="13"/>
  <c r="AE158" i="13"/>
  <c r="L159" i="13"/>
  <c r="X159" i="13"/>
  <c r="E160" i="13"/>
  <c r="Q160" i="13"/>
  <c r="AC160" i="13"/>
  <c r="J161" i="13"/>
  <c r="V161" i="13"/>
  <c r="C162" i="13"/>
  <c r="O162" i="13"/>
  <c r="AA162" i="13"/>
  <c r="H163" i="13"/>
  <c r="T163" i="13"/>
  <c r="A164" i="13"/>
  <c r="M164" i="13"/>
  <c r="Y164" i="13"/>
  <c r="F165" i="13"/>
  <c r="R165" i="13"/>
  <c r="AD165" i="13"/>
  <c r="R165" i="22" s="1"/>
  <c r="K166" i="13"/>
  <c r="W166" i="13"/>
  <c r="D167" i="13"/>
  <c r="P167" i="13"/>
  <c r="AB167" i="13"/>
  <c r="I168" i="13"/>
  <c r="U168" i="13"/>
  <c r="B169" i="13"/>
  <c r="N169" i="13"/>
  <c r="Z169" i="13"/>
  <c r="N169" i="22" s="1"/>
  <c r="G170" i="13"/>
  <c r="S170" i="13"/>
  <c r="AE170" i="13"/>
  <c r="L171" i="13"/>
  <c r="X171" i="13"/>
  <c r="H2" i="13"/>
  <c r="D40" i="13"/>
  <c r="K53" i="13"/>
  <c r="AC60" i="13"/>
  <c r="F65" i="13"/>
  <c r="W68" i="13"/>
  <c r="A72" i="13"/>
  <c r="A75" i="13"/>
  <c r="D78" i="13"/>
  <c r="AF78" i="13" s="1"/>
  <c r="AA80" i="13"/>
  <c r="T83" i="13"/>
  <c r="J86" i="13"/>
  <c r="F89" i="13"/>
  <c r="W91" i="13"/>
  <c r="C94" i="13"/>
  <c r="AD95" i="13"/>
  <c r="AC97" i="13"/>
  <c r="X99" i="13"/>
  <c r="W101" i="13"/>
  <c r="R103" i="13"/>
  <c r="Q105" i="13"/>
  <c r="L107" i="13"/>
  <c r="K109" i="13"/>
  <c r="F111" i="13"/>
  <c r="E113" i="13"/>
  <c r="AD114" i="13"/>
  <c r="V116" i="13"/>
  <c r="H118" i="13"/>
  <c r="Y119" i="13"/>
  <c r="F121" i="13"/>
  <c r="L122" i="13"/>
  <c r="N123" i="13"/>
  <c r="T124" i="13"/>
  <c r="K124" i="22" s="1"/>
  <c r="AE125" i="13"/>
  <c r="AD126" i="13"/>
  <c r="E128" i="13"/>
  <c r="O129" i="13"/>
  <c r="P130" i="13"/>
  <c r="O131" i="13"/>
  <c r="R132" i="13"/>
  <c r="W133" i="13"/>
  <c r="T134" i="13"/>
  <c r="W135" i="13"/>
  <c r="V136" i="13"/>
  <c r="S137" i="13"/>
  <c r="L138" i="13"/>
  <c r="I139" i="13"/>
  <c r="C140" i="13"/>
  <c r="U140" i="13"/>
  <c r="L141" i="13"/>
  <c r="B142" i="13"/>
  <c r="X142" i="13"/>
  <c r="K143" i="13"/>
  <c r="B144" i="13"/>
  <c r="W144" i="13"/>
  <c r="J145" i="13"/>
  <c r="A146" i="13"/>
  <c r="V146" i="13"/>
  <c r="M147" i="13"/>
  <c r="AE147" i="13"/>
  <c r="V148" i="13"/>
  <c r="L149" i="13"/>
  <c r="AD149" i="13"/>
  <c r="U150" i="13"/>
  <c r="K151" i="13"/>
  <c r="B152" i="13"/>
  <c r="T152" i="13"/>
  <c r="K153" i="13"/>
  <c r="A154" i="13"/>
  <c r="S154" i="13"/>
  <c r="J155" i="13"/>
  <c r="AE155" i="13"/>
  <c r="V156" i="13"/>
  <c r="I157" i="13"/>
  <c r="AE157" i="13"/>
  <c r="U158" i="13"/>
  <c r="H159" i="13"/>
  <c r="AD159" i="13"/>
  <c r="T160" i="13"/>
  <c r="K160" i="22" s="1"/>
  <c r="K161" i="13"/>
  <c r="AC161" i="13"/>
  <c r="Q161" i="16" s="1"/>
  <c r="T162" i="13"/>
  <c r="J163" i="13"/>
  <c r="AB163" i="13"/>
  <c r="Q164" i="13"/>
  <c r="B165" i="13"/>
  <c r="V165" i="13"/>
  <c r="G166" i="13"/>
  <c r="AA166" i="13"/>
  <c r="L167" i="13"/>
  <c r="A168" i="13"/>
  <c r="Q168" i="13"/>
  <c r="K5" i="13"/>
  <c r="N42" i="13"/>
  <c r="R54" i="13"/>
  <c r="L61" i="13"/>
  <c r="K65" i="13"/>
  <c r="AA68" i="13"/>
  <c r="J72" i="13"/>
  <c r="M75" i="13"/>
  <c r="M78" i="13"/>
  <c r="F81" i="13"/>
  <c r="AB83" i="13"/>
  <c r="P83" i="22" s="1"/>
  <c r="U86" i="13"/>
  <c r="I89" i="13"/>
  <c r="F89" i="16" s="1"/>
  <c r="A92" i="13"/>
  <c r="H94" i="13"/>
  <c r="G96" i="13"/>
  <c r="B98" i="13"/>
  <c r="A100" i="13"/>
  <c r="AA101" i="13"/>
  <c r="Z103" i="13"/>
  <c r="T105" i="13"/>
  <c r="S107" i="13"/>
  <c r="N109" i="13"/>
  <c r="M111" i="13"/>
  <c r="G111" i="22" s="1"/>
  <c r="H113" i="13"/>
  <c r="G115" i="13"/>
  <c r="Y116" i="13"/>
  <c r="K118" i="13"/>
  <c r="AB119" i="13"/>
  <c r="K121" i="13"/>
  <c r="P122" i="13"/>
  <c r="O123" i="13"/>
  <c r="AA124" i="13"/>
  <c r="A126" i="13"/>
  <c r="G127" i="13"/>
  <c r="F128" i="13"/>
  <c r="Q129" i="13"/>
  <c r="R130" i="13"/>
  <c r="P131" i="13"/>
  <c r="V132" i="13"/>
  <c r="X133" i="13"/>
  <c r="Z134" i="13"/>
  <c r="X135" i="13"/>
  <c r="X136" i="13"/>
  <c r="T137" i="13"/>
  <c r="M138" i="13"/>
  <c r="J139" i="13"/>
  <c r="D140" i="13"/>
  <c r="Z140" i="13"/>
  <c r="N140" i="16" s="1"/>
  <c r="M141" i="13"/>
  <c r="D142" i="13"/>
  <c r="Y142" i="13"/>
  <c r="L143" i="13"/>
  <c r="C144" i="13"/>
  <c r="X144" i="13"/>
  <c r="O145" i="13"/>
  <c r="B146" i="13"/>
  <c r="X146" i="13"/>
  <c r="N147" i="13"/>
  <c r="H147" i="22" s="1"/>
  <c r="A148" i="13"/>
  <c r="W148" i="13"/>
  <c r="M149" i="13"/>
  <c r="D150" i="13"/>
  <c r="V150" i="13"/>
  <c r="M151" i="13"/>
  <c r="C152" i="13"/>
  <c r="U152" i="13"/>
  <c r="L153" i="13"/>
  <c r="B154" i="13"/>
  <c r="X154" i="13"/>
  <c r="K155" i="13"/>
  <c r="B156" i="13"/>
  <c r="W156" i="13"/>
  <c r="J157" i="13"/>
  <c r="A158" i="13"/>
  <c r="V158" i="13"/>
  <c r="M159" i="13"/>
  <c r="AE159" i="13"/>
  <c r="V160" i="13"/>
  <c r="L161" i="13"/>
  <c r="AD161" i="13"/>
  <c r="U162" i="13"/>
  <c r="K163" i="13"/>
  <c r="B164" i="13"/>
  <c r="R164" i="13"/>
  <c r="G165" i="13"/>
  <c r="W165" i="13"/>
  <c r="L166" i="13"/>
  <c r="AB166" i="13"/>
  <c r="Q167" i="13"/>
  <c r="B168" i="13"/>
  <c r="V168" i="13"/>
  <c r="H12" i="13"/>
  <c r="S42" i="13"/>
  <c r="C55" i="13"/>
  <c r="S61" i="13"/>
  <c r="L65" i="13"/>
  <c r="AB68" i="13"/>
  <c r="K72" i="13"/>
  <c r="O75" i="13"/>
  <c r="N78" i="13"/>
  <c r="H81" i="13"/>
  <c r="AC83" i="13"/>
  <c r="V86" i="13"/>
  <c r="K89" i="13"/>
  <c r="B92" i="13"/>
  <c r="I94" i="13"/>
  <c r="H96" i="13"/>
  <c r="C98" i="13"/>
  <c r="B100" i="13"/>
  <c r="AB101" i="13"/>
  <c r="AA103" i="13"/>
  <c r="U105" i="13"/>
  <c r="U107" i="13"/>
  <c r="O109" i="13"/>
  <c r="N111" i="13"/>
  <c r="I113" i="13"/>
  <c r="H115" i="13"/>
  <c r="Z116" i="13"/>
  <c r="L118" i="13"/>
  <c r="AC119" i="13"/>
  <c r="Q119" i="22" s="1"/>
  <c r="L121" i="13"/>
  <c r="Q122" i="13"/>
  <c r="Z123" i="13"/>
  <c r="AB124" i="13"/>
  <c r="C126" i="13"/>
  <c r="H127" i="13"/>
  <c r="J128" i="13"/>
  <c r="R129" i="13"/>
  <c r="T130" i="13"/>
  <c r="Z131" i="13"/>
  <c r="N131" i="22" s="1"/>
  <c r="W132" i="13"/>
  <c r="Z133" i="13"/>
  <c r="N133" i="22" s="1"/>
  <c r="AB134" i="13"/>
  <c r="Y135" i="13"/>
  <c r="Y136" i="13"/>
  <c r="U137" i="13"/>
  <c r="U138" i="13"/>
  <c r="M139" i="13"/>
  <c r="F140" i="13"/>
  <c r="AA140" i="13"/>
  <c r="N141" i="13"/>
  <c r="E142" i="13"/>
  <c r="E142" i="22" s="1"/>
  <c r="Z142" i="13"/>
  <c r="Q143" i="13"/>
  <c r="D144" i="13"/>
  <c r="Z144" i="13"/>
  <c r="P145" i="13"/>
  <c r="C146" i="13"/>
  <c r="Y146" i="13"/>
  <c r="O147" i="13"/>
  <c r="F148" i="13"/>
  <c r="X148" i="13"/>
  <c r="O149" i="13"/>
  <c r="E150" i="13"/>
  <c r="E150" i="22" s="1"/>
  <c r="W150" i="13"/>
  <c r="N151" i="13"/>
  <c r="H151" i="16" s="1"/>
  <c r="D152" i="13"/>
  <c r="Z152" i="13"/>
  <c r="M153" i="13"/>
  <c r="D154" i="13"/>
  <c r="Y154" i="13"/>
  <c r="L155" i="13"/>
  <c r="C156" i="13"/>
  <c r="X156" i="13"/>
  <c r="O157" i="13"/>
  <c r="B158" i="13"/>
  <c r="X158" i="13"/>
  <c r="N159" i="13"/>
  <c r="A160" i="13"/>
  <c r="W160" i="13"/>
  <c r="M161" i="13"/>
  <c r="D162" i="13"/>
  <c r="V162" i="13"/>
  <c r="M163" i="13"/>
  <c r="C164" i="13"/>
  <c r="S164" i="13"/>
  <c r="J13" i="13"/>
  <c r="W42" i="13"/>
  <c r="M55" i="13"/>
  <c r="G55" i="22" s="1"/>
  <c r="V61" i="13"/>
  <c r="M65" i="13"/>
  <c r="AD68" i="13"/>
  <c r="L72" i="13"/>
  <c r="P75" i="13"/>
  <c r="O78" i="13"/>
  <c r="J81" i="13"/>
  <c r="AD83" i="13"/>
  <c r="W86" i="13"/>
  <c r="N89" i="13"/>
  <c r="C92" i="13"/>
  <c r="J94" i="13"/>
  <c r="I96" i="13"/>
  <c r="D98" i="13"/>
  <c r="C100" i="13"/>
  <c r="AC101" i="13"/>
  <c r="AB103" i="13"/>
  <c r="W105" i="13"/>
  <c r="V107" i="13"/>
  <c r="P109" i="13"/>
  <c r="O111" i="13"/>
  <c r="J113" i="13"/>
  <c r="I115" i="13"/>
  <c r="F115" i="22" s="1"/>
  <c r="AA116" i="13"/>
  <c r="M118" i="13"/>
  <c r="AD119" i="13"/>
  <c r="M121" i="13"/>
  <c r="S122" i="13"/>
  <c r="AA123" i="13"/>
  <c r="AC124" i="13"/>
  <c r="D126" i="13"/>
  <c r="L127" i="13"/>
  <c r="R128" i="13"/>
  <c r="S129" i="13"/>
  <c r="V130" i="13"/>
  <c r="AA131" i="13"/>
  <c r="X132" i="13"/>
  <c r="L132" i="16" s="1"/>
  <c r="AA133" i="13"/>
  <c r="A135" i="13"/>
  <c r="B136" i="13"/>
  <c r="Z136" i="13"/>
  <c r="W137" i="13"/>
  <c r="V138" i="13"/>
  <c r="N139" i="13"/>
  <c r="G140" i="13"/>
  <c r="AB140" i="13"/>
  <c r="S141" i="13"/>
  <c r="F142" i="13"/>
  <c r="AB142" i="13"/>
  <c r="R143" i="13"/>
  <c r="E144" i="13"/>
  <c r="AA144" i="13"/>
  <c r="Q145" i="13"/>
  <c r="H146" i="13"/>
  <c r="Z146" i="13"/>
  <c r="Q147" i="13"/>
  <c r="G148" i="13"/>
  <c r="Y148" i="13"/>
  <c r="P149" i="13"/>
  <c r="F150" i="13"/>
  <c r="AB150" i="13"/>
  <c r="O151" i="13"/>
  <c r="F152" i="13"/>
  <c r="AA152" i="13"/>
  <c r="N153" i="13"/>
  <c r="E154" i="13"/>
  <c r="Z154" i="13"/>
  <c r="Q155" i="13"/>
  <c r="D156" i="13"/>
  <c r="Z156" i="13"/>
  <c r="P157" i="13"/>
  <c r="C158" i="13"/>
  <c r="Y158" i="13"/>
  <c r="M158" i="16" s="1"/>
  <c r="O159" i="13"/>
  <c r="F160" i="13"/>
  <c r="X160" i="13"/>
  <c r="O161" i="13"/>
  <c r="E162" i="13"/>
  <c r="W162" i="13"/>
  <c r="N163" i="13"/>
  <c r="D164" i="13"/>
  <c r="G21" i="13"/>
  <c r="X45" i="13"/>
  <c r="L45" i="22" s="1"/>
  <c r="S57" i="13"/>
  <c r="L62" i="13"/>
  <c r="T66" i="13"/>
  <c r="AE69" i="13"/>
  <c r="L73" i="13"/>
  <c r="I76" i="13"/>
  <c r="K79" i="13"/>
  <c r="AE81" i="13"/>
  <c r="Y84" i="13"/>
  <c r="N87" i="13"/>
  <c r="G90" i="13"/>
  <c r="V92" i="13"/>
  <c r="AC94" i="13"/>
  <c r="Q94" i="22" s="1"/>
  <c r="W96" i="13"/>
  <c r="V98" i="13"/>
  <c r="Q100" i="13"/>
  <c r="P102" i="13"/>
  <c r="K104" i="13"/>
  <c r="J106" i="13"/>
  <c r="E108" i="13"/>
  <c r="D110" i="13"/>
  <c r="AD111" i="13"/>
  <c r="AC113" i="13"/>
  <c r="V115" i="13"/>
  <c r="H117" i="13"/>
  <c r="Y118" i="13"/>
  <c r="M118" i="22" s="1"/>
  <c r="K120" i="13"/>
  <c r="N121" i="13"/>
  <c r="W122" i="13"/>
  <c r="AB123" i="13"/>
  <c r="C125" i="13"/>
  <c r="E126" i="13"/>
  <c r="E126" i="22" s="1"/>
  <c r="Q127" i="13"/>
  <c r="V128" i="13"/>
  <c r="T129" i="13"/>
  <c r="Z130" i="13"/>
  <c r="AB131" i="13"/>
  <c r="P131" i="22" s="1"/>
  <c r="AE132" i="13"/>
  <c r="S132" i="22" s="1"/>
  <c r="AB133" i="13"/>
  <c r="C135" i="13"/>
  <c r="C136" i="13"/>
  <c r="AA136" i="13"/>
  <c r="AA137" i="13"/>
  <c r="W138" i="13"/>
  <c r="S139" i="13"/>
  <c r="H140" i="13"/>
  <c r="AD140" i="13"/>
  <c r="T141" i="13"/>
  <c r="K141" i="22" s="1"/>
  <c r="G142" i="13"/>
  <c r="AC142" i="13"/>
  <c r="Q142" i="16" s="1"/>
  <c r="S143" i="13"/>
  <c r="J144" i="13"/>
  <c r="AB144" i="13"/>
  <c r="S145" i="13"/>
  <c r="I146" i="13"/>
  <c r="AA146" i="13"/>
  <c r="R147" i="13"/>
  <c r="H148" i="13"/>
  <c r="AD148" i="13"/>
  <c r="Q149" i="13"/>
  <c r="H150" i="13"/>
  <c r="AC150" i="13"/>
  <c r="Q150" i="22" s="1"/>
  <c r="P151" i="13"/>
  <c r="G152" i="13"/>
  <c r="AB152" i="13"/>
  <c r="S153" i="13"/>
  <c r="F154" i="13"/>
  <c r="AB154" i="13"/>
  <c r="H23" i="13"/>
  <c r="AE45" i="13"/>
  <c r="N58" i="13"/>
  <c r="AA62" i="13"/>
  <c r="O62" i="22" s="1"/>
  <c r="X66" i="13"/>
  <c r="H70" i="13"/>
  <c r="N73" i="13"/>
  <c r="N76" i="13"/>
  <c r="M79" i="13"/>
  <c r="B82" i="13"/>
  <c r="AD84" i="13"/>
  <c r="Q87" i="13"/>
  <c r="M90" i="13"/>
  <c r="X92" i="13"/>
  <c r="AE94" i="13"/>
  <c r="Z96" i="13"/>
  <c r="Y98" i="13"/>
  <c r="S100" i="13"/>
  <c r="R102" i="13"/>
  <c r="M104" i="13"/>
  <c r="L106" i="13"/>
  <c r="G108" i="13"/>
  <c r="F110" i="13"/>
  <c r="A112" i="13"/>
  <c r="AE113" i="13"/>
  <c r="X115" i="13"/>
  <c r="J117" i="13"/>
  <c r="AA118" i="13"/>
  <c r="M120" i="13"/>
  <c r="Z121" i="13"/>
  <c r="N121" i="22" s="1"/>
  <c r="AB122" i="13"/>
  <c r="C124" i="13"/>
  <c r="K125" i="13"/>
  <c r="Q126" i="13"/>
  <c r="S127" i="13"/>
  <c r="Y128" i="13"/>
  <c r="AE129" i="13"/>
  <c r="AB130" i="13"/>
  <c r="AE131" i="13"/>
  <c r="E133" i="13"/>
  <c r="E133" i="22" s="1"/>
  <c r="H134" i="13"/>
  <c r="E135" i="13"/>
  <c r="F136" i="13"/>
  <c r="E137" i="13"/>
  <c r="AC137" i="13"/>
  <c r="Z138" i="13"/>
  <c r="U139" i="13"/>
  <c r="N140" i="13"/>
  <c r="A141" i="13"/>
  <c r="W141" i="13"/>
  <c r="M142" i="13"/>
  <c r="AE142" i="13"/>
  <c r="V143" i="13"/>
  <c r="L144" i="13"/>
  <c r="C145" i="13"/>
  <c r="U145" i="13"/>
  <c r="L146" i="13"/>
  <c r="B147" i="13"/>
  <c r="T147" i="13"/>
  <c r="K148" i="13"/>
  <c r="A149" i="13"/>
  <c r="W149" i="13"/>
  <c r="J150" i="13"/>
  <c r="A151" i="13"/>
  <c r="V151" i="13"/>
  <c r="I152" i="13"/>
  <c r="F152" i="22" s="1"/>
  <c r="AE152" i="13"/>
  <c r="U153" i="13"/>
  <c r="L154" i="13"/>
  <c r="AD154" i="13"/>
  <c r="U155" i="13"/>
  <c r="K156" i="13"/>
  <c r="AC156" i="13"/>
  <c r="T157" i="13"/>
  <c r="J158" i="13"/>
  <c r="A159" i="13"/>
  <c r="S159" i="13"/>
  <c r="J160" i="13"/>
  <c r="AE160" i="13"/>
  <c r="R161" i="13"/>
  <c r="I162" i="13"/>
  <c r="AD162" i="13"/>
  <c r="U163" i="13"/>
  <c r="G164" i="13"/>
  <c r="AA164" i="13"/>
  <c r="L165" i="13"/>
  <c r="A166" i="13"/>
  <c r="Q166" i="13"/>
  <c r="F167" i="13"/>
  <c r="V167" i="13"/>
  <c r="K168" i="13"/>
  <c r="AA168" i="13"/>
  <c r="P169" i="13"/>
  <c r="A170" i="13"/>
  <c r="O170" i="13"/>
  <c r="AD170" i="13"/>
  <c r="N171" i="13"/>
  <c r="AA171" i="13"/>
  <c r="H172" i="13"/>
  <c r="T172" i="13"/>
  <c r="A173" i="13"/>
  <c r="M173" i="13"/>
  <c r="G173" i="22" s="1"/>
  <c r="Y173" i="13"/>
  <c r="F174" i="13"/>
  <c r="R174" i="13"/>
  <c r="AD174" i="13"/>
  <c r="K175" i="13"/>
  <c r="W175" i="13"/>
  <c r="D176" i="13"/>
  <c r="P176" i="13"/>
  <c r="AB176" i="13"/>
  <c r="I177" i="13"/>
  <c r="F177" i="22" s="1"/>
  <c r="U177" i="13"/>
  <c r="B178" i="13"/>
  <c r="N178" i="13"/>
  <c r="Z178" i="13"/>
  <c r="G179" i="13"/>
  <c r="S179" i="13"/>
  <c r="AE179" i="13"/>
  <c r="L180" i="13"/>
  <c r="AD27" i="13"/>
  <c r="U48" i="13"/>
  <c r="P59" i="13"/>
  <c r="V63" i="13"/>
  <c r="K67" i="13"/>
  <c r="AA70" i="13"/>
  <c r="O70" i="22" s="1"/>
  <c r="AE73" i="13"/>
  <c r="AE76" i="13"/>
  <c r="AE79" i="13"/>
  <c r="T82" i="13"/>
  <c r="O85" i="13"/>
  <c r="D88" i="13"/>
  <c r="AD90" i="13"/>
  <c r="G93" i="13"/>
  <c r="L95" i="13"/>
  <c r="G97" i="13"/>
  <c r="F99" i="13"/>
  <c r="AE100" i="13"/>
  <c r="S100" i="16" s="1"/>
  <c r="AD102" i="13"/>
  <c r="Y104" i="13"/>
  <c r="X106" i="13"/>
  <c r="S108" i="13"/>
  <c r="R110" i="13"/>
  <c r="M112" i="13"/>
  <c r="L114" i="13"/>
  <c r="C116" i="13"/>
  <c r="T117" i="13"/>
  <c r="F119" i="13"/>
  <c r="V120" i="13"/>
  <c r="AA121" i="13"/>
  <c r="O121" i="22" s="1"/>
  <c r="B123" i="13"/>
  <c r="D124" i="13"/>
  <c r="M125" i="13"/>
  <c r="R126" i="13"/>
  <c r="T127" i="13"/>
  <c r="AC128" i="13"/>
  <c r="A130" i="13"/>
  <c r="D131" i="13"/>
  <c r="A132" i="13"/>
  <c r="G133" i="13"/>
  <c r="I134" i="13"/>
  <c r="G135" i="13"/>
  <c r="J136" i="13"/>
  <c r="F137" i="13"/>
  <c r="C138" i="13"/>
  <c r="AA138" i="13"/>
  <c r="Y139" i="13"/>
  <c r="O140" i="13"/>
  <c r="B141" i="13"/>
  <c r="X141" i="13"/>
  <c r="N142" i="13"/>
  <c r="E143" i="13"/>
  <c r="E143" i="22" s="1"/>
  <c r="W143" i="13"/>
  <c r="N144" i="13"/>
  <c r="D145" i="13"/>
  <c r="V145" i="13"/>
  <c r="M146" i="13"/>
  <c r="C147" i="13"/>
  <c r="Y147" i="13"/>
  <c r="L148" i="13"/>
  <c r="C149" i="13"/>
  <c r="X149" i="13"/>
  <c r="K150" i="13"/>
  <c r="B151" i="13"/>
  <c r="W151" i="13"/>
  <c r="N152" i="13"/>
  <c r="H152" i="22" s="1"/>
  <c r="A153" i="13"/>
  <c r="W153" i="13"/>
  <c r="M154" i="13"/>
  <c r="AE154" i="13"/>
  <c r="V155" i="13"/>
  <c r="L156" i="13"/>
  <c r="C157" i="13"/>
  <c r="U157" i="13"/>
  <c r="L158" i="13"/>
  <c r="B159" i="13"/>
  <c r="T159" i="13"/>
  <c r="K160" i="13"/>
  <c r="A161" i="13"/>
  <c r="W161" i="13"/>
  <c r="J162" i="13"/>
  <c r="A163" i="13"/>
  <c r="V163" i="13"/>
  <c r="H164" i="13"/>
  <c r="AB164" i="13"/>
  <c r="M165" i="13"/>
  <c r="B166" i="13"/>
  <c r="R166" i="13"/>
  <c r="G167" i="13"/>
  <c r="W167" i="13"/>
  <c r="L168" i="13"/>
  <c r="AB168" i="13"/>
  <c r="Q169" i="13"/>
  <c r="B170" i="13"/>
  <c r="Q170" i="13"/>
  <c r="A171" i="13"/>
  <c r="O171" i="13"/>
  <c r="AB171" i="13"/>
  <c r="I172" i="13"/>
  <c r="U172" i="13"/>
  <c r="B173" i="13"/>
  <c r="N173" i="13"/>
  <c r="H173" i="22" s="1"/>
  <c r="Z173" i="13"/>
  <c r="G174" i="13"/>
  <c r="S174" i="13"/>
  <c r="AE174" i="13"/>
  <c r="L175" i="13"/>
  <c r="X175" i="13"/>
  <c r="E176" i="13"/>
  <c r="Q176" i="13"/>
  <c r="AC176" i="13"/>
  <c r="J177" i="13"/>
  <c r="V177" i="13"/>
  <c r="C178" i="13"/>
  <c r="O178" i="13"/>
  <c r="AA178" i="13"/>
  <c r="H179" i="13"/>
  <c r="V29" i="13"/>
  <c r="AD49" i="13"/>
  <c r="Q59" i="13"/>
  <c r="W63" i="13"/>
  <c r="M67" i="13"/>
  <c r="AB70" i="13"/>
  <c r="D74" i="13"/>
  <c r="D74" i="16" s="1"/>
  <c r="A77" i="13"/>
  <c r="A80" i="13"/>
  <c r="U82" i="13"/>
  <c r="P85" i="13"/>
  <c r="E88" i="13"/>
  <c r="AE90" i="13"/>
  <c r="H93" i="13"/>
  <c r="M95" i="13"/>
  <c r="H97" i="13"/>
  <c r="G99" i="13"/>
  <c r="A101" i="13"/>
  <c r="A103" i="13"/>
  <c r="Z104" i="13"/>
  <c r="Y106" i="13"/>
  <c r="M106" i="22" s="1"/>
  <c r="T108" i="13"/>
  <c r="S110" i="13"/>
  <c r="N112" i="13"/>
  <c r="M114" i="13"/>
  <c r="D116" i="13"/>
  <c r="U117" i="13"/>
  <c r="G119" i="13"/>
  <c r="W120" i="13"/>
  <c r="AC121" i="13"/>
  <c r="C123" i="13"/>
  <c r="E124" i="13"/>
  <c r="N125" i="13"/>
  <c r="H125" i="22" s="1"/>
  <c r="S126" i="13"/>
  <c r="AE127" i="13"/>
  <c r="AD128" i="13"/>
  <c r="C130" i="13"/>
  <c r="E131" i="13"/>
  <c r="B132" i="13"/>
  <c r="I133" i="13"/>
  <c r="J134" i="13"/>
  <c r="P135" i="13"/>
  <c r="K136" i="13"/>
  <c r="H137" i="13"/>
  <c r="D138" i="13"/>
  <c r="AF138" i="13" s="1"/>
  <c r="AB138" i="13"/>
  <c r="Z139" i="13"/>
  <c r="P140" i="13"/>
  <c r="G141" i="13"/>
  <c r="Y141" i="13"/>
  <c r="P142" i="13"/>
  <c r="F143" i="13"/>
  <c r="X143" i="13"/>
  <c r="O144" i="13"/>
  <c r="E145" i="13"/>
  <c r="AA145" i="13"/>
  <c r="N146" i="13"/>
  <c r="H146" i="16" s="1"/>
  <c r="E147" i="13"/>
  <c r="Z147" i="13"/>
  <c r="M148" i="13"/>
  <c r="D149" i="13"/>
  <c r="Y149" i="13"/>
  <c r="P150" i="13"/>
  <c r="C151" i="13"/>
  <c r="Y151" i="13"/>
  <c r="O152" i="13"/>
  <c r="B153" i="13"/>
  <c r="X153" i="13"/>
  <c r="N154" i="13"/>
  <c r="H154" i="22" s="1"/>
  <c r="E155" i="13"/>
  <c r="W155" i="13"/>
  <c r="N156" i="13"/>
  <c r="D157" i="13"/>
  <c r="V157" i="13"/>
  <c r="M158" i="13"/>
  <c r="C159" i="13"/>
  <c r="Y159" i="13"/>
  <c r="L160" i="13"/>
  <c r="C161" i="13"/>
  <c r="X161" i="13"/>
  <c r="K162" i="13"/>
  <c r="B163" i="13"/>
  <c r="W163" i="13"/>
  <c r="I164" i="13"/>
  <c r="AC164" i="13"/>
  <c r="N165" i="13"/>
  <c r="C166" i="13"/>
  <c r="S166" i="13"/>
  <c r="H167" i="13"/>
  <c r="X167" i="13"/>
  <c r="M168" i="13"/>
  <c r="G168" i="22" s="1"/>
  <c r="AC168" i="13"/>
  <c r="R169" i="13"/>
  <c r="C170" i="13"/>
  <c r="R170" i="13"/>
  <c r="B171" i="13"/>
  <c r="P171" i="13"/>
  <c r="AC171" i="13"/>
  <c r="J172" i="13"/>
  <c r="V172" i="13"/>
  <c r="C173" i="13"/>
  <c r="O173" i="13"/>
  <c r="AA173" i="13"/>
  <c r="H174" i="13"/>
  <c r="T174" i="13"/>
  <c r="K174" i="16" s="1"/>
  <c r="A175" i="13"/>
  <c r="M175" i="13"/>
  <c r="Y175" i="13"/>
  <c r="F176" i="13"/>
  <c r="R176" i="13"/>
  <c r="AD176" i="13"/>
  <c r="K177" i="13"/>
  <c r="W177" i="13"/>
  <c r="D178" i="13"/>
  <c r="P178" i="13"/>
  <c r="AB178" i="13"/>
  <c r="P178" i="22" s="1"/>
  <c r="I31" i="13"/>
  <c r="F31" i="22" s="1"/>
  <c r="AE49" i="13"/>
  <c r="R59" i="13"/>
  <c r="Y63" i="13"/>
  <c r="P67" i="13"/>
  <c r="AE70" i="13"/>
  <c r="H74" i="13"/>
  <c r="B77" i="13"/>
  <c r="B80" i="13"/>
  <c r="V82" i="13"/>
  <c r="Q85" i="13"/>
  <c r="F88" i="13"/>
  <c r="A91" i="13"/>
  <c r="I93" i="13"/>
  <c r="N95" i="13"/>
  <c r="I97" i="13"/>
  <c r="H99" i="13"/>
  <c r="C101" i="13"/>
  <c r="B103" i="13"/>
  <c r="AA104" i="13"/>
  <c r="Z106" i="13"/>
  <c r="U108" i="13"/>
  <c r="T110" i="13"/>
  <c r="K110" i="22" s="1"/>
  <c r="O112" i="13"/>
  <c r="N114" i="13"/>
  <c r="E116" i="13"/>
  <c r="V117" i="13"/>
  <c r="H119" i="13"/>
  <c r="X120" i="13"/>
  <c r="AD121" i="13"/>
  <c r="J123" i="13"/>
  <c r="P124" i="13"/>
  <c r="O125" i="13"/>
  <c r="X126" i="13"/>
  <c r="A128" i="13"/>
  <c r="C129" i="13"/>
  <c r="D130" i="13"/>
  <c r="I131" i="13"/>
  <c r="L132" i="13"/>
  <c r="AC33" i="13"/>
  <c r="G51" i="13"/>
  <c r="Q60" i="13"/>
  <c r="M64" i="13"/>
  <c r="AE67" i="13"/>
  <c r="P71" i="13"/>
  <c r="W74" i="13"/>
  <c r="S77" i="13"/>
  <c r="P80" i="13"/>
  <c r="E83" i="13"/>
  <c r="E83" i="22" s="1"/>
  <c r="AE85" i="13"/>
  <c r="T88" i="13"/>
  <c r="P91" i="13"/>
  <c r="U93" i="13"/>
  <c r="X95" i="13"/>
  <c r="S97" i="13"/>
  <c r="R99" i="13"/>
  <c r="L101" i="13"/>
  <c r="K103" i="13"/>
  <c r="F105" i="13"/>
  <c r="E107" i="13"/>
  <c r="AE108" i="13"/>
  <c r="S108" i="22" s="1"/>
  <c r="AD110" i="13"/>
  <c r="Y112" i="13"/>
  <c r="X114" i="13"/>
  <c r="M116" i="13"/>
  <c r="AD117" i="13"/>
  <c r="P119" i="13"/>
  <c r="A121" i="13"/>
  <c r="AE121" i="13"/>
  <c r="L123" i="13"/>
  <c r="Q124" i="13"/>
  <c r="S125" i="13"/>
  <c r="AB126" i="13"/>
  <c r="B128" i="13"/>
  <c r="H129" i="13"/>
  <c r="F130" i="13"/>
  <c r="M131" i="13"/>
  <c r="M132" i="13"/>
  <c r="L133" i="13"/>
  <c r="R134" i="13"/>
  <c r="S135" i="13"/>
  <c r="Q136" i="13"/>
  <c r="J137" i="13"/>
  <c r="J138" i="13"/>
  <c r="F139" i="13"/>
  <c r="AB139" i="13"/>
  <c r="S140" i="13"/>
  <c r="I141" i="13"/>
  <c r="AE141" i="13"/>
  <c r="R142" i="13"/>
  <c r="I143" i="13"/>
  <c r="AD143" i="13"/>
  <c r="Q144" i="13"/>
  <c r="H145" i="13"/>
  <c r="AC145" i="13"/>
  <c r="T146" i="13"/>
  <c r="G147" i="13"/>
  <c r="AC147" i="13"/>
  <c r="S148" i="13"/>
  <c r="F149" i="13"/>
  <c r="AB149" i="13"/>
  <c r="R150" i="13"/>
  <c r="I151" i="13"/>
  <c r="AA151" i="13"/>
  <c r="R152" i="13"/>
  <c r="H153" i="13"/>
  <c r="Z153" i="13"/>
  <c r="Q154" i="13"/>
  <c r="G155" i="13"/>
  <c r="AC155" i="13"/>
  <c r="P156" i="13"/>
  <c r="G157" i="13"/>
  <c r="AB157" i="13"/>
  <c r="O158" i="13"/>
  <c r="F159" i="13"/>
  <c r="AA159" i="13"/>
  <c r="R160" i="13"/>
  <c r="E161" i="13"/>
  <c r="AA161" i="13"/>
  <c r="Q162" i="13"/>
  <c r="D163" i="13"/>
  <c r="Z163" i="13"/>
  <c r="O164" i="13"/>
  <c r="AE164" i="13"/>
  <c r="T165" i="13"/>
  <c r="E166" i="13"/>
  <c r="Y166" i="13"/>
  <c r="J167" i="13"/>
  <c r="AD167" i="13"/>
  <c r="O168" i="13"/>
  <c r="D169" i="13"/>
  <c r="D169" i="22" s="1"/>
  <c r="T169" i="13"/>
  <c r="F170" i="13"/>
  <c r="U170" i="13"/>
  <c r="D171" i="13"/>
  <c r="R171" i="13"/>
  <c r="AE171" i="13"/>
  <c r="L172" i="13"/>
  <c r="X172" i="13"/>
  <c r="E173" i="13"/>
  <c r="AA22" i="13"/>
  <c r="M73" i="13"/>
  <c r="H90" i="13"/>
  <c r="Q102" i="13"/>
  <c r="AD113" i="13"/>
  <c r="R113" i="16" s="1"/>
  <c r="X122" i="13"/>
  <c r="AD129" i="13"/>
  <c r="D135" i="13"/>
  <c r="Y138" i="13"/>
  <c r="U141" i="13"/>
  <c r="K144" i="13"/>
  <c r="A147" i="13"/>
  <c r="R149" i="13"/>
  <c r="H152" i="13"/>
  <c r="AC154" i="13"/>
  <c r="AB156" i="13"/>
  <c r="AA158" i="13"/>
  <c r="O158" i="16" s="1"/>
  <c r="AD160" i="13"/>
  <c r="AC162" i="13"/>
  <c r="U164" i="13"/>
  <c r="Z165" i="13"/>
  <c r="AE166" i="13"/>
  <c r="E168" i="13"/>
  <c r="H169" i="13"/>
  <c r="E170" i="13"/>
  <c r="Y170" i="13"/>
  <c r="Q171" i="13"/>
  <c r="D172" i="13"/>
  <c r="W172" i="13"/>
  <c r="I173" i="13"/>
  <c r="X173" i="13"/>
  <c r="K174" i="13"/>
  <c r="Z174" i="13"/>
  <c r="J175" i="13"/>
  <c r="AB175" i="13"/>
  <c r="L176" i="13"/>
  <c r="AA176" i="13"/>
  <c r="N177" i="13"/>
  <c r="AC177" i="13"/>
  <c r="M178" i="13"/>
  <c r="AE178" i="13"/>
  <c r="S178" i="22" s="1"/>
  <c r="N179" i="13"/>
  <c r="AA179" i="13"/>
  <c r="I180" i="13"/>
  <c r="V180" i="13"/>
  <c r="C181" i="13"/>
  <c r="O181" i="13"/>
  <c r="AA181" i="13"/>
  <c r="H182" i="13"/>
  <c r="T182" i="13"/>
  <c r="A183" i="13"/>
  <c r="M183" i="13"/>
  <c r="Y183" i="13"/>
  <c r="M183" i="16" s="1"/>
  <c r="F184" i="13"/>
  <c r="R184" i="13"/>
  <c r="AD184" i="13"/>
  <c r="K185" i="13"/>
  <c r="W185" i="13"/>
  <c r="D186" i="13"/>
  <c r="P186" i="13"/>
  <c r="AB186" i="13"/>
  <c r="I187" i="13"/>
  <c r="U187" i="13"/>
  <c r="B188" i="13"/>
  <c r="N188" i="13"/>
  <c r="H188" i="22" s="1"/>
  <c r="Z188" i="13"/>
  <c r="G189" i="13"/>
  <c r="S189" i="13"/>
  <c r="AE189" i="13"/>
  <c r="L190" i="13"/>
  <c r="X190" i="13"/>
  <c r="E191" i="13"/>
  <c r="Q191" i="13"/>
  <c r="AC191" i="13"/>
  <c r="J192" i="13"/>
  <c r="V192" i="13"/>
  <c r="C193" i="13"/>
  <c r="O193" i="13"/>
  <c r="AA193" i="13"/>
  <c r="H194" i="13"/>
  <c r="T194" i="13"/>
  <c r="A195" i="13"/>
  <c r="M195" i="13"/>
  <c r="Y195" i="13"/>
  <c r="F196" i="13"/>
  <c r="R196" i="13"/>
  <c r="AD196" i="13"/>
  <c r="K197" i="13"/>
  <c r="W197" i="13"/>
  <c r="X39" i="13"/>
  <c r="AD74" i="13"/>
  <c r="U91" i="13"/>
  <c r="Q103" i="13"/>
  <c r="AC114" i="13"/>
  <c r="M123" i="13"/>
  <c r="H130" i="13"/>
  <c r="Q135" i="13"/>
  <c r="E139" i="13"/>
  <c r="Z141" i="13"/>
  <c r="P144" i="13"/>
  <c r="F147" i="13"/>
  <c r="AA149" i="13"/>
  <c r="P152" i="13"/>
  <c r="F155" i="13"/>
  <c r="E157" i="13"/>
  <c r="E159" i="13"/>
  <c r="D161" i="13"/>
  <c r="C163" i="13"/>
  <c r="Z164" i="13"/>
  <c r="AE165" i="13"/>
  <c r="E167" i="13"/>
  <c r="E167" i="16" s="1"/>
  <c r="J168" i="13"/>
  <c r="I169" i="13"/>
  <c r="F169" i="16" s="1"/>
  <c r="H170" i="13"/>
  <c r="Z170" i="13"/>
  <c r="S171" i="13"/>
  <c r="E172" i="13"/>
  <c r="Y172" i="13"/>
  <c r="J173" i="13"/>
  <c r="AB173" i="13"/>
  <c r="L174" i="13"/>
  <c r="AA174" i="13"/>
  <c r="N175" i="13"/>
  <c r="H175" i="22" s="1"/>
  <c r="AC175" i="13"/>
  <c r="M176" i="13"/>
  <c r="G176" i="22" s="1"/>
  <c r="AE176" i="13"/>
  <c r="O177" i="13"/>
  <c r="AD177" i="13"/>
  <c r="Q178" i="13"/>
  <c r="A179" i="13"/>
  <c r="O179" i="13"/>
  <c r="AB179" i="13"/>
  <c r="J180" i="13"/>
  <c r="W180" i="13"/>
  <c r="D181" i="13"/>
  <c r="P181" i="13"/>
  <c r="AB181" i="13"/>
  <c r="I182" i="13"/>
  <c r="U182" i="13"/>
  <c r="B183" i="13"/>
  <c r="N183" i="13"/>
  <c r="Z183" i="13"/>
  <c r="G184" i="13"/>
  <c r="S184" i="13"/>
  <c r="AE184" i="13"/>
  <c r="L185" i="13"/>
  <c r="X185" i="13"/>
  <c r="E186" i="13"/>
  <c r="Q186" i="13"/>
  <c r="AC186" i="13"/>
  <c r="J187" i="13"/>
  <c r="V187" i="13"/>
  <c r="C188" i="13"/>
  <c r="O188" i="13"/>
  <c r="AA188" i="13"/>
  <c r="H189" i="13"/>
  <c r="T189" i="13"/>
  <c r="A190" i="13"/>
  <c r="M190" i="13"/>
  <c r="Y190" i="13"/>
  <c r="F191" i="13"/>
  <c r="R191" i="13"/>
  <c r="AD191" i="13"/>
  <c r="K192" i="13"/>
  <c r="W192" i="13"/>
  <c r="D193" i="13"/>
  <c r="P193" i="13"/>
  <c r="AB193" i="13"/>
  <c r="I194" i="13"/>
  <c r="U194" i="13"/>
  <c r="B195" i="13"/>
  <c r="N195" i="13"/>
  <c r="Z195" i="13"/>
  <c r="N195" i="16" s="1"/>
  <c r="G196" i="13"/>
  <c r="Y45" i="13"/>
  <c r="J76" i="13"/>
  <c r="W92" i="13"/>
  <c r="L104" i="13"/>
  <c r="W115" i="13"/>
  <c r="B124" i="13"/>
  <c r="AA130" i="13"/>
  <c r="V135" i="13"/>
  <c r="G139" i="13"/>
  <c r="A142" i="13"/>
  <c r="V144" i="13"/>
  <c r="H147" i="13"/>
  <c r="AC149" i="13"/>
  <c r="S152" i="13"/>
  <c r="I155" i="13"/>
  <c r="H157" i="13"/>
  <c r="G159" i="13"/>
  <c r="F161" i="13"/>
  <c r="I163" i="13"/>
  <c r="AD164" i="13"/>
  <c r="D166" i="13"/>
  <c r="D166" i="16" s="1"/>
  <c r="I167" i="13"/>
  <c r="N168" i="13"/>
  <c r="H168" i="22" s="1"/>
  <c r="J169" i="13"/>
  <c r="I170" i="13"/>
  <c r="AA170" i="13"/>
  <c r="T171" i="13"/>
  <c r="F172" i="13"/>
  <c r="Z172" i="13"/>
  <c r="K173" i="13"/>
  <c r="AC173" i="13"/>
  <c r="M174" i="13"/>
  <c r="AB174" i="13"/>
  <c r="P174" i="22" s="1"/>
  <c r="O175" i="13"/>
  <c r="AD175" i="13"/>
  <c r="R175" i="16" s="1"/>
  <c r="N176" i="13"/>
  <c r="A177" i="13"/>
  <c r="P177" i="13"/>
  <c r="AE177" i="13"/>
  <c r="R178" i="13"/>
  <c r="B179" i="13"/>
  <c r="P179" i="13"/>
  <c r="AC179" i="13"/>
  <c r="K180" i="13"/>
  <c r="X180" i="13"/>
  <c r="L180" i="22" s="1"/>
  <c r="E181" i="13"/>
  <c r="Q181" i="13"/>
  <c r="AC181" i="13"/>
  <c r="J182" i="13"/>
  <c r="V182" i="13"/>
  <c r="C183" i="13"/>
  <c r="O183" i="13"/>
  <c r="AD52" i="13"/>
  <c r="C78" i="13"/>
  <c r="B94" i="13"/>
  <c r="P105" i="13"/>
  <c r="R116" i="13"/>
  <c r="R124" i="13"/>
  <c r="N131" i="13"/>
  <c r="H131" i="22" s="1"/>
  <c r="D136" i="13"/>
  <c r="T139" i="13"/>
  <c r="L142" i="13"/>
  <c r="AC144" i="13"/>
  <c r="S147" i="13"/>
  <c r="I150" i="13"/>
  <c r="AD152" i="13"/>
  <c r="R155" i="13"/>
  <c r="Q157" i="13"/>
  <c r="Q159" i="13"/>
  <c r="P161" i="13"/>
  <c r="O163" i="13"/>
  <c r="I163" i="22" s="1"/>
  <c r="A165" i="13"/>
  <c r="F166" i="13"/>
  <c r="K167" i="13"/>
  <c r="P168" i="13"/>
  <c r="O169" i="13"/>
  <c r="J170" i="13"/>
  <c r="AC170" i="13"/>
  <c r="U171" i="13"/>
  <c r="G172" i="13"/>
  <c r="AA172" i="13"/>
  <c r="O172" i="22" s="1"/>
  <c r="L173" i="13"/>
  <c r="AD173" i="13"/>
  <c r="R173" i="16" s="1"/>
  <c r="N174" i="13"/>
  <c r="AC174" i="13"/>
  <c r="P175" i="13"/>
  <c r="AE175" i="13"/>
  <c r="O176" i="13"/>
  <c r="B177" i="13"/>
  <c r="Q177" i="13"/>
  <c r="A178" i="13"/>
  <c r="S178" i="13"/>
  <c r="C179" i="13"/>
  <c r="Q179" i="13"/>
  <c r="AD179" i="13"/>
  <c r="R179" i="22" s="1"/>
  <c r="M180" i="13"/>
  <c r="Y180" i="13"/>
  <c r="F181" i="13"/>
  <c r="R181" i="13"/>
  <c r="AD181" i="13"/>
  <c r="K182" i="13"/>
  <c r="W182" i="13"/>
  <c r="D183" i="13"/>
  <c r="P183" i="13"/>
  <c r="AB183" i="13"/>
  <c r="P183" i="22" s="1"/>
  <c r="I184" i="13"/>
  <c r="U184" i="13"/>
  <c r="B185" i="13"/>
  <c r="N185" i="13"/>
  <c r="Z185" i="13"/>
  <c r="G186" i="13"/>
  <c r="S186" i="13"/>
  <c r="AE186" i="13"/>
  <c r="L187" i="13"/>
  <c r="X187" i="13"/>
  <c r="E188" i="13"/>
  <c r="Q188" i="13"/>
  <c r="AC188" i="13"/>
  <c r="J189" i="13"/>
  <c r="V189" i="13"/>
  <c r="C190" i="13"/>
  <c r="O190" i="13"/>
  <c r="AA190" i="13"/>
  <c r="H191" i="13"/>
  <c r="T191" i="13"/>
  <c r="A192" i="13"/>
  <c r="M192" i="13"/>
  <c r="Y192" i="13"/>
  <c r="F193" i="13"/>
  <c r="R193" i="13"/>
  <c r="AD193" i="13"/>
  <c r="R193" i="16" s="1"/>
  <c r="K194" i="13"/>
  <c r="W194" i="13"/>
  <c r="D195" i="13"/>
  <c r="P195" i="13"/>
  <c r="AB195" i="13"/>
  <c r="I196" i="13"/>
  <c r="X62" i="13"/>
  <c r="A82" i="13"/>
  <c r="X96" i="13"/>
  <c r="F108" i="13"/>
  <c r="Z118" i="13"/>
  <c r="F126" i="13"/>
  <c r="A133" i="13"/>
  <c r="D137" i="13"/>
  <c r="I140" i="13"/>
  <c r="AD142" i="13"/>
  <c r="T145" i="13"/>
  <c r="J148" i="13"/>
  <c r="AD150" i="13"/>
  <c r="T153" i="13"/>
  <c r="AD155" i="13"/>
  <c r="AC157" i="13"/>
  <c r="Q157" i="22" s="1"/>
  <c r="AC159" i="13"/>
  <c r="AB161" i="13"/>
  <c r="P161" i="22" s="1"/>
  <c r="AA163" i="13"/>
  <c r="J165" i="13"/>
  <c r="O166" i="13"/>
  <c r="T167" i="13"/>
  <c r="Y168" i="13"/>
  <c r="V169" i="13"/>
  <c r="M170" i="13"/>
  <c r="F171" i="13"/>
  <c r="Y171" i="13"/>
  <c r="N172" i="13"/>
  <c r="H172" i="22" s="1"/>
  <c r="AD172" i="13"/>
  <c r="R173" i="13"/>
  <c r="B174" i="13"/>
  <c r="Q174" i="13"/>
  <c r="D175" i="13"/>
  <c r="S175" i="13"/>
  <c r="C176" i="13"/>
  <c r="U176" i="13"/>
  <c r="E177" i="13"/>
  <c r="T177" i="13"/>
  <c r="G178" i="13"/>
  <c r="V178" i="13"/>
  <c r="F179" i="13"/>
  <c r="U179" i="13"/>
  <c r="C180" i="13"/>
  <c r="P180" i="13"/>
  <c r="AB180" i="13"/>
  <c r="I181" i="13"/>
  <c r="U181" i="13"/>
  <c r="B182" i="13"/>
  <c r="N182" i="13"/>
  <c r="Z182" i="13"/>
  <c r="G183" i="13"/>
  <c r="S183" i="13"/>
  <c r="AE183" i="13"/>
  <c r="L184" i="13"/>
  <c r="X184" i="13"/>
  <c r="E185" i="13"/>
  <c r="Q185" i="13"/>
  <c r="AC185" i="13"/>
  <c r="J186" i="13"/>
  <c r="V186" i="13"/>
  <c r="C187" i="13"/>
  <c r="O187" i="13"/>
  <c r="AA187" i="13"/>
  <c r="H188" i="13"/>
  <c r="T188" i="13"/>
  <c r="A189" i="13"/>
  <c r="M189" i="13"/>
  <c r="Y189" i="13"/>
  <c r="F190" i="13"/>
  <c r="R190" i="13"/>
  <c r="AD190" i="13"/>
  <c r="K191" i="13"/>
  <c r="W191" i="13"/>
  <c r="D192" i="13"/>
  <c r="P192" i="13"/>
  <c r="AB192" i="13"/>
  <c r="I193" i="13"/>
  <c r="U193" i="13"/>
  <c r="B194" i="13"/>
  <c r="N194" i="13"/>
  <c r="Z194" i="13"/>
  <c r="G195" i="13"/>
  <c r="S195" i="13"/>
  <c r="AE195" i="13"/>
  <c r="L196" i="13"/>
  <c r="X196" i="13"/>
  <c r="E197" i="13"/>
  <c r="Q197" i="13"/>
  <c r="AC197" i="13"/>
  <c r="J198" i="13"/>
  <c r="V198" i="13"/>
  <c r="C199" i="13"/>
  <c r="O199" i="13"/>
  <c r="AA199" i="13"/>
  <c r="H200" i="13"/>
  <c r="T200" i="13"/>
  <c r="A201" i="13"/>
  <c r="M201" i="13"/>
  <c r="Y201" i="13"/>
  <c r="F202" i="13"/>
  <c r="R202" i="13"/>
  <c r="AD202" i="13"/>
  <c r="R202" i="16" s="1"/>
  <c r="K203" i="13"/>
  <c r="W203" i="13"/>
  <c r="D204" i="13"/>
  <c r="P204" i="13"/>
  <c r="AB204" i="13"/>
  <c r="I205" i="13"/>
  <c r="U205" i="13"/>
  <c r="B206" i="13"/>
  <c r="N206" i="13"/>
  <c r="Z206" i="13"/>
  <c r="N206" i="22" s="1"/>
  <c r="G207" i="13"/>
  <c r="S207" i="13"/>
  <c r="AE207" i="13"/>
  <c r="L208" i="13"/>
  <c r="X208" i="13"/>
  <c r="E209" i="13"/>
  <c r="Q209" i="13"/>
  <c r="AC209" i="13"/>
  <c r="J210" i="13"/>
  <c r="V210" i="13"/>
  <c r="C211" i="13"/>
  <c r="O211" i="13"/>
  <c r="AA211" i="13"/>
  <c r="H212" i="13"/>
  <c r="T212" i="13"/>
  <c r="A213" i="13"/>
  <c r="M213" i="13"/>
  <c r="Z64" i="13"/>
  <c r="S83" i="13"/>
  <c r="AB97" i="13"/>
  <c r="J109" i="13"/>
  <c r="U119" i="13"/>
  <c r="AC126" i="13"/>
  <c r="K133" i="13"/>
  <c r="I137" i="13"/>
  <c r="R140" i="13"/>
  <c r="G143" i="13"/>
  <c r="AB145" i="13"/>
  <c r="R148" i="13"/>
  <c r="D151" i="13"/>
  <c r="Y153" i="13"/>
  <c r="E156" i="13"/>
  <c r="H158" i="13"/>
  <c r="G160" i="13"/>
  <c r="F162" i="13"/>
  <c r="E164" i="13"/>
  <c r="K165" i="13"/>
  <c r="P166" i="13"/>
  <c r="J166" i="22" s="1"/>
  <c r="U167" i="13"/>
  <c r="Z168" i="13"/>
  <c r="AA169" i="13"/>
  <c r="N170" i="13"/>
  <c r="G171" i="13"/>
  <c r="Z171" i="13"/>
  <c r="O172" i="13"/>
  <c r="AE172" i="13"/>
  <c r="S173" i="13"/>
  <c r="C174" i="13"/>
  <c r="U174" i="13"/>
  <c r="E175" i="13"/>
  <c r="E175" i="16" s="1"/>
  <c r="T175" i="13"/>
  <c r="G176" i="13"/>
  <c r="V176" i="13"/>
  <c r="F177" i="13"/>
  <c r="X177" i="13"/>
  <c r="H178" i="13"/>
  <c r="W178" i="13"/>
  <c r="I179" i="13"/>
  <c r="V179" i="13"/>
  <c r="D180" i="13"/>
  <c r="D180" i="16" s="1"/>
  <c r="Q180" i="13"/>
  <c r="AC180" i="13"/>
  <c r="Q180" i="22" s="1"/>
  <c r="J181" i="13"/>
  <c r="V181" i="13"/>
  <c r="C182" i="13"/>
  <c r="O182" i="13"/>
  <c r="AA182" i="13"/>
  <c r="H183" i="13"/>
  <c r="T183" i="13"/>
  <c r="A184" i="13"/>
  <c r="M184" i="13"/>
  <c r="Y184" i="13"/>
  <c r="M184" i="16" s="1"/>
  <c r="F185" i="13"/>
  <c r="R185" i="13"/>
  <c r="AD185" i="13"/>
  <c r="K186" i="13"/>
  <c r="W186" i="13"/>
  <c r="D187" i="13"/>
  <c r="P187" i="13"/>
  <c r="AB187" i="13"/>
  <c r="I188" i="13"/>
  <c r="U188" i="13"/>
  <c r="B189" i="13"/>
  <c r="N189" i="13"/>
  <c r="H189" i="22" s="1"/>
  <c r="Z189" i="13"/>
  <c r="G190" i="13"/>
  <c r="S190" i="13"/>
  <c r="AE190" i="13"/>
  <c r="L191" i="13"/>
  <c r="X191" i="13"/>
  <c r="E192" i="13"/>
  <c r="Q192" i="13"/>
  <c r="AC192" i="13"/>
  <c r="J193" i="13"/>
  <c r="V193" i="13"/>
  <c r="C194" i="13"/>
  <c r="O194" i="13"/>
  <c r="AA194" i="13"/>
  <c r="O194" i="16" s="1"/>
  <c r="H195" i="13"/>
  <c r="T195" i="13"/>
  <c r="A196" i="13"/>
  <c r="M196" i="13"/>
  <c r="Y196" i="13"/>
  <c r="F197" i="13"/>
  <c r="R197" i="13"/>
  <c r="AD197" i="13"/>
  <c r="K198" i="13"/>
  <c r="W198" i="13"/>
  <c r="D199" i="13"/>
  <c r="P199" i="13"/>
  <c r="J199" i="22" s="1"/>
  <c r="AB199" i="13"/>
  <c r="I200" i="13"/>
  <c r="U200" i="13"/>
  <c r="B201" i="13"/>
  <c r="N201" i="13"/>
  <c r="Z201" i="13"/>
  <c r="G202" i="13"/>
  <c r="S202" i="13"/>
  <c r="AE202" i="13"/>
  <c r="L203" i="13"/>
  <c r="X203" i="13"/>
  <c r="E204" i="13"/>
  <c r="E204" i="22" s="1"/>
  <c r="Q204" i="13"/>
  <c r="AC204" i="13"/>
  <c r="J205" i="13"/>
  <c r="V205" i="13"/>
  <c r="C206" i="13"/>
  <c r="O206" i="13"/>
  <c r="AA206" i="13"/>
  <c r="H207" i="13"/>
  <c r="T207" i="13"/>
  <c r="A208" i="13"/>
  <c r="M208" i="13"/>
  <c r="Y208" i="13"/>
  <c r="M208" i="22" s="1"/>
  <c r="F209" i="13"/>
  <c r="W66" i="13"/>
  <c r="AC84" i="13"/>
  <c r="X98" i="13"/>
  <c r="E110" i="13"/>
  <c r="L120" i="13"/>
  <c r="R127" i="13"/>
  <c r="U133" i="13"/>
  <c r="K137" i="13"/>
  <c r="T140" i="13"/>
  <c r="J143" i="13"/>
  <c r="AE145" i="13"/>
  <c r="T148" i="13"/>
  <c r="J151" i="13"/>
  <c r="AE153" i="13"/>
  <c r="J156" i="13"/>
  <c r="I158" i="13"/>
  <c r="H160" i="13"/>
  <c r="H162" i="13"/>
  <c r="F164" i="13"/>
  <c r="S165" i="13"/>
  <c r="X166" i="13"/>
  <c r="AC167" i="13"/>
  <c r="C169" i="13"/>
  <c r="AB169" i="13"/>
  <c r="T170" i="13"/>
  <c r="H171" i="13"/>
  <c r="AD171" i="13"/>
  <c r="P172" i="13"/>
  <c r="D173" i="13"/>
  <c r="T173" i="13"/>
  <c r="D174" i="13"/>
  <c r="V174" i="13"/>
  <c r="F175" i="13"/>
  <c r="U175" i="13"/>
  <c r="H176" i="13"/>
  <c r="W176" i="13"/>
  <c r="G177" i="13"/>
  <c r="Y177" i="13"/>
  <c r="I178" i="13"/>
  <c r="X178" i="13"/>
  <c r="J179" i="13"/>
  <c r="W179" i="13"/>
  <c r="E180" i="13"/>
  <c r="R180" i="13"/>
  <c r="AD180" i="13"/>
  <c r="R180" i="16" s="1"/>
  <c r="K181" i="13"/>
  <c r="W181" i="13"/>
  <c r="D182" i="13"/>
  <c r="P182" i="13"/>
  <c r="AB182" i="13"/>
  <c r="I183" i="13"/>
  <c r="U183" i="13"/>
  <c r="B184" i="13"/>
  <c r="N184" i="13"/>
  <c r="Z184" i="13"/>
  <c r="G185" i="13"/>
  <c r="S185" i="13"/>
  <c r="AE185" i="13"/>
  <c r="L186" i="13"/>
  <c r="X186" i="13"/>
  <c r="E187" i="13"/>
  <c r="E187" i="22" s="1"/>
  <c r="Q187" i="13"/>
  <c r="AC187" i="13"/>
  <c r="J188" i="13"/>
  <c r="V188" i="13"/>
  <c r="C189" i="13"/>
  <c r="O189" i="13"/>
  <c r="AA189" i="13"/>
  <c r="H190" i="13"/>
  <c r="T190" i="13"/>
  <c r="A191" i="13"/>
  <c r="M191" i="13"/>
  <c r="Y191" i="13"/>
  <c r="F192" i="13"/>
  <c r="R192" i="13"/>
  <c r="AD192" i="13"/>
  <c r="K193" i="13"/>
  <c r="W193" i="13"/>
  <c r="D194" i="13"/>
  <c r="P194" i="13"/>
  <c r="AB194" i="13"/>
  <c r="P194" i="22" s="1"/>
  <c r="V68" i="13"/>
  <c r="H86" i="13"/>
  <c r="W99" i="13"/>
  <c r="E111" i="13"/>
  <c r="B121" i="13"/>
  <c r="D128" i="13"/>
  <c r="AC133" i="13"/>
  <c r="AB137" i="13"/>
  <c r="AE140" i="13"/>
  <c r="U143" i="13"/>
  <c r="J146" i="13"/>
  <c r="AE148" i="13"/>
  <c r="S148" i="22" s="1"/>
  <c r="U151" i="13"/>
  <c r="G154" i="13"/>
  <c r="O156" i="13"/>
  <c r="N158" i="13"/>
  <c r="M160" i="13"/>
  <c r="P162" i="13"/>
  <c r="N164" i="13"/>
  <c r="U165" i="13"/>
  <c r="Z166" i="13"/>
  <c r="AE167" i="13"/>
  <c r="E169" i="13"/>
  <c r="AC169" i="13"/>
  <c r="Q169" i="22" s="1"/>
  <c r="V170" i="13"/>
  <c r="J171" i="13"/>
  <c r="A172" i="13"/>
  <c r="Q172" i="13"/>
  <c r="F173" i="13"/>
  <c r="U173" i="13"/>
  <c r="E174" i="13"/>
  <c r="W174" i="13"/>
  <c r="G175" i="13"/>
  <c r="V175" i="13"/>
  <c r="I176" i="13"/>
  <c r="X176" i="13"/>
  <c r="L176" i="22" s="1"/>
  <c r="H177" i="13"/>
  <c r="Z177" i="13"/>
  <c r="N177" i="22" s="1"/>
  <c r="J178" i="13"/>
  <c r="Y178" i="13"/>
  <c r="K179" i="13"/>
  <c r="X179" i="13"/>
  <c r="F180" i="13"/>
  <c r="S180" i="13"/>
  <c r="AE180" i="13"/>
  <c r="L181" i="13"/>
  <c r="X181" i="13"/>
  <c r="E182" i="13"/>
  <c r="E182" i="16" s="1"/>
  <c r="Q182" i="13"/>
  <c r="AC182" i="13"/>
  <c r="J183" i="13"/>
  <c r="V183" i="13"/>
  <c r="C184" i="13"/>
  <c r="O184" i="13"/>
  <c r="AA184" i="13"/>
  <c r="H185" i="13"/>
  <c r="T185" i="13"/>
  <c r="A186" i="13"/>
  <c r="M186" i="13"/>
  <c r="Y186" i="13"/>
  <c r="F187" i="13"/>
  <c r="R187" i="13"/>
  <c r="AD187" i="13"/>
  <c r="K188" i="13"/>
  <c r="W188" i="13"/>
  <c r="D189" i="13"/>
  <c r="P189" i="13"/>
  <c r="AB189" i="13"/>
  <c r="I190" i="13"/>
  <c r="U190" i="13"/>
  <c r="B191" i="13"/>
  <c r="N191" i="13"/>
  <c r="Z191" i="13"/>
  <c r="G192" i="13"/>
  <c r="S192" i="13"/>
  <c r="AE192" i="13"/>
  <c r="L193" i="13"/>
  <c r="X193" i="13"/>
  <c r="E194" i="13"/>
  <c r="Q194" i="13"/>
  <c r="AC194" i="13"/>
  <c r="J195" i="13"/>
  <c r="V195" i="13"/>
  <c r="C196" i="13"/>
  <c r="O196" i="13"/>
  <c r="AA196" i="13"/>
  <c r="O196" i="22" s="1"/>
  <c r="H197" i="13"/>
  <c r="T197" i="13"/>
  <c r="A198" i="13"/>
  <c r="M198" i="13"/>
  <c r="Y198" i="13"/>
  <c r="F199" i="13"/>
  <c r="R199" i="13"/>
  <c r="AD199" i="13"/>
  <c r="K200" i="13"/>
  <c r="W200" i="13"/>
  <c r="D201" i="13"/>
  <c r="P201" i="13"/>
  <c r="J201" i="16" s="1"/>
  <c r="AB201" i="13"/>
  <c r="I202" i="13"/>
  <c r="U202" i="13"/>
  <c r="B203" i="13"/>
  <c r="N203" i="13"/>
  <c r="Z203" i="13"/>
  <c r="G204" i="13"/>
  <c r="S204" i="13"/>
  <c r="AE204" i="13"/>
  <c r="L205" i="13"/>
  <c r="X205" i="13"/>
  <c r="E206" i="13"/>
  <c r="E206" i="22" s="1"/>
  <c r="Q206" i="13"/>
  <c r="AC206" i="13"/>
  <c r="J207" i="13"/>
  <c r="V207" i="13"/>
  <c r="C208" i="13"/>
  <c r="O208" i="13"/>
  <c r="AA208" i="13"/>
  <c r="H209" i="13"/>
  <c r="T209" i="13"/>
  <c r="A210" i="13"/>
  <c r="M210" i="13"/>
  <c r="Y210" i="13"/>
  <c r="M210" i="16" s="1"/>
  <c r="F211" i="13"/>
  <c r="R211" i="13"/>
  <c r="AD211" i="13"/>
  <c r="K212" i="13"/>
  <c r="W212" i="13"/>
  <c r="D213" i="13"/>
  <c r="P213" i="13"/>
  <c r="A70" i="13"/>
  <c r="AE71" i="13"/>
  <c r="T57" i="13"/>
  <c r="K57" i="22" s="1"/>
  <c r="AE111" i="13"/>
  <c r="L134" i="13"/>
  <c r="AC143" i="13"/>
  <c r="Z151" i="13"/>
  <c r="N151" i="22" s="1"/>
  <c r="T158" i="13"/>
  <c r="P164" i="13"/>
  <c r="C168" i="13"/>
  <c r="W170" i="13"/>
  <c r="R172" i="13"/>
  <c r="I174" i="13"/>
  <c r="Z175" i="13"/>
  <c r="L177" i="13"/>
  <c r="AC178" i="13"/>
  <c r="G180" i="13"/>
  <c r="M181" i="13"/>
  <c r="R182" i="13"/>
  <c r="W183" i="13"/>
  <c r="T184" i="13"/>
  <c r="P185" i="13"/>
  <c r="O186" i="13"/>
  <c r="M187" i="13"/>
  <c r="L188" i="13"/>
  <c r="I189" i="13"/>
  <c r="E190" i="13"/>
  <c r="D191" i="13"/>
  <c r="D191" i="16" s="1"/>
  <c r="B192" i="13"/>
  <c r="A193" i="13"/>
  <c r="AC193" i="13"/>
  <c r="Y194" i="13"/>
  <c r="U195" i="13"/>
  <c r="N196" i="13"/>
  <c r="A197" i="13"/>
  <c r="S197" i="13"/>
  <c r="E198" i="13"/>
  <c r="T198" i="13"/>
  <c r="G199" i="13"/>
  <c r="V199" i="13"/>
  <c r="F200" i="13"/>
  <c r="X200" i="13"/>
  <c r="H201" i="13"/>
  <c r="W201" i="13"/>
  <c r="J202" i="13"/>
  <c r="Y202" i="13"/>
  <c r="I203" i="13"/>
  <c r="AA203" i="13"/>
  <c r="K204" i="13"/>
  <c r="Z204" i="13"/>
  <c r="M205" i="13"/>
  <c r="AB205" i="13"/>
  <c r="L206" i="13"/>
  <c r="AD206" i="13"/>
  <c r="N207" i="13"/>
  <c r="AC207" i="13"/>
  <c r="P208" i="13"/>
  <c r="AE208" i="13"/>
  <c r="O209" i="13"/>
  <c r="AD209" i="13"/>
  <c r="N210" i="13"/>
  <c r="AB210" i="13"/>
  <c r="K211" i="13"/>
  <c r="Y211" i="13"/>
  <c r="I212" i="13"/>
  <c r="F212" i="22" s="1"/>
  <c r="X212" i="13"/>
  <c r="G213" i="13"/>
  <c r="U213" i="13"/>
  <c r="B214" i="13"/>
  <c r="N214" i="13"/>
  <c r="Z214" i="13"/>
  <c r="G215" i="13"/>
  <c r="S215" i="13"/>
  <c r="AE215" i="13"/>
  <c r="L216" i="13"/>
  <c r="X216" i="13"/>
  <c r="E217" i="13"/>
  <c r="E217" i="16" s="1"/>
  <c r="Q217" i="13"/>
  <c r="AC217" i="13"/>
  <c r="J218" i="13"/>
  <c r="V218" i="13"/>
  <c r="C219" i="13"/>
  <c r="O219" i="13"/>
  <c r="X60" i="13"/>
  <c r="D113" i="13"/>
  <c r="S134" i="13"/>
  <c r="AE143" i="13"/>
  <c r="S143" i="22" s="1"/>
  <c r="AB151" i="13"/>
  <c r="Z158" i="13"/>
  <c r="T164" i="13"/>
  <c r="D168" i="13"/>
  <c r="X170" i="13"/>
  <c r="S172" i="13"/>
  <c r="J174" i="13"/>
  <c r="AA175" i="13"/>
  <c r="M177" i="13"/>
  <c r="AD178" i="13"/>
  <c r="H180" i="13"/>
  <c r="N181" i="13"/>
  <c r="H181" i="22" s="1"/>
  <c r="S182" i="13"/>
  <c r="X183" i="13"/>
  <c r="L183" i="16" s="1"/>
  <c r="V184" i="13"/>
  <c r="U185" i="13"/>
  <c r="R186" i="13"/>
  <c r="N187" i="13"/>
  <c r="M188" i="13"/>
  <c r="K189" i="13"/>
  <c r="J190" i="13"/>
  <c r="G191" i="13"/>
  <c r="C192" i="13"/>
  <c r="B193" i="13"/>
  <c r="AE193" i="13"/>
  <c r="AD194" i="13"/>
  <c r="R194" i="22" s="1"/>
  <c r="W195" i="13"/>
  <c r="P196" i="13"/>
  <c r="B197" i="13"/>
  <c r="U197" i="13"/>
  <c r="F198" i="13"/>
  <c r="U198" i="13"/>
  <c r="H199" i="13"/>
  <c r="W199" i="13"/>
  <c r="G200" i="13"/>
  <c r="Y200" i="13"/>
  <c r="I201" i="13"/>
  <c r="X201" i="13"/>
  <c r="L201" i="16" s="1"/>
  <c r="K202" i="13"/>
  <c r="Z202" i="13"/>
  <c r="J203" i="13"/>
  <c r="AB203" i="13"/>
  <c r="L204" i="13"/>
  <c r="AA204" i="13"/>
  <c r="N205" i="13"/>
  <c r="AC205" i="13"/>
  <c r="M206" i="13"/>
  <c r="AE206" i="13"/>
  <c r="S206" i="22" s="1"/>
  <c r="O207" i="13"/>
  <c r="AD207" i="13"/>
  <c r="R207" i="22" s="1"/>
  <c r="Q208" i="13"/>
  <c r="A209" i="13"/>
  <c r="P209" i="13"/>
  <c r="AE209" i="13"/>
  <c r="O210" i="13"/>
  <c r="AC210" i="13"/>
  <c r="L211" i="13"/>
  <c r="Z211" i="13"/>
  <c r="J212" i="13"/>
  <c r="Y212" i="13"/>
  <c r="M212" i="22" s="1"/>
  <c r="H213" i="13"/>
  <c r="V213" i="13"/>
  <c r="C214" i="13"/>
  <c r="O214" i="13"/>
  <c r="AA214" i="13"/>
  <c r="H215" i="13"/>
  <c r="T215" i="13"/>
  <c r="A216" i="13"/>
  <c r="M216" i="13"/>
  <c r="Y216" i="13"/>
  <c r="F217" i="13"/>
  <c r="R217" i="13"/>
  <c r="AD217" i="13"/>
  <c r="K218" i="13"/>
  <c r="W218" i="13"/>
  <c r="D219" i="13"/>
  <c r="P219" i="13"/>
  <c r="AB219" i="13"/>
  <c r="I220" i="13"/>
  <c r="U220" i="13"/>
  <c r="B221" i="13"/>
  <c r="N221" i="13"/>
  <c r="Z221" i="13"/>
  <c r="G222" i="13"/>
  <c r="S222" i="13"/>
  <c r="AE222" i="13"/>
  <c r="S222" i="22" s="1"/>
  <c r="L223" i="13"/>
  <c r="X223" i="13"/>
  <c r="E224" i="13"/>
  <c r="E224" i="22" s="1"/>
  <c r="Q224" i="13"/>
  <c r="AC224" i="13"/>
  <c r="J225" i="13"/>
  <c r="V225" i="13"/>
  <c r="C226" i="13"/>
  <c r="O226" i="13"/>
  <c r="AA226" i="13"/>
  <c r="O226" i="22" s="1"/>
  <c r="H227" i="13"/>
  <c r="T227" i="13"/>
  <c r="A228" i="13"/>
  <c r="M228" i="13"/>
  <c r="Y228" i="13"/>
  <c r="F229" i="13"/>
  <c r="R229" i="13"/>
  <c r="AD229" i="13"/>
  <c r="K230" i="13"/>
  <c r="W230" i="13"/>
  <c r="D231" i="13"/>
  <c r="P231" i="13"/>
  <c r="AB231" i="13"/>
  <c r="I232" i="13"/>
  <c r="F232" i="16" s="1"/>
  <c r="U232" i="13"/>
  <c r="B233" i="13"/>
  <c r="N233" i="13"/>
  <c r="Z233" i="13"/>
  <c r="N233" i="22" s="1"/>
  <c r="G234" i="13"/>
  <c r="S234" i="13"/>
  <c r="AE234" i="13"/>
  <c r="L235" i="13"/>
  <c r="X235" i="13"/>
  <c r="E236" i="13"/>
  <c r="E236" i="16" s="1"/>
  <c r="Q236" i="13"/>
  <c r="AC236" i="13"/>
  <c r="Q236" i="16" s="1"/>
  <c r="J237" i="13"/>
  <c r="V237" i="13"/>
  <c r="C238" i="13"/>
  <c r="F241" i="13"/>
  <c r="R241" i="13"/>
  <c r="AD241" i="13"/>
  <c r="K242" i="13"/>
  <c r="W242" i="13"/>
  <c r="D243" i="13"/>
  <c r="P243" i="13"/>
  <c r="AB243" i="13"/>
  <c r="I244" i="13"/>
  <c r="F244" i="22" s="1"/>
  <c r="U244" i="13"/>
  <c r="B245" i="13"/>
  <c r="N245" i="13"/>
  <c r="Z245" i="13"/>
  <c r="G246" i="13"/>
  <c r="S246" i="13"/>
  <c r="AE246" i="13"/>
  <c r="L247" i="13"/>
  <c r="X247" i="13"/>
  <c r="E248" i="13"/>
  <c r="Q248" i="13"/>
  <c r="AC248" i="13"/>
  <c r="Q248" i="16" s="1"/>
  <c r="J249" i="13"/>
  <c r="V249" i="13"/>
  <c r="C250" i="13"/>
  <c r="O250" i="13"/>
  <c r="AA250" i="13"/>
  <c r="H251" i="13"/>
  <c r="T251" i="13"/>
  <c r="A252" i="13"/>
  <c r="M252" i="13"/>
  <c r="Y252" i="13"/>
  <c r="M252" i="22" s="1"/>
  <c r="F253" i="13"/>
  <c r="R253" i="13"/>
  <c r="AD253" i="13"/>
  <c r="K254" i="13"/>
  <c r="W254" i="13"/>
  <c r="D255" i="13"/>
  <c r="P255" i="13"/>
  <c r="AB255" i="13"/>
  <c r="I256" i="13"/>
  <c r="U256" i="13"/>
  <c r="L79" i="13"/>
  <c r="I117" i="13"/>
  <c r="L136" i="13"/>
  <c r="G145" i="13"/>
  <c r="G153" i="13"/>
  <c r="R159" i="13"/>
  <c r="H165" i="13"/>
  <c r="W168" i="13"/>
  <c r="C171" i="13"/>
  <c r="AB172" i="13"/>
  <c r="O174" i="13"/>
  <c r="A176" i="13"/>
  <c r="R177" i="13"/>
  <c r="D179" i="13"/>
  <c r="D179" i="16" s="1"/>
  <c r="N180" i="13"/>
  <c r="S181" i="13"/>
  <c r="X182" i="13"/>
  <c r="AA183" i="13"/>
  <c r="W184" i="13"/>
  <c r="V185" i="13"/>
  <c r="T186" i="13"/>
  <c r="S187" i="13"/>
  <c r="P188" i="13"/>
  <c r="L189" i="13"/>
  <c r="K190" i="13"/>
  <c r="I191" i="13"/>
  <c r="F191" i="22" s="1"/>
  <c r="H192" i="13"/>
  <c r="E193" i="13"/>
  <c r="E193" i="16" s="1"/>
  <c r="A194" i="13"/>
  <c r="AE194" i="13"/>
  <c r="X195" i="13"/>
  <c r="Q196" i="13"/>
  <c r="C197" i="13"/>
  <c r="V197" i="13"/>
  <c r="G198" i="13"/>
  <c r="X198" i="13"/>
  <c r="I199" i="13"/>
  <c r="X199" i="13"/>
  <c r="L199" i="22" s="1"/>
  <c r="J200" i="13"/>
  <c r="Z200" i="13"/>
  <c r="N200" i="16" s="1"/>
  <c r="J201" i="13"/>
  <c r="AA201" i="13"/>
  <c r="L202" i="13"/>
  <c r="AA202" i="13"/>
  <c r="M203" i="13"/>
  <c r="AC203" i="13"/>
  <c r="M204" i="13"/>
  <c r="AD204" i="13"/>
  <c r="O205" i="13"/>
  <c r="AD205" i="13"/>
  <c r="P206" i="13"/>
  <c r="A207" i="13"/>
  <c r="P207" i="13"/>
  <c r="B208" i="13"/>
  <c r="R208" i="13"/>
  <c r="B209" i="13"/>
  <c r="R209" i="13"/>
  <c r="B210" i="13"/>
  <c r="P210" i="13"/>
  <c r="AD210" i="13"/>
  <c r="M211" i="13"/>
  <c r="AB211" i="13"/>
  <c r="P211" i="22" s="1"/>
  <c r="L212" i="13"/>
  <c r="Z212" i="13"/>
  <c r="N212" i="16" s="1"/>
  <c r="I213" i="13"/>
  <c r="W213" i="13"/>
  <c r="D214" i="13"/>
  <c r="P214" i="13"/>
  <c r="AB214" i="13"/>
  <c r="I215" i="13"/>
  <c r="U215" i="13"/>
  <c r="B216" i="13"/>
  <c r="N216" i="13"/>
  <c r="Z216" i="13"/>
  <c r="N216" i="22" s="1"/>
  <c r="G217" i="13"/>
  <c r="S217" i="13"/>
  <c r="AE217" i="13"/>
  <c r="L218" i="13"/>
  <c r="X218" i="13"/>
  <c r="E219" i="13"/>
  <c r="Q219" i="13"/>
  <c r="AC219" i="13"/>
  <c r="J220" i="13"/>
  <c r="V220" i="13"/>
  <c r="C221" i="13"/>
  <c r="O221" i="13"/>
  <c r="AA221" i="13"/>
  <c r="H222" i="13"/>
  <c r="T222" i="13"/>
  <c r="A223" i="13"/>
  <c r="M223" i="13"/>
  <c r="Y223" i="13"/>
  <c r="F224" i="13"/>
  <c r="R224" i="13"/>
  <c r="AD224" i="13"/>
  <c r="K225" i="13"/>
  <c r="W225" i="13"/>
  <c r="D226" i="13"/>
  <c r="D226" i="22" s="1"/>
  <c r="P226" i="13"/>
  <c r="AB226" i="13"/>
  <c r="I227" i="13"/>
  <c r="U227" i="13"/>
  <c r="B228" i="13"/>
  <c r="Z80" i="13"/>
  <c r="D118" i="13"/>
  <c r="R136" i="13"/>
  <c r="I145" i="13"/>
  <c r="I153" i="13"/>
  <c r="Z159" i="13"/>
  <c r="I165" i="13"/>
  <c r="F165" i="22" s="1"/>
  <c r="X168" i="13"/>
  <c r="E171" i="13"/>
  <c r="AC172" i="13"/>
  <c r="P174" i="13"/>
  <c r="B176" i="13"/>
  <c r="S177" i="13"/>
  <c r="E179" i="13"/>
  <c r="O180" i="13"/>
  <c r="T181" i="13"/>
  <c r="Y182" i="13"/>
  <c r="AC183" i="13"/>
  <c r="AB184" i="13"/>
  <c r="Y185" i="13"/>
  <c r="U186" i="13"/>
  <c r="T187" i="13"/>
  <c r="R188" i="13"/>
  <c r="Q189" i="13"/>
  <c r="N190" i="13"/>
  <c r="J191" i="13"/>
  <c r="I192" i="13"/>
  <c r="G193" i="13"/>
  <c r="F194" i="13"/>
  <c r="C195" i="13"/>
  <c r="AA195" i="13"/>
  <c r="S196" i="13"/>
  <c r="D197" i="13"/>
  <c r="X197" i="13"/>
  <c r="H198" i="13"/>
  <c r="Z198" i="13"/>
  <c r="J199" i="13"/>
  <c r="Y199" i="13"/>
  <c r="L200" i="13"/>
  <c r="AA200" i="13"/>
  <c r="K201" i="13"/>
  <c r="AC201" i="13"/>
  <c r="M202" i="13"/>
  <c r="G202" i="22" s="1"/>
  <c r="AB202" i="13"/>
  <c r="O203" i="13"/>
  <c r="I203" i="16" s="1"/>
  <c r="AD203" i="13"/>
  <c r="N204" i="13"/>
  <c r="A205" i="13"/>
  <c r="P205" i="13"/>
  <c r="AE205" i="13"/>
  <c r="R206" i="13"/>
  <c r="B207" i="13"/>
  <c r="Q207" i="13"/>
  <c r="D208" i="13"/>
  <c r="S208" i="13"/>
  <c r="C209" i="13"/>
  <c r="S209" i="13"/>
  <c r="C210" i="13"/>
  <c r="Q210" i="13"/>
  <c r="AE210" i="13"/>
  <c r="N211" i="13"/>
  <c r="AC211" i="13"/>
  <c r="M212" i="13"/>
  <c r="AA212" i="13"/>
  <c r="J213" i="13"/>
  <c r="X213" i="13"/>
  <c r="E214" i="13"/>
  <c r="E214" i="22" s="1"/>
  <c r="Q214" i="13"/>
  <c r="AC214" i="13"/>
  <c r="Q214" i="16" s="1"/>
  <c r="J215" i="13"/>
  <c r="V215" i="13"/>
  <c r="C216" i="13"/>
  <c r="O216" i="13"/>
  <c r="AA216" i="13"/>
  <c r="H217" i="13"/>
  <c r="T217" i="13"/>
  <c r="A218" i="13"/>
  <c r="O87" i="13"/>
  <c r="Y121" i="13"/>
  <c r="H138" i="13"/>
  <c r="O146" i="13"/>
  <c r="I146" i="22" s="1"/>
  <c r="P154" i="13"/>
  <c r="S160" i="13"/>
  <c r="X165" i="13"/>
  <c r="F169" i="13"/>
  <c r="K171" i="13"/>
  <c r="G173" i="13"/>
  <c r="X174" i="13"/>
  <c r="J176" i="13"/>
  <c r="AA177" i="13"/>
  <c r="L179" i="13"/>
  <c r="T180" i="13"/>
  <c r="Y181" i="13"/>
  <c r="M181" i="16" s="1"/>
  <c r="AD182" i="13"/>
  <c r="AD183" i="13"/>
  <c r="AC184" i="13"/>
  <c r="AA185" i="13"/>
  <c r="Z186" i="13"/>
  <c r="W187" i="13"/>
  <c r="S188" i="13"/>
  <c r="R189" i="13"/>
  <c r="P190" i="13"/>
  <c r="O191" i="13"/>
  <c r="I191" i="22" s="1"/>
  <c r="L192" i="13"/>
  <c r="H193" i="13"/>
  <c r="G194" i="13"/>
  <c r="E195" i="13"/>
  <c r="AC195" i="13"/>
  <c r="T196" i="13"/>
  <c r="G197" i="13"/>
  <c r="Y197" i="13"/>
  <c r="I198" i="13"/>
  <c r="AA198" i="13"/>
  <c r="K199" i="13"/>
  <c r="Z199" i="13"/>
  <c r="N199" i="22" s="1"/>
  <c r="M200" i="13"/>
  <c r="AB200" i="13"/>
  <c r="P200" i="16" s="1"/>
  <c r="L201" i="13"/>
  <c r="AD201" i="13"/>
  <c r="N202" i="13"/>
  <c r="AC202" i="13"/>
  <c r="P203" i="13"/>
  <c r="AE203" i="13"/>
  <c r="O204" i="13"/>
  <c r="B205" i="13"/>
  <c r="Q205" i="13"/>
  <c r="A206" i="13"/>
  <c r="S206" i="13"/>
  <c r="C207" i="13"/>
  <c r="R207" i="13"/>
  <c r="E208" i="13"/>
  <c r="T208" i="13"/>
  <c r="D209" i="13"/>
  <c r="U209" i="13"/>
  <c r="D210" i="13"/>
  <c r="R210" i="13"/>
  <c r="A211" i="13"/>
  <c r="P211" i="13"/>
  <c r="AE211" i="13"/>
  <c r="N212" i="13"/>
  <c r="AB212" i="13"/>
  <c r="P212" i="16" s="1"/>
  <c r="K213" i="13"/>
  <c r="Y213" i="13"/>
  <c r="F214" i="13"/>
  <c r="R214" i="13"/>
  <c r="C89" i="13"/>
  <c r="D122" i="13"/>
  <c r="K138" i="13"/>
  <c r="U146" i="13"/>
  <c r="R154" i="13"/>
  <c r="Y160" i="13"/>
  <c r="AD94" i="13"/>
  <c r="G125" i="13"/>
  <c r="AA139" i="13"/>
  <c r="AA147" i="13"/>
  <c r="S155" i="13"/>
  <c r="Q161" i="13"/>
  <c r="M166" i="13"/>
  <c r="S169" i="13"/>
  <c r="V171" i="13"/>
  <c r="P173" i="13"/>
  <c r="B175" i="13"/>
  <c r="S176" i="13"/>
  <c r="E178" i="13"/>
  <c r="R179" i="13"/>
  <c r="Z180" i="13"/>
  <c r="AE181" i="13"/>
  <c r="E183" i="13"/>
  <c r="E184" i="13"/>
  <c r="C185" i="13"/>
  <c r="B186" i="13"/>
  <c r="AD186" i="13"/>
  <c r="Z187" i="13"/>
  <c r="Y188" i="13"/>
  <c r="W189" i="13"/>
  <c r="V190" i="13"/>
  <c r="S191" i="13"/>
  <c r="O192" i="13"/>
  <c r="N193" i="13"/>
  <c r="L194" i="13"/>
  <c r="I195" i="13"/>
  <c r="B196" i="13"/>
  <c r="V196" i="13"/>
  <c r="J197" i="13"/>
  <c r="AA197" i="13"/>
  <c r="N198" i="13"/>
  <c r="AC198" i="13"/>
  <c r="Q198" i="22" s="1"/>
  <c r="M199" i="13"/>
  <c r="AE199" i="13"/>
  <c r="S199" i="16" s="1"/>
  <c r="O200" i="13"/>
  <c r="AD200" i="13"/>
  <c r="Q201" i="13"/>
  <c r="A202" i="13"/>
  <c r="P202" i="13"/>
  <c r="C203" i="13"/>
  <c r="R203" i="13"/>
  <c r="B204" i="13"/>
  <c r="T204" i="13"/>
  <c r="D205" i="13"/>
  <c r="D205" i="16" s="1"/>
  <c r="S205" i="13"/>
  <c r="F206" i="13"/>
  <c r="U206" i="13"/>
  <c r="E207" i="13"/>
  <c r="W207" i="13"/>
  <c r="G208" i="13"/>
  <c r="V208" i="13"/>
  <c r="I209" i="13"/>
  <c r="W209" i="13"/>
  <c r="F210" i="13"/>
  <c r="T210" i="13"/>
  <c r="D211" i="13"/>
  <c r="D211" i="22" s="1"/>
  <c r="S211" i="13"/>
  <c r="B212" i="13"/>
  <c r="P212" i="13"/>
  <c r="AD212" i="13"/>
  <c r="N213" i="13"/>
  <c r="AA213" i="13"/>
  <c r="H214" i="13"/>
  <c r="T214" i="13"/>
  <c r="A215" i="13"/>
  <c r="M215" i="13"/>
  <c r="Y215" i="13"/>
  <c r="F216" i="13"/>
  <c r="R216" i="13"/>
  <c r="AD216" i="13"/>
  <c r="R216" i="22" s="1"/>
  <c r="K217" i="13"/>
  <c r="W217" i="13"/>
  <c r="D218" i="13"/>
  <c r="P218" i="13"/>
  <c r="AB218" i="13"/>
  <c r="I219" i="13"/>
  <c r="U219" i="13"/>
  <c r="B220" i="13"/>
  <c r="N220" i="13"/>
  <c r="Z220" i="13"/>
  <c r="G221" i="13"/>
  <c r="S221" i="13"/>
  <c r="AE221" i="13"/>
  <c r="L222" i="13"/>
  <c r="X222" i="13"/>
  <c r="E223" i="13"/>
  <c r="E223" i="22" s="1"/>
  <c r="Q223" i="13"/>
  <c r="AC223" i="13"/>
  <c r="J224" i="13"/>
  <c r="V224" i="13"/>
  <c r="C225" i="13"/>
  <c r="O225" i="13"/>
  <c r="AA225" i="13"/>
  <c r="H226" i="13"/>
  <c r="T226" i="13"/>
  <c r="A227" i="13"/>
  <c r="M227" i="13"/>
  <c r="Y227" i="13"/>
  <c r="F228" i="13"/>
  <c r="R228" i="13"/>
  <c r="AD228" i="13"/>
  <c r="K229" i="13"/>
  <c r="W229" i="13"/>
  <c r="D230" i="13"/>
  <c r="D230" i="22" s="1"/>
  <c r="P230" i="13"/>
  <c r="AB230" i="13"/>
  <c r="P230" i="16" s="1"/>
  <c r="I231" i="13"/>
  <c r="U231" i="13"/>
  <c r="B232" i="13"/>
  <c r="N232" i="13"/>
  <c r="Z232" i="13"/>
  <c r="G233" i="13"/>
  <c r="S233" i="13"/>
  <c r="AE233" i="13"/>
  <c r="L234" i="13"/>
  <c r="X234" i="13"/>
  <c r="L234" i="16" s="1"/>
  <c r="E235" i="13"/>
  <c r="Q235" i="13"/>
  <c r="AC235" i="13"/>
  <c r="J236" i="13"/>
  <c r="V236" i="13"/>
  <c r="C237" i="13"/>
  <c r="O237" i="13"/>
  <c r="AA237" i="13"/>
  <c r="B240" i="13"/>
  <c r="K241" i="13"/>
  <c r="W241" i="13"/>
  <c r="D242" i="13"/>
  <c r="P242" i="13"/>
  <c r="AB242" i="13"/>
  <c r="P242" i="16" s="1"/>
  <c r="I243" i="13"/>
  <c r="AC95" i="13"/>
  <c r="AA125" i="13"/>
  <c r="B140" i="13"/>
  <c r="AD147" i="13"/>
  <c r="X155" i="13"/>
  <c r="Y161" i="13"/>
  <c r="N166" i="13"/>
  <c r="U169" i="13"/>
  <c r="W171" i="13"/>
  <c r="Q173" i="13"/>
  <c r="C175" i="13"/>
  <c r="T176" i="13"/>
  <c r="F178" i="13"/>
  <c r="T179" i="13"/>
  <c r="AA180" i="13"/>
  <c r="A182" i="13"/>
  <c r="F183" i="13"/>
  <c r="H184" i="13"/>
  <c r="D185" i="13"/>
  <c r="C186" i="13"/>
  <c r="A187" i="13"/>
  <c r="AE187" i="13"/>
  <c r="AB188" i="13"/>
  <c r="P188" i="16" s="1"/>
  <c r="X189" i="13"/>
  <c r="W190" i="13"/>
  <c r="U191" i="13"/>
  <c r="T192" i="13"/>
  <c r="Q193" i="13"/>
  <c r="M194" i="13"/>
  <c r="K195" i="13"/>
  <c r="D196" i="13"/>
  <c r="W196" i="13"/>
  <c r="L197" i="13"/>
  <c r="AB197" i="13"/>
  <c r="O198" i="13"/>
  <c r="I198" i="16" s="1"/>
  <c r="AD198" i="13"/>
  <c r="N199" i="13"/>
  <c r="A200" i="13"/>
  <c r="P200" i="13"/>
  <c r="AE200" i="13"/>
  <c r="R201" i="13"/>
  <c r="B202" i="13"/>
  <c r="Q202" i="13"/>
  <c r="D203" i="13"/>
  <c r="S203" i="13"/>
  <c r="C204" i="13"/>
  <c r="U204" i="13"/>
  <c r="E205" i="13"/>
  <c r="T205" i="13"/>
  <c r="G206" i="13"/>
  <c r="V206" i="13"/>
  <c r="F207" i="13"/>
  <c r="X207" i="13"/>
  <c r="H208" i="13"/>
  <c r="W208" i="13"/>
  <c r="J209" i="13"/>
  <c r="X209" i="13"/>
  <c r="L209" i="22" s="1"/>
  <c r="G210" i="13"/>
  <c r="U210" i="13"/>
  <c r="E211" i="13"/>
  <c r="T211" i="13"/>
  <c r="C212" i="13"/>
  <c r="Q212" i="13"/>
  <c r="AE212" i="13"/>
  <c r="O213" i="13"/>
  <c r="AB213" i="13"/>
  <c r="I214" i="13"/>
  <c r="U214" i="13"/>
  <c r="B215" i="13"/>
  <c r="N215" i="13"/>
  <c r="Z215" i="13"/>
  <c r="N215" i="16" s="1"/>
  <c r="G216" i="13"/>
  <c r="S216" i="13"/>
  <c r="AE216" i="13"/>
  <c r="L217" i="13"/>
  <c r="X217" i="13"/>
  <c r="E218" i="13"/>
  <c r="E218" i="22" s="1"/>
  <c r="Q218" i="13"/>
  <c r="AC218" i="13"/>
  <c r="J219" i="13"/>
  <c r="V219" i="13"/>
  <c r="C220" i="13"/>
  <c r="O220" i="13"/>
  <c r="I220" i="22" s="1"/>
  <c r="AA220" i="13"/>
  <c r="H221" i="13"/>
  <c r="T221" i="13"/>
  <c r="A222" i="13"/>
  <c r="M222" i="13"/>
  <c r="Y222" i="13"/>
  <c r="F223" i="13"/>
  <c r="R223" i="13"/>
  <c r="AD223" i="13"/>
  <c r="K224" i="13"/>
  <c r="W224" i="13"/>
  <c r="D225" i="13"/>
  <c r="P225" i="13"/>
  <c r="AB225" i="13"/>
  <c r="I226" i="13"/>
  <c r="U226" i="13"/>
  <c r="B227" i="13"/>
  <c r="N227" i="13"/>
  <c r="Z227" i="13"/>
  <c r="G228" i="13"/>
  <c r="S228" i="13"/>
  <c r="AE228" i="13"/>
  <c r="L229" i="13"/>
  <c r="X229" i="13"/>
  <c r="L229" i="22" s="1"/>
  <c r="E230" i="13"/>
  <c r="Q230" i="13"/>
  <c r="AC230" i="13"/>
  <c r="J231" i="13"/>
  <c r="V231" i="13"/>
  <c r="C232" i="13"/>
  <c r="O232" i="13"/>
  <c r="AA232" i="13"/>
  <c r="H233" i="13"/>
  <c r="T233" i="13"/>
  <c r="K233" i="22" s="1"/>
  <c r="A234" i="13"/>
  <c r="M234" i="13"/>
  <c r="G234" i="22" s="1"/>
  <c r="Y234" i="13"/>
  <c r="F235" i="13"/>
  <c r="R235" i="13"/>
  <c r="AD235" i="13"/>
  <c r="K236" i="13"/>
  <c r="W236" i="13"/>
  <c r="D237" i="13"/>
  <c r="P237" i="13"/>
  <c r="AB237" i="13"/>
  <c r="C240" i="13"/>
  <c r="L241" i="13"/>
  <c r="X241" i="13"/>
  <c r="L241" i="16" s="1"/>
  <c r="E242" i="13"/>
  <c r="Q242" i="13"/>
  <c r="AC242" i="13"/>
  <c r="J243" i="13"/>
  <c r="V243" i="13"/>
  <c r="C244" i="13"/>
  <c r="O244" i="13"/>
  <c r="R100" i="13"/>
  <c r="W128" i="13"/>
  <c r="H141" i="13"/>
  <c r="E149" i="13"/>
  <c r="Q156" i="13"/>
  <c r="R162" i="13"/>
  <c r="AC166" i="13"/>
  <c r="AD169" i="13"/>
  <c r="B172" i="13"/>
  <c r="V173" i="13"/>
  <c r="H175" i="13"/>
  <c r="Y176" i="13"/>
  <c r="K178" i="13"/>
  <c r="Y179" i="13"/>
  <c r="A181" i="13"/>
  <c r="F182" i="13"/>
  <c r="K183" i="13"/>
  <c r="J184" i="13"/>
  <c r="I185" i="13"/>
  <c r="F186" i="13"/>
  <c r="B187" i="13"/>
  <c r="A188" i="13"/>
  <c r="AD188" i="13"/>
  <c r="AC189" i="13"/>
  <c r="Z190" i="13"/>
  <c r="V191" i="13"/>
  <c r="U192" i="13"/>
  <c r="S193" i="13"/>
  <c r="R194" i="13"/>
  <c r="L195" i="13"/>
  <c r="E196" i="13"/>
  <c r="E196" i="22" s="1"/>
  <c r="Z196" i="13"/>
  <c r="M197" i="13"/>
  <c r="AE197" i="13"/>
  <c r="P198" i="13"/>
  <c r="AE198" i="13"/>
  <c r="Q199" i="13"/>
  <c r="B200" i="13"/>
  <c r="Q200" i="13"/>
  <c r="C201" i="13"/>
  <c r="S201" i="13"/>
  <c r="C202" i="13"/>
  <c r="T202" i="13"/>
  <c r="E203" i="13"/>
  <c r="T203" i="13"/>
  <c r="F204" i="13"/>
  <c r="V204" i="13"/>
  <c r="F205" i="13"/>
  <c r="W205" i="13"/>
  <c r="H206" i="13"/>
  <c r="W206" i="13"/>
  <c r="V101" i="13"/>
  <c r="I129" i="13"/>
  <c r="F129" i="22" s="1"/>
  <c r="K141" i="13"/>
  <c r="K149" i="13"/>
  <c r="AA156" i="13"/>
  <c r="AB162" i="13"/>
  <c r="AD166" i="13"/>
  <c r="AE169" i="13"/>
  <c r="C172" i="13"/>
  <c r="W173" i="13"/>
  <c r="I175" i="13"/>
  <c r="Z176" i="13"/>
  <c r="L178" i="13"/>
  <c r="Z179" i="13"/>
  <c r="N179" i="16" s="1"/>
  <c r="B181" i="13"/>
  <c r="G182" i="13"/>
  <c r="L183" i="13"/>
  <c r="K184" i="13"/>
  <c r="J185" i="13"/>
  <c r="H186" i="13"/>
  <c r="G187" i="13"/>
  <c r="D188" i="13"/>
  <c r="AE188" i="13"/>
  <c r="AD189" i="13"/>
  <c r="R189" i="22" s="1"/>
  <c r="AB190" i="13"/>
  <c r="AA191" i="13"/>
  <c r="O191" i="16" s="1"/>
  <c r="X192" i="13"/>
  <c r="T193" i="13"/>
  <c r="S194" i="13"/>
  <c r="O195" i="13"/>
  <c r="H196" i="13"/>
  <c r="AB196" i="13"/>
  <c r="N197" i="13"/>
  <c r="B198" i="13"/>
  <c r="Q198" i="13"/>
  <c r="A199" i="13"/>
  <c r="S199" i="13"/>
  <c r="C200" i="13"/>
  <c r="R200" i="13"/>
  <c r="E201" i="13"/>
  <c r="T201" i="13"/>
  <c r="K106" i="13"/>
  <c r="AD131" i="13"/>
  <c r="Q142" i="13"/>
  <c r="Q150" i="13"/>
  <c r="S157" i="13"/>
  <c r="P163" i="13"/>
  <c r="R167" i="13"/>
  <c r="K170" i="13"/>
  <c r="K172" i="13"/>
  <c r="AE173" i="13"/>
  <c r="Q175" i="13"/>
  <c r="C177" i="13"/>
  <c r="T178" i="13"/>
  <c r="A180" i="13"/>
  <c r="G181" i="13"/>
  <c r="L182" i="13"/>
  <c r="Q183" i="13"/>
  <c r="P184" i="13"/>
  <c r="M185" i="13"/>
  <c r="G185" i="22" s="1"/>
  <c r="I186" i="13"/>
  <c r="F186" i="22" s="1"/>
  <c r="H187" i="13"/>
  <c r="F188" i="13"/>
  <c r="E189" i="13"/>
  <c r="B190" i="13"/>
  <c r="AC190" i="13"/>
  <c r="AB191" i="13"/>
  <c r="Z192" i="13"/>
  <c r="Y193" i="13"/>
  <c r="V194" i="13"/>
  <c r="Q195" i="13"/>
  <c r="J196" i="13"/>
  <c r="AC196" i="13"/>
  <c r="O197" i="13"/>
  <c r="I197" i="22" s="1"/>
  <c r="C198" i="13"/>
  <c r="R198" i="13"/>
  <c r="B199" i="13"/>
  <c r="T199" i="13"/>
  <c r="D200" i="13"/>
  <c r="S200" i="13"/>
  <c r="F201" i="13"/>
  <c r="U201" i="13"/>
  <c r="E202" i="13"/>
  <c r="E202" i="22" s="1"/>
  <c r="W202" i="13"/>
  <c r="G203" i="13"/>
  <c r="V203" i="13"/>
  <c r="I204" i="13"/>
  <c r="X204" i="13"/>
  <c r="H205" i="13"/>
  <c r="Z205" i="13"/>
  <c r="J206" i="13"/>
  <c r="Y206" i="13"/>
  <c r="L207" i="13"/>
  <c r="AA207" i="13"/>
  <c r="K208" i="13"/>
  <c r="AC208" i="13"/>
  <c r="M209" i="13"/>
  <c r="AA209" i="13"/>
  <c r="O209" i="16" s="1"/>
  <c r="K210" i="13"/>
  <c r="Z210" i="13"/>
  <c r="N210" i="22" s="1"/>
  <c r="I211" i="13"/>
  <c r="W211" i="13"/>
  <c r="F212" i="13"/>
  <c r="U212" i="13"/>
  <c r="E213" i="13"/>
  <c r="S213" i="13"/>
  <c r="AE213" i="13"/>
  <c r="L214" i="13"/>
  <c r="X214" i="13"/>
  <c r="E215" i="13"/>
  <c r="E215" i="22" s="1"/>
  <c r="Q215" i="13"/>
  <c r="AC215" i="13"/>
  <c r="J216" i="13"/>
  <c r="V216" i="13"/>
  <c r="C217" i="13"/>
  <c r="O217" i="13"/>
  <c r="AA217" i="13"/>
  <c r="H218" i="13"/>
  <c r="T218" i="13"/>
  <c r="A219" i="13"/>
  <c r="M219" i="13"/>
  <c r="Y219" i="13"/>
  <c r="M219" i="16" s="1"/>
  <c r="F220" i="13"/>
  <c r="R220" i="13"/>
  <c r="AD220" i="13"/>
  <c r="K221" i="13"/>
  <c r="W221" i="13"/>
  <c r="D222" i="13"/>
  <c r="P222" i="13"/>
  <c r="AB222" i="13"/>
  <c r="I223" i="13"/>
  <c r="K107" i="13"/>
  <c r="H173" i="13"/>
  <c r="Z181" i="13"/>
  <c r="N181" i="22" s="1"/>
  <c r="Y187" i="13"/>
  <c r="M193" i="13"/>
  <c r="Z197" i="13"/>
  <c r="N197" i="22" s="1"/>
  <c r="AC200" i="13"/>
  <c r="H203" i="13"/>
  <c r="K205" i="13"/>
  <c r="K207" i="13"/>
  <c r="AB208" i="13"/>
  <c r="I210" i="13"/>
  <c r="V211" i="13"/>
  <c r="C213" i="13"/>
  <c r="K214" i="13"/>
  <c r="L215" i="13"/>
  <c r="I216" i="13"/>
  <c r="I217" i="13"/>
  <c r="F218" i="13"/>
  <c r="AD218" i="13"/>
  <c r="W219" i="13"/>
  <c r="L220" i="13"/>
  <c r="A221" i="13"/>
  <c r="V221" i="13"/>
  <c r="K222" i="13"/>
  <c r="B223" i="13"/>
  <c r="U223" i="13"/>
  <c r="H224" i="13"/>
  <c r="Z224" i="13"/>
  <c r="M225" i="13"/>
  <c r="AE225" i="13"/>
  <c r="R226" i="13"/>
  <c r="E227" i="13"/>
  <c r="W227" i="13"/>
  <c r="J228" i="13"/>
  <c r="Z228" i="13"/>
  <c r="J229" i="13"/>
  <c r="AA229" i="13"/>
  <c r="L230" i="13"/>
  <c r="AA230" i="13"/>
  <c r="M231" i="13"/>
  <c r="AC231" i="13"/>
  <c r="M232" i="13"/>
  <c r="AD232" i="13"/>
  <c r="O233" i="13"/>
  <c r="AD233" i="13"/>
  <c r="P234" i="13"/>
  <c r="A235" i="13"/>
  <c r="P235" i="13"/>
  <c r="J235" i="16" s="1"/>
  <c r="B236" i="13"/>
  <c r="R236" i="13"/>
  <c r="B237" i="13"/>
  <c r="S237" i="13"/>
  <c r="A239" i="13"/>
  <c r="J241" i="13"/>
  <c r="AA241" i="13"/>
  <c r="L242" i="13"/>
  <c r="AA242" i="13"/>
  <c r="M243" i="13"/>
  <c r="AA243" i="13"/>
  <c r="K244" i="13"/>
  <c r="Y244" i="13"/>
  <c r="G245" i="13"/>
  <c r="T245" i="13"/>
  <c r="B246" i="13"/>
  <c r="O246" i="13"/>
  <c r="AB246" i="13"/>
  <c r="J247" i="13"/>
  <c r="W247" i="13"/>
  <c r="F248" i="13"/>
  <c r="S248" i="13"/>
  <c r="A249" i="13"/>
  <c r="N249" i="13"/>
  <c r="H249" i="22" s="1"/>
  <c r="AA249" i="13"/>
  <c r="I250" i="13"/>
  <c r="F250" i="16" s="1"/>
  <c r="V250" i="13"/>
  <c r="D251" i="13"/>
  <c r="Q251" i="13"/>
  <c r="AD251" i="13"/>
  <c r="L252" i="13"/>
  <c r="Z252" i="13"/>
  <c r="N252" i="22" s="1"/>
  <c r="H253" i="13"/>
  <c r="U253" i="13"/>
  <c r="C254" i="13"/>
  <c r="P254" i="13"/>
  <c r="AC254" i="13"/>
  <c r="K255" i="13"/>
  <c r="X255" i="13"/>
  <c r="F256" i="13"/>
  <c r="S256" i="13"/>
  <c r="A257" i="13"/>
  <c r="M257" i="13"/>
  <c r="Y257" i="13"/>
  <c r="F258" i="13"/>
  <c r="R258" i="13"/>
  <c r="AD258" i="13"/>
  <c r="K259" i="13"/>
  <c r="W259" i="13"/>
  <c r="D260" i="13"/>
  <c r="AF260" i="13" s="1"/>
  <c r="P260" i="13"/>
  <c r="AB260" i="13"/>
  <c r="N132" i="13"/>
  <c r="A174" i="13"/>
  <c r="M182" i="13"/>
  <c r="G188" i="13"/>
  <c r="Z193" i="13"/>
  <c r="D198" i="13"/>
  <c r="G201" i="13"/>
  <c r="Q203" i="13"/>
  <c r="R205" i="13"/>
  <c r="M207" i="13"/>
  <c r="G207" i="22" s="1"/>
  <c r="AD208" i="13"/>
  <c r="L210" i="13"/>
  <c r="X211" i="13"/>
  <c r="F213" i="13"/>
  <c r="M214" i="13"/>
  <c r="O215" i="13"/>
  <c r="K216" i="13"/>
  <c r="J217" i="13"/>
  <c r="G218" i="13"/>
  <c r="AE218" i="13"/>
  <c r="X219" i="13"/>
  <c r="M220" i="13"/>
  <c r="G220" i="16" s="1"/>
  <c r="D221" i="13"/>
  <c r="X221" i="13"/>
  <c r="N222" i="13"/>
  <c r="C223" i="13"/>
  <c r="V223" i="13"/>
  <c r="I224" i="13"/>
  <c r="AA224" i="13"/>
  <c r="N225" i="13"/>
  <c r="A226" i="13"/>
  <c r="S226" i="13"/>
  <c r="F227" i="13"/>
  <c r="X227" i="13"/>
  <c r="K228" i="13"/>
  <c r="AA228" i="13"/>
  <c r="M229" i="13"/>
  <c r="AB229" i="13"/>
  <c r="M230" i="13"/>
  <c r="AD230" i="13"/>
  <c r="N231" i="13"/>
  <c r="AD231" i="13"/>
  <c r="P232" i="13"/>
  <c r="AE232" i="13"/>
  <c r="P233" i="13"/>
  <c r="B234" i="13"/>
  <c r="Q234" i="13"/>
  <c r="B235" i="13"/>
  <c r="S235" i="13"/>
  <c r="C236" i="13"/>
  <c r="S236" i="13"/>
  <c r="E237" i="13"/>
  <c r="E237" i="22" s="1"/>
  <c r="T237" i="13"/>
  <c r="B239" i="13"/>
  <c r="M241" i="13"/>
  <c r="AB241" i="13"/>
  <c r="M242" i="13"/>
  <c r="AD242" i="13"/>
  <c r="R242" i="16" s="1"/>
  <c r="N243" i="13"/>
  <c r="AC243" i="13"/>
  <c r="L244" i="13"/>
  <c r="Z244" i="13"/>
  <c r="H245" i="13"/>
  <c r="U245" i="13"/>
  <c r="C246" i="13"/>
  <c r="P246" i="13"/>
  <c r="AC246" i="13"/>
  <c r="K247" i="13"/>
  <c r="Y247" i="13"/>
  <c r="G248" i="13"/>
  <c r="T248" i="13"/>
  <c r="B249" i="13"/>
  <c r="O249" i="13"/>
  <c r="AB249" i="13"/>
  <c r="J250" i="13"/>
  <c r="W250" i="13"/>
  <c r="E251" i="13"/>
  <c r="R251" i="13"/>
  <c r="AE251" i="13"/>
  <c r="N252" i="13"/>
  <c r="AA252" i="13"/>
  <c r="I253" i="13"/>
  <c r="F253" i="16" s="1"/>
  <c r="V253" i="13"/>
  <c r="D254" i="13"/>
  <c r="Q254" i="13"/>
  <c r="AD254" i="13"/>
  <c r="L255" i="13"/>
  <c r="Y255" i="13"/>
  <c r="G256" i="13"/>
  <c r="T256" i="13"/>
  <c r="B257" i="13"/>
  <c r="N257" i="13"/>
  <c r="Z257" i="13"/>
  <c r="G258" i="13"/>
  <c r="S258" i="13"/>
  <c r="AE258" i="13"/>
  <c r="L259" i="13"/>
  <c r="X259" i="13"/>
  <c r="E260" i="13"/>
  <c r="E260" i="16" s="1"/>
  <c r="Q260" i="13"/>
  <c r="AC260" i="13"/>
  <c r="T150" i="13"/>
  <c r="S198" i="13"/>
  <c r="AA205" i="13"/>
  <c r="K209" i="13"/>
  <c r="D212" i="13"/>
  <c r="AF212" i="13" s="1"/>
  <c r="V214" i="13"/>
  <c r="Q216" i="13"/>
  <c r="M218" i="13"/>
  <c r="AA219" i="13"/>
  <c r="F221" i="13"/>
  <c r="Q222" i="13"/>
  <c r="Z223" i="13"/>
  <c r="AE224" i="13"/>
  <c r="E226" i="13"/>
  <c r="E226" i="22" s="1"/>
  <c r="J227" i="13"/>
  <c r="AC228" i="13"/>
  <c r="AE229" i="13"/>
  <c r="A231" i="13"/>
  <c r="A232" i="13"/>
  <c r="C233" i="13"/>
  <c r="D234" i="13"/>
  <c r="D235" i="13"/>
  <c r="G237" i="13"/>
  <c r="A240" i="13"/>
  <c r="AE241" i="13"/>
  <c r="A243" i="13"/>
  <c r="N244" i="13"/>
  <c r="J245" i="13"/>
  <c r="E246" i="13"/>
  <c r="E246" i="22" s="1"/>
  <c r="A247" i="13"/>
  <c r="V248" i="13"/>
  <c r="Q249" i="13"/>
  <c r="Y250" i="13"/>
  <c r="C252" i="13"/>
  <c r="K253" i="13"/>
  <c r="S254" i="13"/>
  <c r="J256" i="13"/>
  <c r="AB257" i="13"/>
  <c r="B259" i="13"/>
  <c r="G260" i="13"/>
  <c r="K176" i="13"/>
  <c r="F195" i="13"/>
  <c r="D206" i="13"/>
  <c r="X210" i="13"/>
  <c r="W214" i="13"/>
  <c r="P217" i="13"/>
  <c r="AD219" i="13"/>
  <c r="AC221" i="13"/>
  <c r="AA223" i="13"/>
  <c r="S225" i="13"/>
  <c r="K227" i="13"/>
  <c r="A229" i="13"/>
  <c r="R230" i="13"/>
  <c r="D232" i="13"/>
  <c r="U233" i="13"/>
  <c r="G235" i="13"/>
  <c r="X236" i="13"/>
  <c r="A241" i="13"/>
  <c r="R183" i="13"/>
  <c r="N228" i="13"/>
  <c r="F236" i="13"/>
  <c r="AE243" i="13"/>
  <c r="AA247" i="13"/>
  <c r="O247" i="22" s="1"/>
  <c r="L250" i="13"/>
  <c r="P252" i="13"/>
  <c r="J252" i="16" s="1"/>
  <c r="F254" i="13"/>
  <c r="N255" i="13"/>
  <c r="D257" i="13"/>
  <c r="I258" i="13"/>
  <c r="N259" i="13"/>
  <c r="AE260" i="13"/>
  <c r="D184" i="13"/>
  <c r="U189" i="13"/>
  <c r="AE201" i="13"/>
  <c r="Z207" i="13"/>
  <c r="N207" i="22" s="1"/>
  <c r="R213" i="13"/>
  <c r="T216" i="13"/>
  <c r="K216" i="16" s="1"/>
  <c r="G219" i="13"/>
  <c r="I221" i="13"/>
  <c r="H223" i="13"/>
  <c r="A225" i="13"/>
  <c r="X226" i="13"/>
  <c r="O228" i="13"/>
  <c r="A230" i="13"/>
  <c r="R231" i="13"/>
  <c r="S232" i="13"/>
  <c r="E234" i="13"/>
  <c r="E234" i="22" s="1"/>
  <c r="V235" i="13"/>
  <c r="H237" i="13"/>
  <c r="S142" i="13"/>
  <c r="Y174" i="13"/>
  <c r="AE182" i="13"/>
  <c r="X188" i="13"/>
  <c r="J194" i="13"/>
  <c r="L198" i="13"/>
  <c r="O201" i="13"/>
  <c r="U203" i="13"/>
  <c r="Y205" i="13"/>
  <c r="U207" i="13"/>
  <c r="G209" i="13"/>
  <c r="S210" i="13"/>
  <c r="A212" i="13"/>
  <c r="L213" i="13"/>
  <c r="S214" i="13"/>
  <c r="P215" i="13"/>
  <c r="P216" i="13"/>
  <c r="M217" i="13"/>
  <c r="I218" i="13"/>
  <c r="B219" i="13"/>
  <c r="Z219" i="13"/>
  <c r="P220" i="13"/>
  <c r="J220" i="22" s="1"/>
  <c r="E221" i="13"/>
  <c r="Y221" i="13"/>
  <c r="M221" i="16" s="1"/>
  <c r="O222" i="13"/>
  <c r="D223" i="13"/>
  <c r="W223" i="13"/>
  <c r="L224" i="13"/>
  <c r="AB224" i="13"/>
  <c r="Q225" i="13"/>
  <c r="B226" i="13"/>
  <c r="V226" i="13"/>
  <c r="G227" i="13"/>
  <c r="AA227" i="13"/>
  <c r="L228" i="13"/>
  <c r="AB228" i="13"/>
  <c r="P228" i="22" s="1"/>
  <c r="N229" i="13"/>
  <c r="AC229" i="13"/>
  <c r="N230" i="13"/>
  <c r="AE230" i="13"/>
  <c r="O231" i="13"/>
  <c r="AE231" i="13"/>
  <c r="Q232" i="13"/>
  <c r="A233" i="13"/>
  <c r="Q233" i="13"/>
  <c r="C234" i="13"/>
  <c r="R234" i="13"/>
  <c r="C235" i="13"/>
  <c r="T235" i="13"/>
  <c r="D236" i="13"/>
  <c r="T236" i="13"/>
  <c r="F237" i="13"/>
  <c r="U237" i="13"/>
  <c r="C239" i="13"/>
  <c r="N241" i="13"/>
  <c r="AC241" i="13"/>
  <c r="N242" i="13"/>
  <c r="AE242" i="13"/>
  <c r="S242" i="22" s="1"/>
  <c r="O243" i="13"/>
  <c r="AD243" i="13"/>
  <c r="R243" i="22" s="1"/>
  <c r="M244" i="13"/>
  <c r="AA244" i="13"/>
  <c r="I245" i="13"/>
  <c r="V245" i="13"/>
  <c r="D246" i="13"/>
  <c r="Q246" i="13"/>
  <c r="AD246" i="13"/>
  <c r="M247" i="13"/>
  <c r="Z247" i="13"/>
  <c r="H248" i="13"/>
  <c r="U248" i="13"/>
  <c r="C249" i="13"/>
  <c r="P249" i="13"/>
  <c r="AC249" i="13"/>
  <c r="K250" i="13"/>
  <c r="X250" i="13"/>
  <c r="F251" i="13"/>
  <c r="S251" i="13"/>
  <c r="B252" i="13"/>
  <c r="O252" i="13"/>
  <c r="AB252" i="13"/>
  <c r="J253" i="13"/>
  <c r="W253" i="13"/>
  <c r="E254" i="13"/>
  <c r="E254" i="16" s="1"/>
  <c r="R254" i="13"/>
  <c r="AE254" i="13"/>
  <c r="M255" i="13"/>
  <c r="Z255" i="13"/>
  <c r="H256" i="13"/>
  <c r="V256" i="13"/>
  <c r="C257" i="13"/>
  <c r="O257" i="13"/>
  <c r="AA257" i="13"/>
  <c r="H258" i="13"/>
  <c r="T258" i="13"/>
  <c r="A259" i="13"/>
  <c r="M259" i="13"/>
  <c r="Y259" i="13"/>
  <c r="F260" i="13"/>
  <c r="R260" i="13"/>
  <c r="AD260" i="13"/>
  <c r="R175" i="13"/>
  <c r="F189" i="13"/>
  <c r="X194" i="13"/>
  <c r="V201" i="13"/>
  <c r="Y203" i="13"/>
  <c r="Y207" i="13"/>
  <c r="W210" i="13"/>
  <c r="Q213" i="13"/>
  <c r="R215" i="13"/>
  <c r="N217" i="13"/>
  <c r="F219" i="13"/>
  <c r="Q220" i="13"/>
  <c r="AB221" i="13"/>
  <c r="G223" i="13"/>
  <c r="M224" i="13"/>
  <c r="R225" i="13"/>
  <c r="W226" i="13"/>
  <c r="AB227" i="13"/>
  <c r="O229" i="13"/>
  <c r="I229" i="16" s="1"/>
  <c r="O230" i="13"/>
  <c r="Q231" i="13"/>
  <c r="R232" i="13"/>
  <c r="R233" i="13"/>
  <c r="T234" i="13"/>
  <c r="U235" i="13"/>
  <c r="U236" i="13"/>
  <c r="W237" i="13"/>
  <c r="O241" i="13"/>
  <c r="O242" i="13"/>
  <c r="Q243" i="13"/>
  <c r="AB244" i="13"/>
  <c r="W245" i="13"/>
  <c r="R246" i="13"/>
  <c r="N247" i="13"/>
  <c r="I248" i="13"/>
  <c r="D249" i="13"/>
  <c r="AD249" i="13"/>
  <c r="G251" i="13"/>
  <c r="U251" i="13"/>
  <c r="AC252" i="13"/>
  <c r="X253" i="13"/>
  <c r="A255" i="13"/>
  <c r="AA255" i="13"/>
  <c r="O255" i="16" s="1"/>
  <c r="W256" i="13"/>
  <c r="P257" i="13"/>
  <c r="U258" i="13"/>
  <c r="Z259" i="13"/>
  <c r="S260" i="13"/>
  <c r="AA157" i="13"/>
  <c r="AB198" i="13"/>
  <c r="A204" i="13"/>
  <c r="L209" i="13"/>
  <c r="E212" i="13"/>
  <c r="W215" i="13"/>
  <c r="N218" i="13"/>
  <c r="H218" i="16" s="1"/>
  <c r="S220" i="13"/>
  <c r="R222" i="13"/>
  <c r="N224" i="13"/>
  <c r="F226" i="13"/>
  <c r="AC227" i="13"/>
  <c r="P229" i="13"/>
  <c r="B231" i="13"/>
  <c r="D233" i="13"/>
  <c r="U234" i="13"/>
  <c r="G236" i="13"/>
  <c r="S167" i="13"/>
  <c r="U178" i="13"/>
  <c r="O185" i="13"/>
  <c r="C191" i="13"/>
  <c r="K196" i="13"/>
  <c r="U199" i="13"/>
  <c r="O202" i="13"/>
  <c r="R204" i="13"/>
  <c r="T206" i="13"/>
  <c r="I208" i="13"/>
  <c r="Y209" i="13"/>
  <c r="G211" i="13"/>
  <c r="R212" i="13"/>
  <c r="AC213" i="13"/>
  <c r="Q213" i="22" s="1"/>
  <c r="AE214" i="13"/>
  <c r="AB215" i="13"/>
  <c r="AB216" i="13"/>
  <c r="Y217" i="13"/>
  <c r="S218" i="13"/>
  <c r="L219" i="13"/>
  <c r="D220" i="13"/>
  <c r="X220" i="13"/>
  <c r="M221" i="13"/>
  <c r="C222" i="13"/>
  <c r="W222" i="13"/>
  <c r="N223" i="13"/>
  <c r="H223" i="16" s="1"/>
  <c r="A224" i="13"/>
  <c r="S224" i="13"/>
  <c r="F225" i="13"/>
  <c r="X225" i="13"/>
  <c r="K226" i="13"/>
  <c r="AC226" i="13"/>
  <c r="P227" i="13"/>
  <c r="C228" i="13"/>
  <c r="T228" i="13"/>
  <c r="D229" i="13"/>
  <c r="T229" i="13"/>
  <c r="F230" i="13"/>
  <c r="U230" i="13"/>
  <c r="F231" i="13"/>
  <c r="W231" i="13"/>
  <c r="G232" i="13"/>
  <c r="W232" i="13"/>
  <c r="I233" i="13"/>
  <c r="X233" i="13"/>
  <c r="I234" i="13"/>
  <c r="Z234" i="13"/>
  <c r="J235" i="13"/>
  <c r="Z235" i="13"/>
  <c r="N235" i="16" s="1"/>
  <c r="L236" i="13"/>
  <c r="AA236" i="13"/>
  <c r="L237" i="13"/>
  <c r="AC237" i="13"/>
  <c r="D241" i="13"/>
  <c r="T241" i="13"/>
  <c r="F242" i="13"/>
  <c r="U242" i="13"/>
  <c r="F243" i="13"/>
  <c r="U243" i="13"/>
  <c r="E244" i="13"/>
  <c r="S244" i="13"/>
  <c r="A245" i="13"/>
  <c r="O245" i="13"/>
  <c r="AB245" i="13"/>
  <c r="J246" i="13"/>
  <c r="W246" i="13"/>
  <c r="E247" i="13"/>
  <c r="E247" i="22" s="1"/>
  <c r="G169" i="13"/>
  <c r="M179" i="13"/>
  <c r="AB185" i="13"/>
  <c r="P191" i="13"/>
  <c r="U196" i="13"/>
  <c r="AC199" i="13"/>
  <c r="V202" i="13"/>
  <c r="W204" i="13"/>
  <c r="X206" i="13"/>
  <c r="J208" i="13"/>
  <c r="Z209" i="13"/>
  <c r="N209" i="22" s="1"/>
  <c r="H211" i="13"/>
  <c r="S212" i="13"/>
  <c r="AD213" i="13"/>
  <c r="C215" i="13"/>
  <c r="AD215" i="13"/>
  <c r="AC216" i="13"/>
  <c r="Q216" i="16" s="1"/>
  <c r="Z217" i="13"/>
  <c r="U218" i="13"/>
  <c r="N219" i="13"/>
  <c r="E220" i="13"/>
  <c r="E220" i="22" s="1"/>
  <c r="Y220" i="13"/>
  <c r="P221" i="13"/>
  <c r="J221" i="22" s="1"/>
  <c r="E222" i="13"/>
  <c r="E222" i="22" s="1"/>
  <c r="Z222" i="13"/>
  <c r="N222" i="22" s="1"/>
  <c r="O223" i="13"/>
  <c r="B224" i="13"/>
  <c r="T224" i="13"/>
  <c r="G225" i="13"/>
  <c r="Y225" i="13"/>
  <c r="L226" i="13"/>
  <c r="AD226" i="13"/>
  <c r="Q227" i="13"/>
  <c r="D228" i="13"/>
  <c r="U228" i="13"/>
  <c r="E229" i="13"/>
  <c r="U229" i="13"/>
  <c r="G230" i="13"/>
  <c r="V230" i="13"/>
  <c r="G231" i="13"/>
  <c r="X231" i="13"/>
  <c r="L231" i="22" s="1"/>
  <c r="H232" i="13"/>
  <c r="X232" i="13"/>
  <c r="L232" i="22" s="1"/>
  <c r="J233" i="13"/>
  <c r="Y233" i="13"/>
  <c r="J234" i="13"/>
  <c r="AA234" i="13"/>
  <c r="K235" i="13"/>
  <c r="AA235" i="13"/>
  <c r="M236" i="13"/>
  <c r="AB236" i="13"/>
  <c r="M237" i="13"/>
  <c r="AD237" i="13"/>
  <c r="E241" i="13"/>
  <c r="U241" i="13"/>
  <c r="G242" i="13"/>
  <c r="V242" i="13"/>
  <c r="G243" i="13"/>
  <c r="W243" i="13"/>
  <c r="F244" i="13"/>
  <c r="T244" i="13"/>
  <c r="C245" i="13"/>
  <c r="P245" i="13"/>
  <c r="AC245" i="13"/>
  <c r="K246" i="13"/>
  <c r="X246" i="13"/>
  <c r="F247" i="13"/>
  <c r="S247" i="13"/>
  <c r="Y163" i="13"/>
  <c r="N186" i="13"/>
  <c r="P197" i="13"/>
  <c r="J197" i="22" s="1"/>
  <c r="J204" i="13"/>
  <c r="U208" i="13"/>
  <c r="G212" i="13"/>
  <c r="D215" i="13"/>
  <c r="D217" i="13"/>
  <c r="K219" i="13"/>
  <c r="AC220" i="13"/>
  <c r="U222" i="13"/>
  <c r="C224" i="13"/>
  <c r="L225" i="13"/>
  <c r="Z226" i="13"/>
  <c r="H228" i="13"/>
  <c r="Q229" i="13"/>
  <c r="X230" i="13"/>
  <c r="AA231" i="13"/>
  <c r="F233" i="13"/>
  <c r="N234" i="13"/>
  <c r="W235" i="13"/>
  <c r="AD236" i="13"/>
  <c r="R236" i="16" s="1"/>
  <c r="A238" i="13"/>
  <c r="Z241" i="13"/>
  <c r="Z242" i="13"/>
  <c r="N242" i="22" s="1"/>
  <c r="Z243" i="13"/>
  <c r="X244" i="13"/>
  <c r="S245" i="13"/>
  <c r="N246" i="13"/>
  <c r="I247" i="13"/>
  <c r="A248" i="13"/>
  <c r="W248" i="13"/>
  <c r="I249" i="13"/>
  <c r="AE249" i="13"/>
  <c r="R250" i="13"/>
  <c r="I251" i="13"/>
  <c r="Z251" i="13"/>
  <c r="N251" i="22" s="1"/>
  <c r="Q252" i="13"/>
  <c r="C253" i="13"/>
  <c r="Y253" i="13"/>
  <c r="L254" i="13"/>
  <c r="B255" i="13"/>
  <c r="T255" i="13"/>
  <c r="K256" i="13"/>
  <c r="AB256" i="13"/>
  <c r="P256" i="22" s="1"/>
  <c r="Q257" i="13"/>
  <c r="B258" i="13"/>
  <c r="V258" i="13"/>
  <c r="G259" i="13"/>
  <c r="AA259" i="13"/>
  <c r="L260" i="13"/>
  <c r="Y165" i="13"/>
  <c r="AA186" i="13"/>
  <c r="E199" i="13"/>
  <c r="Y204" i="13"/>
  <c r="Z208" i="13"/>
  <c r="O212" i="13"/>
  <c r="F215" i="13"/>
  <c r="U217" i="13"/>
  <c r="R219" i="13"/>
  <c r="AE220" i="13"/>
  <c r="V222" i="13"/>
  <c r="D224" i="13"/>
  <c r="T225" i="13"/>
  <c r="AE226" i="13"/>
  <c r="I228" i="13"/>
  <c r="S229" i="13"/>
  <c r="Y230" i="13"/>
  <c r="E232" i="13"/>
  <c r="K233" i="13"/>
  <c r="O234" i="13"/>
  <c r="I234" i="16" s="1"/>
  <c r="Y235" i="13"/>
  <c r="AE236" i="13"/>
  <c r="B238" i="13"/>
  <c r="A242" i="13"/>
  <c r="B243" i="13"/>
  <c r="A244" i="13"/>
  <c r="AC244" i="13"/>
  <c r="X245" i="13"/>
  <c r="T246" i="13"/>
  <c r="O247" i="13"/>
  <c r="B248" i="13"/>
  <c r="X248" i="13"/>
  <c r="K249" i="13"/>
  <c r="A250" i="13"/>
  <c r="S250" i="13"/>
  <c r="J251" i="13"/>
  <c r="AA251" i="13"/>
  <c r="R252" i="13"/>
  <c r="D253" i="13"/>
  <c r="Z253" i="13"/>
  <c r="M254" i="13"/>
  <c r="C255" i="13"/>
  <c r="U255" i="13"/>
  <c r="L256" i="13"/>
  <c r="AC256" i="13"/>
  <c r="R257" i="13"/>
  <c r="C258" i="13"/>
  <c r="W258" i="13"/>
  <c r="H259" i="13"/>
  <c r="AB259" i="13"/>
  <c r="M260" i="13"/>
  <c r="L170" i="13"/>
  <c r="K187" i="13"/>
  <c r="L199" i="13"/>
  <c r="C205" i="13"/>
  <c r="N209" i="13"/>
  <c r="H209" i="22" s="1"/>
  <c r="V212" i="13"/>
  <c r="K215" i="13"/>
  <c r="V217" i="13"/>
  <c r="S219" i="13"/>
  <c r="J221" i="13"/>
  <c r="AA222" i="13"/>
  <c r="G224" i="13"/>
  <c r="U225" i="13"/>
  <c r="C227" i="13"/>
  <c r="P228" i="13"/>
  <c r="J228" i="22" s="1"/>
  <c r="V229" i="13"/>
  <c r="Z230" i="13"/>
  <c r="F232" i="13"/>
  <c r="L233" i="13"/>
  <c r="V234" i="13"/>
  <c r="AB235" i="13"/>
  <c r="A237" i="13"/>
  <c r="B241" i="13"/>
  <c r="B242" i="13"/>
  <c r="C243" i="13"/>
  <c r="B244" i="13"/>
  <c r="AD244" i="13"/>
  <c r="Y245" i="13"/>
  <c r="U246" i="13"/>
  <c r="P247" i="13"/>
  <c r="C248" i="13"/>
  <c r="Y248" i="13"/>
  <c r="L249" i="13"/>
  <c r="B250" i="13"/>
  <c r="T250" i="13"/>
  <c r="K251" i="13"/>
  <c r="AB251" i="13"/>
  <c r="S252" i="13"/>
  <c r="E253" i="13"/>
  <c r="AA253" i="13"/>
  <c r="N254" i="13"/>
  <c r="H254" i="22" s="1"/>
  <c r="E255" i="13"/>
  <c r="V255" i="13"/>
  <c r="M256" i="13"/>
  <c r="AD256" i="13"/>
  <c r="S257" i="13"/>
  <c r="D258" i="13"/>
  <c r="X258" i="13"/>
  <c r="I259" i="13"/>
  <c r="AC259" i="13"/>
  <c r="N260" i="13"/>
  <c r="D190" i="13"/>
  <c r="D190" i="16" s="1"/>
  <c r="I237" i="13"/>
  <c r="F237" i="22" s="1"/>
  <c r="M171" i="13"/>
  <c r="E200" i="13"/>
  <c r="E200" i="22" s="1"/>
  <c r="G205" i="13"/>
  <c r="V209" i="13"/>
  <c r="AC212" i="13"/>
  <c r="X215" i="13"/>
  <c r="AB217" i="13"/>
  <c r="T219" i="13"/>
  <c r="L221" i="13"/>
  <c r="AC222" i="13"/>
  <c r="Q222" i="22" s="1"/>
  <c r="O224" i="13"/>
  <c r="Z225" i="13"/>
  <c r="N225" i="22" s="1"/>
  <c r="D227" i="13"/>
  <c r="Q228" i="13"/>
  <c r="Y229" i="13"/>
  <c r="C231" i="13"/>
  <c r="J232" i="13"/>
  <c r="M233" i="13"/>
  <c r="W234" i="13"/>
  <c r="AE235" i="13"/>
  <c r="C241" i="13"/>
  <c r="C242" i="13"/>
  <c r="M172" i="13"/>
  <c r="Q190" i="13"/>
  <c r="N200" i="13"/>
  <c r="I206" i="13"/>
  <c r="AB209" i="13"/>
  <c r="B213" i="13"/>
  <c r="AA215" i="13"/>
  <c r="B218" i="13"/>
  <c r="AE219" i="13"/>
  <c r="Q221" i="13"/>
  <c r="AD222" i="13"/>
  <c r="P224" i="13"/>
  <c r="J224" i="22" s="1"/>
  <c r="AC225" i="13"/>
  <c r="L227" i="13"/>
  <c r="V228" i="13"/>
  <c r="Z229" i="13"/>
  <c r="N229" i="22" s="1"/>
  <c r="E231" i="13"/>
  <c r="K232" i="13"/>
  <c r="V233" i="13"/>
  <c r="AB234" i="13"/>
  <c r="A236" i="13"/>
  <c r="K237" i="13"/>
  <c r="G241" i="13"/>
  <c r="H242" i="13"/>
  <c r="H243" i="13"/>
  <c r="G244" i="13"/>
  <c r="D245" i="13"/>
  <c r="AD245" i="13"/>
  <c r="Y246" i="13"/>
  <c r="R247" i="13"/>
  <c r="J248" i="13"/>
  <c r="AA248" i="13"/>
  <c r="R249" i="13"/>
  <c r="E250" i="13"/>
  <c r="Z250" i="13"/>
  <c r="N250" i="22" s="1"/>
  <c r="M251" i="13"/>
  <c r="D252" i="13"/>
  <c r="U252" i="13"/>
  <c r="L253" i="13"/>
  <c r="AC253" i="13"/>
  <c r="T254" i="13"/>
  <c r="G255" i="13"/>
  <c r="AC255" i="13"/>
  <c r="O256" i="13"/>
  <c r="E257" i="13"/>
  <c r="U257" i="13"/>
  <c r="J258" i="13"/>
  <c r="Z258" i="13"/>
  <c r="O259" i="13"/>
  <c r="AE259" i="13"/>
  <c r="S259" i="16" s="1"/>
  <c r="T260" i="13"/>
  <c r="C256" i="13"/>
  <c r="I260" i="13"/>
  <c r="Q184" i="13"/>
  <c r="A217" i="13"/>
  <c r="W220" i="13"/>
  <c r="AB223" i="13"/>
  <c r="Q226" i="13"/>
  <c r="H229" i="13"/>
  <c r="Y231" i="13"/>
  <c r="N235" i="13"/>
  <c r="H235" i="16" s="1"/>
  <c r="Z237" i="13"/>
  <c r="N237" i="16" s="1"/>
  <c r="X242" i="13"/>
  <c r="Q245" i="13"/>
  <c r="G247" i="13"/>
  <c r="G249" i="13"/>
  <c r="B251" i="13"/>
  <c r="A253" i="13"/>
  <c r="AA254" i="13"/>
  <c r="Z256" i="13"/>
  <c r="AE257" i="13"/>
  <c r="U259" i="13"/>
  <c r="I197" i="13"/>
  <c r="AD214" i="13"/>
  <c r="R214" i="16" s="1"/>
  <c r="H219" i="13"/>
  <c r="AB220" i="13"/>
  <c r="AE223" i="13"/>
  <c r="D177" i="13"/>
  <c r="AE191" i="13"/>
  <c r="V200" i="13"/>
  <c r="K206" i="13"/>
  <c r="E210" i="13"/>
  <c r="T213" i="13"/>
  <c r="D216" i="13"/>
  <c r="D216" i="22" s="1"/>
  <c r="C218" i="13"/>
  <c r="A220" i="13"/>
  <c r="R221" i="13"/>
  <c r="J223" i="13"/>
  <c r="U224" i="13"/>
  <c r="AD225" i="13"/>
  <c r="O227" i="13"/>
  <c r="W228" i="13"/>
  <c r="B230" i="13"/>
  <c r="H231" i="13"/>
  <c r="L232" i="13"/>
  <c r="W233" i="13"/>
  <c r="AC234" i="13"/>
  <c r="H236" i="13"/>
  <c r="N237" i="13"/>
  <c r="H241" i="13"/>
  <c r="I242" i="13"/>
  <c r="K243" i="13"/>
  <c r="H244" i="13"/>
  <c r="E245" i="13"/>
  <c r="E245" i="22" s="1"/>
  <c r="AE245" i="13"/>
  <c r="Z246" i="13"/>
  <c r="T247" i="13"/>
  <c r="K248" i="13"/>
  <c r="AB248" i="13"/>
  <c r="S249" i="13"/>
  <c r="F250" i="13"/>
  <c r="AB250" i="13"/>
  <c r="N251" i="13"/>
  <c r="E252" i="13"/>
  <c r="E252" i="22" s="1"/>
  <c r="V252" i="13"/>
  <c r="M253" i="13"/>
  <c r="AE253" i="13"/>
  <c r="U254" i="13"/>
  <c r="H255" i="13"/>
  <c r="AD255" i="13"/>
  <c r="R255" i="22" s="1"/>
  <c r="P256" i="13"/>
  <c r="F257" i="13"/>
  <c r="V257" i="13"/>
  <c r="K258" i="13"/>
  <c r="AA258" i="13"/>
  <c r="P259" i="13"/>
  <c r="J259" i="16" s="1"/>
  <c r="A260" i="13"/>
  <c r="U260" i="13"/>
  <c r="J257" i="13"/>
  <c r="AE196" i="13"/>
  <c r="Y214" i="13"/>
  <c r="AA218" i="13"/>
  <c r="O218" i="22" s="1"/>
  <c r="I222" i="13"/>
  <c r="AE227" i="13"/>
  <c r="S227" i="22" s="1"/>
  <c r="AC232" i="13"/>
  <c r="Y236" i="13"/>
  <c r="V244" i="13"/>
  <c r="P248" i="13"/>
  <c r="J248" i="22" s="1"/>
  <c r="X251" i="13"/>
  <c r="S253" i="13"/>
  <c r="D256" i="13"/>
  <c r="P258" i="13"/>
  <c r="Z260" i="13"/>
  <c r="N260" i="16" s="1"/>
  <c r="A185" i="13"/>
  <c r="B217" i="13"/>
  <c r="J222" i="13"/>
  <c r="Y226" i="13"/>
  <c r="T230" i="13"/>
  <c r="K230" i="22" s="1"/>
  <c r="AB177" i="13"/>
  <c r="N192" i="13"/>
  <c r="D202" i="13"/>
  <c r="AB206" i="13"/>
  <c r="H210" i="13"/>
  <c r="Z213" i="13"/>
  <c r="E216" i="13"/>
  <c r="E216" i="22" s="1"/>
  <c r="O218" i="13"/>
  <c r="I218" i="22" s="1"/>
  <c r="G220" i="13"/>
  <c r="U221" i="13"/>
  <c r="K223" i="13"/>
  <c r="X224" i="13"/>
  <c r="G226" i="13"/>
  <c r="R227" i="13"/>
  <c r="X228" i="13"/>
  <c r="C230" i="13"/>
  <c r="K231" i="13"/>
  <c r="T232" i="13"/>
  <c r="AA233" i="13"/>
  <c r="AD234" i="13"/>
  <c r="I236" i="13"/>
  <c r="F236" i="16" s="1"/>
  <c r="Q237" i="13"/>
  <c r="I241" i="13"/>
  <c r="J242" i="13"/>
  <c r="L243" i="13"/>
  <c r="J244" i="13"/>
  <c r="F245" i="13"/>
  <c r="A246" i="13"/>
  <c r="AA246" i="13"/>
  <c r="U247" i="13"/>
  <c r="L248" i="13"/>
  <c r="AD248" i="13"/>
  <c r="T249" i="13"/>
  <c r="G250" i="13"/>
  <c r="AC250" i="13"/>
  <c r="O251" i="13"/>
  <c r="F252" i="13"/>
  <c r="W252" i="13"/>
  <c r="N253" i="13"/>
  <c r="A254" i="13"/>
  <c r="V254" i="13"/>
  <c r="I255" i="13"/>
  <c r="AE255" i="13"/>
  <c r="Q256" i="13"/>
  <c r="G257" i="13"/>
  <c r="W257" i="13"/>
  <c r="L258" i="13"/>
  <c r="AB258" i="13"/>
  <c r="Q259" i="13"/>
  <c r="B260" i="13"/>
  <c r="V260" i="13"/>
  <c r="H254" i="13"/>
  <c r="D259" i="13"/>
  <c r="F203" i="13"/>
  <c r="H234" i="13"/>
  <c r="AD247" i="13"/>
  <c r="J252" i="13"/>
  <c r="K257" i="13"/>
  <c r="N208" i="13"/>
  <c r="E228" i="13"/>
  <c r="E228" i="22" s="1"/>
  <c r="B180" i="13"/>
  <c r="AA192" i="13"/>
  <c r="H202" i="13"/>
  <c r="D207" i="13"/>
  <c r="AA210" i="13"/>
  <c r="A214" i="13"/>
  <c r="H216" i="13"/>
  <c r="R218" i="13"/>
  <c r="H220" i="13"/>
  <c r="AD221" i="13"/>
  <c r="R221" i="16" s="1"/>
  <c r="P223" i="13"/>
  <c r="Y224" i="13"/>
  <c r="J226" i="13"/>
  <c r="S227" i="13"/>
  <c r="B229" i="13"/>
  <c r="H230" i="13"/>
  <c r="L231" i="13"/>
  <c r="V232" i="13"/>
  <c r="AB233" i="13"/>
  <c r="H235" i="13"/>
  <c r="N236" i="13"/>
  <c r="H236" i="16" s="1"/>
  <c r="R237" i="13"/>
  <c r="P241" i="13"/>
  <c r="R242" i="13"/>
  <c r="R243" i="13"/>
  <c r="P244" i="13"/>
  <c r="K245" i="13"/>
  <c r="F246" i="13"/>
  <c r="B247" i="13"/>
  <c r="V247" i="13"/>
  <c r="M248" i="13"/>
  <c r="AE248" i="13"/>
  <c r="U249" i="13"/>
  <c r="H250" i="13"/>
  <c r="AD250" i="13"/>
  <c r="P251" i="13"/>
  <c r="G252" i="13"/>
  <c r="X252" i="13"/>
  <c r="O253" i="13"/>
  <c r="B254" i="13"/>
  <c r="X254" i="13"/>
  <c r="J255" i="13"/>
  <c r="A256" i="13"/>
  <c r="R256" i="13"/>
  <c r="H257" i="13"/>
  <c r="X257" i="13"/>
  <c r="L257" i="22" s="1"/>
  <c r="M258" i="13"/>
  <c r="AC258" i="13"/>
  <c r="R259" i="13"/>
  <c r="C260" i="13"/>
  <c r="W260" i="13"/>
  <c r="Z254" i="13"/>
  <c r="N254" i="22" s="1"/>
  <c r="O258" i="13"/>
  <c r="Y260" i="13"/>
  <c r="Q211" i="13"/>
  <c r="S230" i="13"/>
  <c r="X243" i="13"/>
  <c r="Y249" i="13"/>
  <c r="M249" i="16" s="1"/>
  <c r="R255" i="13"/>
  <c r="J260" i="13"/>
  <c r="U211" i="13"/>
  <c r="I225" i="13"/>
  <c r="U180" i="13"/>
  <c r="R195" i="13"/>
  <c r="X202" i="13"/>
  <c r="I207" i="13"/>
  <c r="B211" i="13"/>
  <c r="G214" i="13"/>
  <c r="U216" i="13"/>
  <c r="Y218" i="13"/>
  <c r="M218" i="16" s="1"/>
  <c r="K220" i="13"/>
  <c r="B222" i="13"/>
  <c r="S223" i="13"/>
  <c r="B225" i="13"/>
  <c r="M226" i="13"/>
  <c r="V227" i="13"/>
  <c r="C229" i="13"/>
  <c r="I230" i="13"/>
  <c r="S231" i="13"/>
  <c r="Y232" i="13"/>
  <c r="M232" i="22" s="1"/>
  <c r="AC233" i="13"/>
  <c r="I235" i="13"/>
  <c r="F235" i="16" s="1"/>
  <c r="O236" i="13"/>
  <c r="X237" i="13"/>
  <c r="Q241" i="13"/>
  <c r="S242" i="13"/>
  <c r="S243" i="13"/>
  <c r="Q244" i="13"/>
  <c r="L245" i="13"/>
  <c r="H246" i="13"/>
  <c r="C247" i="13"/>
  <c r="AB247" i="13"/>
  <c r="P247" i="22" s="1"/>
  <c r="N248" i="13"/>
  <c r="E249" i="13"/>
  <c r="E249" i="16" s="1"/>
  <c r="W249" i="13"/>
  <c r="M250" i="13"/>
  <c r="AE250" i="13"/>
  <c r="V251" i="13"/>
  <c r="H252" i="13"/>
  <c r="AD252" i="13"/>
  <c r="P253" i="13"/>
  <c r="G254" i="13"/>
  <c r="Y254" i="13"/>
  <c r="O255" i="13"/>
  <c r="B256" i="13"/>
  <c r="X256" i="13"/>
  <c r="L256" i="16" s="1"/>
  <c r="I257" i="13"/>
  <c r="AC257" i="13"/>
  <c r="N258" i="13"/>
  <c r="C259" i="13"/>
  <c r="S259" i="13"/>
  <c r="H260" i="13"/>
  <c r="X260" i="13"/>
  <c r="H181" i="13"/>
  <c r="AD195" i="13"/>
  <c r="A203" i="13"/>
  <c r="AB207" i="13"/>
  <c r="J211" i="13"/>
  <c r="J214" i="13"/>
  <c r="W216" i="13"/>
  <c r="Z218" i="13"/>
  <c r="T220" i="13"/>
  <c r="K220" i="22" s="1"/>
  <c r="F222" i="13"/>
  <c r="T223" i="13"/>
  <c r="E225" i="13"/>
  <c r="N226" i="13"/>
  <c r="AD227" i="13"/>
  <c r="G229" i="13"/>
  <c r="J230" i="13"/>
  <c r="T231" i="13"/>
  <c r="K231" i="16" s="1"/>
  <c r="AB232" i="13"/>
  <c r="F234" i="13"/>
  <c r="M235" i="13"/>
  <c r="P236" i="13"/>
  <c r="Y237" i="13"/>
  <c r="S241" i="13"/>
  <c r="T242" i="13"/>
  <c r="T243" i="13"/>
  <c r="R244" i="13"/>
  <c r="M245" i="13"/>
  <c r="I246" i="13"/>
  <c r="F246" i="22" s="1"/>
  <c r="D247" i="13"/>
  <c r="D247" i="16" s="1"/>
  <c r="AC247" i="13"/>
  <c r="O248" i="13"/>
  <c r="F249" i="13"/>
  <c r="X249" i="13"/>
  <c r="N250" i="13"/>
  <c r="A251" i="13"/>
  <c r="W251" i="13"/>
  <c r="I252" i="13"/>
  <c r="AE252" i="13"/>
  <c r="Q253" i="13"/>
  <c r="Q255" i="13"/>
  <c r="Y256" i="13"/>
  <c r="M256" i="22" s="1"/>
  <c r="AD257" i="13"/>
  <c r="T259" i="13"/>
  <c r="K259" i="16" s="1"/>
  <c r="F208" i="13"/>
  <c r="H225" i="13"/>
  <c r="V241" i="13"/>
  <c r="L246" i="13"/>
  <c r="P250" i="13"/>
  <c r="I254" i="13"/>
  <c r="E259" i="13"/>
  <c r="H204" i="13"/>
  <c r="Z236" i="13"/>
  <c r="N236" i="16" s="1"/>
  <c r="V246" i="13"/>
  <c r="U250" i="13"/>
  <c r="O254" i="13"/>
  <c r="E258" i="13"/>
  <c r="E258" i="16" s="1"/>
  <c r="F259" i="13"/>
  <c r="D248" i="13"/>
  <c r="W255" i="13"/>
  <c r="Y243" i="13"/>
  <c r="E256" i="13"/>
  <c r="D244" i="13"/>
  <c r="N256" i="13"/>
  <c r="H256" i="22" s="1"/>
  <c r="I229" i="13"/>
  <c r="AA256" i="13"/>
  <c r="O256" i="16" s="1"/>
  <c r="AE244" i="13"/>
  <c r="M249" i="13"/>
  <c r="AE256" i="13"/>
  <c r="E233" i="13"/>
  <c r="E233" i="22" s="1"/>
  <c r="T253" i="13"/>
  <c r="AA260" i="13"/>
  <c r="AA245" i="13"/>
  <c r="AB253" i="13"/>
  <c r="M246" i="13"/>
  <c r="J254" i="13"/>
  <c r="AE237" i="13"/>
  <c r="H247" i="13"/>
  <c r="C251" i="13"/>
  <c r="AB254" i="13"/>
  <c r="Q258" i="13"/>
  <c r="Y241" i="13"/>
  <c r="Q247" i="13"/>
  <c r="L251" i="13"/>
  <c r="F255" i="13"/>
  <c r="Y258" i="13"/>
  <c r="Y242" i="13"/>
  <c r="AE247" i="13"/>
  <c r="Y251" i="13"/>
  <c r="S255" i="13"/>
  <c r="E243" i="13"/>
  <c r="AC251" i="13"/>
  <c r="J259" i="13"/>
  <c r="R248" i="13"/>
  <c r="K252" i="13"/>
  <c r="V259" i="13"/>
  <c r="Z248" i="13"/>
  <c r="T252" i="13"/>
  <c r="AD259" i="13"/>
  <c r="W244" i="13"/>
  <c r="H249" i="13"/>
  <c r="B253" i="13"/>
  <c r="K260" i="13"/>
  <c r="Z231" i="13"/>
  <c r="N231" i="22" s="1"/>
  <c r="G253" i="13"/>
  <c r="O260" i="13"/>
  <c r="R245" i="13"/>
  <c r="Z249" i="13"/>
  <c r="N249" i="22" s="1"/>
  <c r="L257" i="13"/>
  <c r="K234" i="13"/>
  <c r="D250" i="13"/>
  <c r="T257" i="13"/>
  <c r="K257" i="22" s="1"/>
  <c r="O235" i="13"/>
  <c r="I235" i="16" s="1"/>
  <c r="Q250" i="13"/>
  <c r="A258" i="13"/>
  <c r="M238" i="13"/>
  <c r="AC240" i="13"/>
  <c r="R240" i="13"/>
  <c r="O239" i="13"/>
  <c r="Z238" i="13"/>
  <c r="J2" i="13"/>
  <c r="Q5" i="13"/>
  <c r="D239" i="13"/>
  <c r="AD238" i="13"/>
  <c r="R238" i="16" s="1"/>
  <c r="B10" i="13"/>
  <c r="H6" i="13"/>
  <c r="AE3" i="13"/>
  <c r="M5" i="13"/>
  <c r="G2" i="13"/>
  <c r="K9" i="13"/>
  <c r="N5" i="13"/>
  <c r="I15" i="13"/>
  <c r="X3" i="13"/>
  <c r="AD9" i="13"/>
  <c r="Z16" i="13"/>
  <c r="N2" i="13"/>
  <c r="H2" i="22" s="1"/>
  <c r="K2" i="13"/>
  <c r="C10" i="13"/>
  <c r="S9" i="13"/>
  <c r="AD16" i="13"/>
  <c r="Q238" i="13"/>
  <c r="U5" i="13"/>
  <c r="X8" i="13"/>
  <c r="J10" i="13"/>
  <c r="AA11" i="13"/>
  <c r="O2" i="13"/>
  <c r="A4" i="13"/>
  <c r="R5" i="13"/>
  <c r="D7" i="13"/>
  <c r="D7" i="22" s="1"/>
  <c r="U8" i="13"/>
  <c r="G10" i="13"/>
  <c r="X11" i="13"/>
  <c r="U3" i="13"/>
  <c r="X6" i="13"/>
  <c r="AA9" i="13"/>
  <c r="N12" i="13"/>
  <c r="AE13" i="13"/>
  <c r="Q15" i="13"/>
  <c r="C17" i="13"/>
  <c r="P238" i="13"/>
  <c r="J238" i="16" s="1"/>
  <c r="H240" i="13"/>
  <c r="U238" i="13"/>
  <c r="J239" i="13"/>
  <c r="Z240" i="13"/>
  <c r="N240" i="22" s="1"/>
  <c r="K239" i="13"/>
  <c r="I239" i="13"/>
  <c r="E1" i="13"/>
  <c r="V2" i="13"/>
  <c r="H4" i="13"/>
  <c r="Y5" i="13"/>
  <c r="K7" i="13"/>
  <c r="AB8" i="13"/>
  <c r="N10" i="13"/>
  <c r="H10" i="22" s="1"/>
  <c r="B1" i="13"/>
  <c r="S2" i="13"/>
  <c r="E4" i="13"/>
  <c r="V5" i="13"/>
  <c r="H7" i="13"/>
  <c r="Y8" i="13"/>
  <c r="K10" i="13"/>
  <c r="AB11" i="13"/>
  <c r="AC3" i="13"/>
  <c r="A7" i="13"/>
  <c r="D10" i="13"/>
  <c r="D10" i="22" s="1"/>
  <c r="R12" i="13"/>
  <c r="D14" i="13"/>
  <c r="AF14" i="13" s="1"/>
  <c r="U15" i="13"/>
  <c r="G17" i="13"/>
  <c r="T238" i="13"/>
  <c r="X240" i="13"/>
  <c r="Y238" i="13"/>
  <c r="N239" i="13"/>
  <c r="AD240" i="13"/>
  <c r="W239" i="13"/>
  <c r="Q239" i="13"/>
  <c r="I1" i="13"/>
  <c r="Z2" i="13"/>
  <c r="N2" i="22" s="1"/>
  <c r="L4" i="13"/>
  <c r="AC5" i="13"/>
  <c r="O7" i="13"/>
  <c r="A9" i="13"/>
  <c r="R10" i="13"/>
  <c r="F1" i="13"/>
  <c r="W2" i="13"/>
  <c r="I4" i="13"/>
  <c r="Z5" i="13"/>
  <c r="L7" i="13"/>
  <c r="AC8" i="13"/>
  <c r="Q8" i="22" s="1"/>
  <c r="O10" i="13"/>
  <c r="I10" i="22" s="1"/>
  <c r="C1" i="13"/>
  <c r="F4" i="13"/>
  <c r="I7" i="13"/>
  <c r="L10" i="13"/>
  <c r="V12" i="13"/>
  <c r="H14" i="13"/>
  <c r="Y15" i="13"/>
  <c r="K17" i="13"/>
  <c r="X238" i="13"/>
  <c r="P240" i="13"/>
  <c r="AC238" i="13"/>
  <c r="Q238" i="16" s="1"/>
  <c r="R239" i="13"/>
  <c r="S238" i="13"/>
  <c r="AE239" i="13"/>
  <c r="Y239" i="13"/>
  <c r="M1" i="13"/>
  <c r="AD2" i="13"/>
  <c r="P4" i="13"/>
  <c r="B6" i="13"/>
  <c r="S7" i="13"/>
  <c r="E9" i="13"/>
  <c r="V10" i="13"/>
  <c r="J1" i="13"/>
  <c r="AA2" i="13"/>
  <c r="O2" i="22" s="1"/>
  <c r="M4" i="13"/>
  <c r="G4" i="22" s="1"/>
  <c r="AD5" i="13"/>
  <c r="P7" i="13"/>
  <c r="B9" i="13"/>
  <c r="S10" i="13"/>
  <c r="K1" i="13"/>
  <c r="N4" i="13"/>
  <c r="Q7" i="13"/>
  <c r="T10" i="13"/>
  <c r="Z12" i="13"/>
  <c r="L14" i="13"/>
  <c r="AC15" i="13"/>
  <c r="Q15" i="22" s="1"/>
  <c r="G240" i="13"/>
  <c r="AB238" i="13"/>
  <c r="AB240" i="13"/>
  <c r="E239" i="13"/>
  <c r="V239" i="13"/>
  <c r="AE238" i="13"/>
  <c r="M239" i="13"/>
  <c r="AC239" i="13"/>
  <c r="E240" i="22"/>
  <c r="E260" i="22"/>
  <c r="E259" i="16"/>
  <c r="E259" i="22"/>
  <c r="E258" i="22"/>
  <c r="E257" i="22"/>
  <c r="E256" i="22"/>
  <c r="E255" i="22"/>
  <c r="E251" i="22"/>
  <c r="E250" i="22"/>
  <c r="E243" i="22"/>
  <c r="E242" i="22"/>
  <c r="E231" i="22"/>
  <c r="E230" i="22"/>
  <c r="E229" i="22"/>
  <c r="E227" i="22"/>
  <c r="E225" i="22"/>
  <c r="E219" i="22"/>
  <c r="E213" i="22"/>
  <c r="E211" i="22"/>
  <c r="E210" i="22"/>
  <c r="E209" i="22"/>
  <c r="E208" i="22"/>
  <c r="E207" i="22"/>
  <c r="E205" i="22"/>
  <c r="E203" i="22"/>
  <c r="E201" i="22"/>
  <c r="E199" i="22"/>
  <c r="E198" i="22"/>
  <c r="E197" i="22"/>
  <c r="E195" i="22"/>
  <c r="E194" i="22"/>
  <c r="E192" i="22"/>
  <c r="E191" i="22"/>
  <c r="E189" i="22"/>
  <c r="E188" i="22"/>
  <c r="E185" i="22"/>
  <c r="E184" i="22"/>
  <c r="E183" i="22"/>
  <c r="E182" i="22"/>
  <c r="E180" i="22"/>
  <c r="E179" i="22"/>
  <c r="E177" i="22"/>
  <c r="E176" i="22"/>
  <c r="E174" i="22"/>
  <c r="E173" i="22"/>
  <c r="E172" i="22"/>
  <c r="E170" i="22"/>
  <c r="E169" i="22"/>
  <c r="E168" i="22"/>
  <c r="E167" i="22"/>
  <c r="E166" i="22"/>
  <c r="E163" i="22"/>
  <c r="E162" i="22"/>
  <c r="E161" i="22"/>
  <c r="E160" i="22"/>
  <c r="E159" i="22"/>
  <c r="E158" i="22"/>
  <c r="E157" i="22"/>
  <c r="E156" i="22"/>
  <c r="E155" i="22"/>
  <c r="E154" i="22"/>
  <c r="E153" i="22"/>
  <c r="E148" i="22"/>
  <c r="E147" i="22"/>
  <c r="E146" i="22"/>
  <c r="E144" i="22"/>
  <c r="E140" i="22"/>
  <c r="E139" i="22"/>
  <c r="E138" i="22"/>
  <c r="E137" i="22"/>
  <c r="E136" i="22"/>
  <c r="E132" i="22"/>
  <c r="E131" i="22"/>
  <c r="E130" i="22"/>
  <c r="E129" i="22"/>
  <c r="E128" i="22"/>
  <c r="E127" i="22"/>
  <c r="E125" i="22"/>
  <c r="E123" i="22"/>
  <c r="E122" i="22"/>
  <c r="E121" i="22"/>
  <c r="E119" i="22"/>
  <c r="E118" i="22"/>
  <c r="E117" i="22"/>
  <c r="E116" i="22"/>
  <c r="E114" i="22"/>
  <c r="E113" i="22"/>
  <c r="E112" i="22"/>
  <c r="E111" i="22"/>
  <c r="E110" i="22"/>
  <c r="E108" i="22"/>
  <c r="E106" i="22"/>
  <c r="E105" i="22"/>
  <c r="E104" i="22"/>
  <c r="E103" i="22"/>
  <c r="E102" i="22"/>
  <c r="E101" i="22"/>
  <c r="E100" i="22"/>
  <c r="E98" i="22"/>
  <c r="E97" i="22"/>
  <c r="E96" i="22"/>
  <c r="E95" i="22"/>
  <c r="E94" i="22"/>
  <c r="E93" i="22"/>
  <c r="E92" i="22"/>
  <c r="E91" i="22"/>
  <c r="E90" i="22"/>
  <c r="E89" i="22"/>
  <c r="E88" i="22"/>
  <c r="E86" i="22"/>
  <c r="E85" i="22"/>
  <c r="E84" i="22"/>
  <c r="E82" i="22"/>
  <c r="E78" i="22"/>
  <c r="E76" i="22"/>
  <c r="E75" i="22"/>
  <c r="E72" i="22"/>
  <c r="E71" i="22"/>
  <c r="E70" i="22"/>
  <c r="E69" i="22"/>
  <c r="E68" i="22"/>
  <c r="E66" i="22"/>
  <c r="E65" i="2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8" i="22"/>
  <c r="E47" i="22"/>
  <c r="E44" i="22"/>
  <c r="E43" i="22"/>
  <c r="E42" i="22"/>
  <c r="E40" i="22"/>
  <c r="E38" i="22"/>
  <c r="E37" i="22"/>
  <c r="E33" i="22"/>
  <c r="E32" i="22"/>
  <c r="E30" i="22"/>
  <c r="E29" i="22"/>
  <c r="E27" i="22"/>
  <c r="E25" i="22"/>
  <c r="E24" i="22"/>
  <c r="E23" i="22"/>
  <c r="E22" i="22"/>
  <c r="E21" i="22"/>
  <c r="E20" i="22"/>
  <c r="E19" i="22"/>
  <c r="E18" i="22"/>
  <c r="E16" i="22"/>
  <c r="E12" i="22"/>
  <c r="E10" i="22"/>
  <c r="E7" i="22"/>
  <c r="E6" i="22"/>
  <c r="N259" i="16"/>
  <c r="N259" i="22"/>
  <c r="N256" i="22"/>
  <c r="N255" i="22"/>
  <c r="N253" i="22"/>
  <c r="N248" i="22"/>
  <c r="N247" i="22"/>
  <c r="N246" i="22"/>
  <c r="N245" i="22"/>
  <c r="N244" i="22"/>
  <c r="N243" i="22"/>
  <c r="N241" i="22"/>
  <c r="N234" i="22"/>
  <c r="N232" i="22"/>
  <c r="N228" i="22"/>
  <c r="N227" i="22"/>
  <c r="N226" i="22"/>
  <c r="N224" i="22"/>
  <c r="N223" i="22"/>
  <c r="N221" i="22"/>
  <c r="N219" i="22"/>
  <c r="N218" i="22"/>
  <c r="N214" i="22"/>
  <c r="N213" i="22"/>
  <c r="N211" i="22"/>
  <c r="N208" i="22"/>
  <c r="N205" i="22"/>
  <c r="N204" i="22"/>
  <c r="N203" i="22"/>
  <c r="N202" i="22"/>
  <c r="N201" i="22"/>
  <c r="N198" i="22"/>
  <c r="N196" i="22"/>
  <c r="N194" i="22"/>
  <c r="N193" i="22"/>
  <c r="N192" i="22"/>
  <c r="N190" i="22"/>
  <c r="N188" i="22"/>
  <c r="N187" i="22"/>
  <c r="N186" i="22"/>
  <c r="N185" i="22"/>
  <c r="N184" i="22"/>
  <c r="N183" i="22"/>
  <c r="N182" i="22"/>
  <c r="N180" i="22"/>
  <c r="N178" i="22"/>
  <c r="N175" i="22"/>
  <c r="N174" i="22"/>
  <c r="N173" i="22"/>
  <c r="N172" i="22"/>
  <c r="N171" i="22"/>
  <c r="N170" i="22"/>
  <c r="N168" i="22"/>
  <c r="N167" i="22"/>
  <c r="N166" i="22"/>
  <c r="N165" i="22"/>
  <c r="N164" i="22"/>
  <c r="N163" i="22"/>
  <c r="N162" i="22"/>
  <c r="N160" i="22"/>
  <c r="N159" i="22"/>
  <c r="N157" i="22"/>
  <c r="N156" i="22"/>
  <c r="N155" i="22"/>
  <c r="N154" i="22"/>
  <c r="N152" i="22"/>
  <c r="N149" i="22"/>
  <c r="N148" i="22"/>
  <c r="N147" i="22"/>
  <c r="N146" i="22"/>
  <c r="N145" i="22"/>
  <c r="N144" i="22"/>
  <c r="N143" i="22"/>
  <c r="N139" i="22"/>
  <c r="N138" i="22"/>
  <c r="N137" i="22"/>
  <c r="N136" i="22"/>
  <c r="N134" i="22"/>
  <c r="N132" i="22"/>
  <c r="N128" i="22"/>
  <c r="N127" i="22"/>
  <c r="N126" i="22"/>
  <c r="N125" i="22"/>
  <c r="N123" i="22"/>
  <c r="N122" i="22"/>
  <c r="N120" i="22"/>
  <c r="N119" i="22"/>
  <c r="N117" i="22"/>
  <c r="N115" i="22"/>
  <c r="N114" i="22"/>
  <c r="N113" i="22"/>
  <c r="N112" i="22"/>
  <c r="N111" i="22"/>
  <c r="N110" i="22"/>
  <c r="N109" i="22"/>
  <c r="N108" i="22"/>
  <c r="N107" i="22"/>
  <c r="N106" i="22"/>
  <c r="N103" i="22"/>
  <c r="N102" i="22"/>
  <c r="N101" i="22"/>
  <c r="N100" i="22"/>
  <c r="N98" i="22"/>
  <c r="N97" i="22"/>
  <c r="N95" i="22"/>
  <c r="N93" i="22"/>
  <c r="N92" i="22"/>
  <c r="N90" i="22"/>
  <c r="N89" i="22"/>
  <c r="N88" i="22"/>
  <c r="N87" i="22"/>
  <c r="N85" i="22"/>
  <c r="N83" i="22"/>
  <c r="N82" i="22"/>
  <c r="N81" i="22"/>
  <c r="N80" i="22"/>
  <c r="N79" i="22"/>
  <c r="N78" i="22"/>
  <c r="N77" i="22"/>
  <c r="N75" i="22"/>
  <c r="N74" i="22"/>
  <c r="N72" i="22"/>
  <c r="N71" i="22"/>
  <c r="N70" i="22"/>
  <c r="N69" i="22"/>
  <c r="N68" i="22"/>
  <c r="N67" i="22"/>
  <c r="N66" i="22"/>
  <c r="N65" i="22"/>
  <c r="N64" i="22"/>
  <c r="N63" i="22"/>
  <c r="N62" i="22"/>
  <c r="N61" i="22"/>
  <c r="N60" i="22"/>
  <c r="N58" i="22"/>
  <c r="N57" i="22"/>
  <c r="N55" i="22"/>
  <c r="N54" i="22"/>
  <c r="N53" i="22"/>
  <c r="N52" i="22"/>
  <c r="N51" i="22"/>
  <c r="N50" i="22"/>
  <c r="N49" i="22"/>
  <c r="N48" i="22"/>
  <c r="N45" i="22"/>
  <c r="N44" i="22"/>
  <c r="N43" i="22"/>
  <c r="N42" i="22"/>
  <c r="N41" i="22"/>
  <c r="N39" i="22"/>
  <c r="N38" i="22"/>
  <c r="N36" i="22"/>
  <c r="N34" i="22"/>
  <c r="N33" i="22"/>
  <c r="N32" i="22"/>
  <c r="N31" i="22"/>
  <c r="N30" i="22"/>
  <c r="N29" i="22"/>
  <c r="N28" i="22"/>
  <c r="N27" i="22"/>
  <c r="N26" i="22"/>
  <c r="N25" i="22"/>
  <c r="N23" i="22"/>
  <c r="N22" i="22"/>
  <c r="N21" i="22"/>
  <c r="N20" i="22"/>
  <c r="N19" i="22"/>
  <c r="N18" i="22"/>
  <c r="N17" i="22"/>
  <c r="N15" i="22"/>
  <c r="N14" i="22"/>
  <c r="N7" i="22"/>
  <c r="N4" i="22"/>
  <c r="N3" i="22"/>
  <c r="J240" i="22"/>
  <c r="J260" i="16"/>
  <c r="J260" i="22"/>
  <c r="J258" i="16"/>
  <c r="J258" i="22"/>
  <c r="J257" i="22"/>
  <c r="J255" i="22"/>
  <c r="J253" i="22"/>
  <c r="J251" i="22"/>
  <c r="J250" i="22"/>
  <c r="J249" i="22"/>
  <c r="J247" i="22"/>
  <c r="J246" i="22"/>
  <c r="J245" i="22"/>
  <c r="J244" i="22"/>
  <c r="J241" i="22"/>
  <c r="J237" i="22"/>
  <c r="J234" i="22"/>
  <c r="J232" i="22"/>
  <c r="J229" i="22"/>
  <c r="J227" i="22"/>
  <c r="J225" i="22"/>
  <c r="J223" i="22"/>
  <c r="J222" i="22"/>
  <c r="J219" i="22"/>
  <c r="J218" i="22"/>
  <c r="J217" i="22"/>
  <c r="J216" i="22"/>
  <c r="J215" i="22"/>
  <c r="J214" i="22"/>
  <c r="J213" i="22"/>
  <c r="J212" i="22"/>
  <c r="J211" i="22"/>
  <c r="J210" i="22"/>
  <c r="J209" i="22"/>
  <c r="J208" i="22"/>
  <c r="J207" i="22"/>
  <c r="J205" i="22"/>
  <c r="J204" i="22"/>
  <c r="J203" i="22"/>
  <c r="J202" i="22"/>
  <c r="J200" i="22"/>
  <c r="J198" i="22"/>
  <c r="J196" i="22"/>
  <c r="J195" i="22"/>
  <c r="J194" i="22"/>
  <c r="J193" i="22"/>
  <c r="J192" i="22"/>
  <c r="J191" i="22"/>
  <c r="J190" i="22"/>
  <c r="J189" i="22"/>
  <c r="J188" i="22"/>
  <c r="J187" i="22"/>
  <c r="J186" i="22"/>
  <c r="J185" i="22"/>
  <c r="J184" i="22"/>
  <c r="J183" i="22"/>
  <c r="J182" i="22"/>
  <c r="J180" i="22"/>
  <c r="J179" i="22"/>
  <c r="J177" i="22"/>
  <c r="J176" i="22"/>
  <c r="J175" i="22"/>
  <c r="J174" i="22"/>
  <c r="J173" i="22"/>
  <c r="J172" i="22"/>
  <c r="J171" i="22"/>
  <c r="J170" i="22"/>
  <c r="J169" i="22"/>
  <c r="J168" i="22"/>
  <c r="J167" i="22"/>
  <c r="J165" i="22"/>
  <c r="J164" i="22"/>
  <c r="J163" i="22"/>
  <c r="J162" i="22"/>
  <c r="J159" i="22"/>
  <c r="J158" i="22"/>
  <c r="J156" i="22"/>
  <c r="J155" i="22"/>
  <c r="J154" i="22"/>
  <c r="J153" i="22"/>
  <c r="J152" i="22"/>
  <c r="J151" i="22"/>
  <c r="J150" i="22"/>
  <c r="J148" i="22"/>
  <c r="J145" i="22"/>
  <c r="J143" i="22"/>
  <c r="J142" i="22"/>
  <c r="J141" i="22"/>
  <c r="J140" i="22"/>
  <c r="J139" i="22"/>
  <c r="J138" i="22"/>
  <c r="J137" i="22"/>
  <c r="J135" i="22"/>
  <c r="J133" i="22"/>
  <c r="J132" i="22"/>
  <c r="J131" i="22"/>
  <c r="J130" i="22"/>
  <c r="J129" i="22"/>
  <c r="J127" i="22"/>
  <c r="J126" i="22"/>
  <c r="J125" i="22"/>
  <c r="J124" i="22"/>
  <c r="J123" i="22"/>
  <c r="J122" i="22"/>
  <c r="J121" i="22"/>
  <c r="J120" i="22"/>
  <c r="J119" i="22"/>
  <c r="J118" i="22"/>
  <c r="J117" i="22"/>
  <c r="J116" i="22"/>
  <c r="J114" i="22"/>
  <c r="J113" i="22"/>
  <c r="J112" i="22"/>
  <c r="J111" i="22"/>
  <c r="J110" i="22"/>
  <c r="J109" i="22"/>
  <c r="J107" i="22"/>
  <c r="J106" i="22"/>
  <c r="J105" i="22"/>
  <c r="J103" i="22"/>
  <c r="J102" i="22"/>
  <c r="J101" i="22"/>
  <c r="J99" i="22"/>
  <c r="J96" i="22"/>
  <c r="J94" i="22"/>
  <c r="J93" i="22"/>
  <c r="J92" i="22"/>
  <c r="J91" i="22"/>
  <c r="J90" i="22"/>
  <c r="J89" i="22"/>
  <c r="J88" i="22"/>
  <c r="J87" i="22"/>
  <c r="J85" i="22"/>
  <c r="J84" i="22"/>
  <c r="J83" i="22"/>
  <c r="J82" i="22"/>
  <c r="J81" i="22"/>
  <c r="J79" i="22"/>
  <c r="J78" i="22"/>
  <c r="J77" i="22"/>
  <c r="J76" i="22"/>
  <c r="J75" i="22"/>
  <c r="J74" i="22"/>
  <c r="J73" i="22"/>
  <c r="J71" i="22"/>
  <c r="J70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J56" i="22"/>
  <c r="J55" i="22"/>
  <c r="J54" i="22"/>
  <c r="J52" i="22"/>
  <c r="J51" i="22"/>
  <c r="J50" i="22"/>
  <c r="J49" i="22"/>
  <c r="J48" i="22"/>
  <c r="J45" i="22"/>
  <c r="J44" i="22"/>
  <c r="J43" i="22"/>
  <c r="J42" i="22"/>
  <c r="J41" i="22"/>
  <c r="J40" i="22"/>
  <c r="J39" i="22"/>
  <c r="J38" i="22"/>
  <c r="J35" i="22"/>
  <c r="J33" i="22"/>
  <c r="J32" i="22"/>
  <c r="J30" i="22"/>
  <c r="J29" i="22"/>
  <c r="J28" i="22"/>
  <c r="J27" i="22"/>
  <c r="J25" i="22"/>
  <c r="J24" i="22"/>
  <c r="J23" i="22"/>
  <c r="J22" i="22"/>
  <c r="J20" i="22"/>
  <c r="J19" i="22"/>
  <c r="J17" i="22"/>
  <c r="J16" i="22"/>
  <c r="J15" i="22"/>
  <c r="J13" i="22"/>
  <c r="J12" i="22"/>
  <c r="J10" i="22"/>
  <c r="J9" i="22"/>
  <c r="K240" i="22"/>
  <c r="K260" i="16"/>
  <c r="K260" i="22"/>
  <c r="K256" i="22"/>
  <c r="K255" i="22"/>
  <c r="K254" i="22"/>
  <c r="K253" i="22"/>
  <c r="K252" i="22"/>
  <c r="K251" i="22"/>
  <c r="K250" i="22"/>
  <c r="K248" i="22"/>
  <c r="K247" i="22"/>
  <c r="K246" i="22"/>
  <c r="K245" i="22"/>
  <c r="K244" i="22"/>
  <c r="K243" i="22"/>
  <c r="K242" i="22"/>
  <c r="K241" i="22"/>
  <c r="K237" i="22"/>
  <c r="K234" i="22"/>
  <c r="K232" i="22"/>
  <c r="K228" i="22"/>
  <c r="K226" i="22"/>
  <c r="K225" i="22"/>
  <c r="K224" i="22"/>
  <c r="K223" i="22"/>
  <c r="K222" i="22"/>
  <c r="K221" i="22"/>
  <c r="K219" i="22"/>
  <c r="K218" i="22"/>
  <c r="K217" i="22"/>
  <c r="K215" i="22"/>
  <c r="K214" i="22"/>
  <c r="K213" i="22"/>
  <c r="K212" i="22"/>
  <c r="K211" i="22"/>
  <c r="K210" i="22"/>
  <c r="K209" i="22"/>
  <c r="K208" i="22"/>
  <c r="K207" i="22"/>
  <c r="K206" i="22"/>
  <c r="K205" i="22"/>
  <c r="K204" i="22"/>
  <c r="K203" i="22"/>
  <c r="K202" i="22"/>
  <c r="K201" i="22"/>
  <c r="K200" i="22"/>
  <c r="K199" i="22"/>
  <c r="K198" i="22"/>
  <c r="K197" i="22"/>
  <c r="K196" i="22"/>
  <c r="K195" i="22"/>
  <c r="K194" i="22"/>
  <c r="K193" i="22"/>
  <c r="K192" i="22"/>
  <c r="K191" i="22"/>
  <c r="K189" i="22"/>
  <c r="K187" i="22"/>
  <c r="K186" i="22"/>
  <c r="K185" i="22"/>
  <c r="K184" i="22"/>
  <c r="K183" i="22"/>
  <c r="K182" i="22"/>
  <c r="K181" i="22"/>
  <c r="K179" i="22"/>
  <c r="K178" i="22"/>
  <c r="K177" i="22"/>
  <c r="K176" i="22"/>
  <c r="K175" i="22"/>
  <c r="K173" i="22"/>
  <c r="K171" i="22"/>
  <c r="K170" i="22"/>
  <c r="K168" i="22"/>
  <c r="K167" i="22"/>
  <c r="K166" i="22"/>
  <c r="K165" i="22"/>
  <c r="K164" i="22"/>
  <c r="K163" i="22"/>
  <c r="K162" i="22"/>
  <c r="K161" i="22"/>
  <c r="K158" i="22"/>
  <c r="K157" i="22"/>
  <c r="K156" i="22"/>
  <c r="K155" i="22"/>
  <c r="K154" i="22"/>
  <c r="K153" i="22"/>
  <c r="K150" i="22"/>
  <c r="K148" i="22"/>
  <c r="K147" i="22"/>
  <c r="K145" i="22"/>
  <c r="K144" i="22"/>
  <c r="K142" i="22"/>
  <c r="K139" i="22"/>
  <c r="K138" i="22"/>
  <c r="K137" i="22"/>
  <c r="K136" i="22"/>
  <c r="K135" i="22"/>
  <c r="K134" i="22"/>
  <c r="K132" i="22"/>
  <c r="K131" i="22"/>
  <c r="K130" i="22"/>
  <c r="K129" i="22"/>
  <c r="K127" i="22"/>
  <c r="K126" i="22"/>
  <c r="K125" i="22"/>
  <c r="K123" i="22"/>
  <c r="K122" i="22"/>
  <c r="K121" i="22"/>
  <c r="K120" i="22"/>
  <c r="K119" i="22"/>
  <c r="K117" i="22"/>
  <c r="K116" i="22"/>
  <c r="K115" i="22"/>
  <c r="K113" i="22"/>
  <c r="K112" i="22"/>
  <c r="K109" i="22"/>
  <c r="K108" i="22"/>
  <c r="K107" i="22"/>
  <c r="K106" i="22"/>
  <c r="K105" i="22"/>
  <c r="K104" i="22"/>
  <c r="K103" i="22"/>
  <c r="K101" i="22"/>
  <c r="K100" i="22"/>
  <c r="K99" i="22"/>
  <c r="K98" i="22"/>
  <c r="K97" i="22"/>
  <c r="K94" i="22"/>
  <c r="K93" i="22"/>
  <c r="K92" i="22"/>
  <c r="K90" i="22"/>
  <c r="K89" i="22"/>
  <c r="K88" i="22"/>
  <c r="K87" i="22"/>
  <c r="K86" i="22"/>
  <c r="K85" i="22"/>
  <c r="K84" i="22"/>
  <c r="K83" i="22"/>
  <c r="K82" i="22"/>
  <c r="K80" i="22"/>
  <c r="K78" i="22"/>
  <c r="K77" i="22"/>
  <c r="K76" i="22"/>
  <c r="K74" i="22"/>
  <c r="K71" i="22"/>
  <c r="K70" i="22"/>
  <c r="K69" i="22"/>
  <c r="K66" i="22"/>
  <c r="K64" i="22"/>
  <c r="K63" i="22"/>
  <c r="K62" i="22"/>
  <c r="K61" i="22"/>
  <c r="K60" i="22"/>
  <c r="K59" i="22"/>
  <c r="K55" i="22"/>
  <c r="K54" i="22"/>
  <c r="K52" i="22"/>
  <c r="K51" i="22"/>
  <c r="K50" i="22"/>
  <c r="K49" i="22"/>
  <c r="K48" i="22"/>
  <c r="K44" i="22"/>
  <c r="K42" i="22"/>
  <c r="K41" i="22"/>
  <c r="K40" i="22"/>
  <c r="K39" i="22"/>
  <c r="K37" i="22"/>
  <c r="K35" i="22"/>
  <c r="K34" i="22"/>
  <c r="K31" i="22"/>
  <c r="K30" i="22"/>
  <c r="K29" i="22"/>
  <c r="K28" i="22"/>
  <c r="K26" i="22"/>
  <c r="K24" i="22"/>
  <c r="K23" i="22"/>
  <c r="K21" i="22"/>
  <c r="K20" i="22"/>
  <c r="K19" i="22"/>
  <c r="K18" i="22"/>
  <c r="K16" i="22"/>
  <c r="K15" i="22"/>
  <c r="K13" i="22"/>
  <c r="K12" i="22"/>
  <c r="K9" i="22"/>
  <c r="K6" i="22"/>
  <c r="K5" i="22"/>
  <c r="O240" i="22"/>
  <c r="O260" i="16"/>
  <c r="O260" i="22"/>
  <c r="O259" i="16"/>
  <c r="O259" i="22"/>
  <c r="O258" i="16"/>
  <c r="O258" i="22"/>
  <c r="O257" i="22"/>
  <c r="O254" i="22"/>
  <c r="O251" i="22"/>
  <c r="O250" i="22"/>
  <c r="O248" i="22"/>
  <c r="O246" i="22"/>
  <c r="O245" i="22"/>
  <c r="O244" i="22"/>
  <c r="O243" i="22"/>
  <c r="O242" i="22"/>
  <c r="O241" i="22"/>
  <c r="O237" i="22"/>
  <c r="O234" i="22"/>
  <c r="O233" i="22"/>
  <c r="O232" i="22"/>
  <c r="O231" i="22"/>
  <c r="O230" i="22"/>
  <c r="O228" i="22"/>
  <c r="O224" i="22"/>
  <c r="O223" i="22"/>
  <c r="O222" i="22"/>
  <c r="O220" i="22"/>
  <c r="O219" i="22"/>
  <c r="O217" i="22"/>
  <c r="O216" i="22"/>
  <c r="O215" i="22"/>
  <c r="O214" i="22"/>
  <c r="O213" i="22"/>
  <c r="O212" i="22"/>
  <c r="O210" i="22"/>
  <c r="O208" i="22"/>
  <c r="O207" i="22"/>
  <c r="O206" i="22"/>
  <c r="O204" i="22"/>
  <c r="O203" i="22"/>
  <c r="O202" i="22"/>
  <c r="O201" i="22"/>
  <c r="O200" i="22"/>
  <c r="O199" i="22"/>
  <c r="O198" i="22"/>
  <c r="O197" i="22"/>
  <c r="O193" i="22"/>
  <c r="O192" i="22"/>
  <c r="O190" i="22"/>
  <c r="O189" i="22"/>
  <c r="O188" i="22"/>
  <c r="O187" i="22"/>
  <c r="O186" i="22"/>
  <c r="O185" i="22"/>
  <c r="O184" i="22"/>
  <c r="O183" i="22"/>
  <c r="O182" i="22"/>
  <c r="O181" i="22"/>
  <c r="O180" i="22"/>
  <c r="O179" i="22"/>
  <c r="O178" i="22"/>
  <c r="O177" i="22"/>
  <c r="O176" i="22"/>
  <c r="O175" i="22"/>
  <c r="O174" i="22"/>
  <c r="O171" i="22"/>
  <c r="O170" i="22"/>
  <c r="O169" i="22"/>
  <c r="O168" i="22"/>
  <c r="O167" i="22"/>
  <c r="O166" i="22"/>
  <c r="O165" i="22"/>
  <c r="O164" i="22"/>
  <c r="O163" i="22"/>
  <c r="O162" i="22"/>
  <c r="O160" i="22"/>
  <c r="O159" i="22"/>
  <c r="O157" i="22"/>
  <c r="O156" i="22"/>
  <c r="O154" i="22"/>
  <c r="O153" i="22"/>
  <c r="O152" i="22"/>
  <c r="O151" i="22"/>
  <c r="O150" i="22"/>
  <c r="O149" i="22"/>
  <c r="O148" i="22"/>
  <c r="O147" i="22"/>
  <c r="O146" i="22"/>
  <c r="O144" i="22"/>
  <c r="O143" i="22"/>
  <c r="O140" i="22"/>
  <c r="O139" i="22"/>
  <c r="O138" i="22"/>
  <c r="O137" i="22"/>
  <c r="O136" i="22"/>
  <c r="O135" i="22"/>
  <c r="O134" i="22"/>
  <c r="O133" i="22"/>
  <c r="O132" i="22"/>
  <c r="O130" i="22"/>
  <c r="O129" i="22"/>
  <c r="O126" i="22"/>
  <c r="O125" i="22"/>
  <c r="O124" i="22"/>
  <c r="O123" i="22"/>
  <c r="O122" i="22"/>
  <c r="O120" i="22"/>
  <c r="O119" i="22"/>
  <c r="O115" i="22"/>
  <c r="O114" i="22"/>
  <c r="O113" i="22"/>
  <c r="O112" i="22"/>
  <c r="O111" i="22"/>
  <c r="O110" i="22"/>
  <c r="O109" i="22"/>
  <c r="O107" i="22"/>
  <c r="O106" i="22"/>
  <c r="O105" i="22"/>
  <c r="O104" i="22"/>
  <c r="O103" i="22"/>
  <c r="O102" i="22"/>
  <c r="O101" i="22"/>
  <c r="O100" i="22"/>
  <c r="O99" i="22"/>
  <c r="O98" i="22"/>
  <c r="O97" i="22"/>
  <c r="O96" i="22"/>
  <c r="O94" i="22"/>
  <c r="O93" i="22"/>
  <c r="O92" i="22"/>
  <c r="O90" i="22"/>
  <c r="O89" i="22"/>
  <c r="O87" i="22"/>
  <c r="O86" i="22"/>
  <c r="O84" i="22"/>
  <c r="O83" i="22"/>
  <c r="O82" i="22"/>
  <c r="O80" i="22"/>
  <c r="O79" i="22"/>
  <c r="O78" i="22"/>
  <c r="O77" i="22"/>
  <c r="O76" i="22"/>
  <c r="O75" i="22"/>
  <c r="O74" i="22"/>
  <c r="O73" i="22"/>
  <c r="O72" i="22"/>
  <c r="O69" i="22"/>
  <c r="O68" i="22"/>
  <c r="O66" i="22"/>
  <c r="O65" i="22"/>
  <c r="O61" i="22"/>
  <c r="O60" i="22"/>
  <c r="O59" i="22"/>
  <c r="O58" i="22"/>
  <c r="O57" i="22"/>
  <c r="O56" i="22"/>
  <c r="O55" i="22"/>
  <c r="O54" i="22"/>
  <c r="O53" i="22"/>
  <c r="O52" i="22"/>
  <c r="O51" i="22"/>
  <c r="O50" i="22"/>
  <c r="O47" i="22"/>
  <c r="O46" i="22"/>
  <c r="O45" i="22"/>
  <c r="O44" i="22"/>
  <c r="O43" i="22"/>
  <c r="O42" i="22"/>
  <c r="O39" i="22"/>
  <c r="O38" i="22"/>
  <c r="O37" i="22"/>
  <c r="O36" i="22"/>
  <c r="O34" i="22"/>
  <c r="O33" i="22"/>
  <c r="O30" i="22"/>
  <c r="O28" i="22"/>
  <c r="O23" i="22"/>
  <c r="O22" i="22"/>
  <c r="O20" i="22"/>
  <c r="O19" i="22"/>
  <c r="O18" i="22"/>
  <c r="O17" i="22"/>
  <c r="O16" i="22"/>
  <c r="O15" i="22"/>
  <c r="O12" i="22"/>
  <c r="O8" i="22"/>
  <c r="O5" i="22"/>
  <c r="O4" i="22"/>
  <c r="L240" i="22"/>
  <c r="L260" i="16"/>
  <c r="L260" i="22"/>
  <c r="L259" i="16"/>
  <c r="L259" i="22"/>
  <c r="L258" i="16"/>
  <c r="L258" i="22"/>
  <c r="L255" i="22"/>
  <c r="L254" i="22"/>
  <c r="L252" i="22"/>
  <c r="L251" i="22"/>
  <c r="L250" i="22"/>
  <c r="L249" i="22"/>
  <c r="L247" i="22"/>
  <c r="L245" i="22"/>
  <c r="L244" i="22"/>
  <c r="L242" i="22"/>
  <c r="L237" i="22"/>
  <c r="L233" i="22"/>
  <c r="L230" i="22"/>
  <c r="L228" i="22"/>
  <c r="L226" i="22"/>
  <c r="L225" i="22"/>
  <c r="L224" i="22"/>
  <c r="L223" i="22"/>
  <c r="L222" i="22"/>
  <c r="L221" i="22"/>
  <c r="L220" i="22"/>
  <c r="L218" i="22"/>
  <c r="L217" i="22"/>
  <c r="L215" i="22"/>
  <c r="L213" i="22"/>
  <c r="L212" i="22"/>
  <c r="L211" i="22"/>
  <c r="L210" i="22"/>
  <c r="L208" i="22"/>
  <c r="L207" i="22"/>
  <c r="L206" i="22"/>
  <c r="L204" i="22"/>
  <c r="L202" i="22"/>
  <c r="L200" i="22"/>
  <c r="L198" i="22"/>
  <c r="L197" i="22"/>
  <c r="L196" i="22"/>
  <c r="L195" i="22"/>
  <c r="L194" i="22"/>
  <c r="L193" i="22"/>
  <c r="L192" i="22"/>
  <c r="L191" i="22"/>
  <c r="L190" i="22"/>
  <c r="L189" i="22"/>
  <c r="L188" i="22"/>
  <c r="L187" i="22"/>
  <c r="L186" i="22"/>
  <c r="L184" i="22"/>
  <c r="L182" i="22"/>
  <c r="L181" i="22"/>
  <c r="L179" i="22"/>
  <c r="L178" i="22"/>
  <c r="L177" i="22"/>
  <c r="L175" i="22"/>
  <c r="L174" i="22"/>
  <c r="L173" i="22"/>
  <c r="L172" i="22"/>
  <c r="L171" i="22"/>
  <c r="L170" i="22"/>
  <c r="L169" i="22"/>
  <c r="L167" i="22"/>
  <c r="L165" i="22"/>
  <c r="L163" i="22"/>
  <c r="L162" i="22"/>
  <c r="L160" i="22"/>
  <c r="L159" i="22"/>
  <c r="L157" i="22"/>
  <c r="L156" i="22"/>
  <c r="L155" i="22"/>
  <c r="L154" i="22"/>
  <c r="L152" i="22"/>
  <c r="L151" i="22"/>
  <c r="L149" i="22"/>
  <c r="L148" i="22"/>
  <c r="L147" i="22"/>
  <c r="L146" i="22"/>
  <c r="L144" i="22"/>
  <c r="L143" i="22"/>
  <c r="L142" i="22"/>
  <c r="L141" i="22"/>
  <c r="L140" i="22"/>
  <c r="L139" i="22"/>
  <c r="L137" i="22"/>
  <c r="L136" i="22"/>
  <c r="L135" i="22"/>
  <c r="L134" i="22"/>
  <c r="L133" i="22"/>
  <c r="L131" i="22"/>
  <c r="L130" i="22"/>
  <c r="L129" i="22"/>
  <c r="L128" i="22"/>
  <c r="L127" i="22"/>
  <c r="L126" i="22"/>
  <c r="L125" i="22"/>
  <c r="L124" i="22"/>
  <c r="L123" i="22"/>
  <c r="L122" i="22"/>
  <c r="L120" i="22"/>
  <c r="L118" i="22"/>
  <c r="L117" i="22"/>
  <c r="L116" i="22"/>
  <c r="L115" i="22"/>
  <c r="L114" i="22"/>
  <c r="L113" i="22"/>
  <c r="L111" i="22"/>
  <c r="L109" i="22"/>
  <c r="L108" i="22"/>
  <c r="L107" i="22"/>
  <c r="L106" i="22"/>
  <c r="L105" i="22"/>
  <c r="L104" i="22"/>
  <c r="L103" i="22"/>
  <c r="L102" i="22"/>
  <c r="L99" i="22"/>
  <c r="L98" i="22"/>
  <c r="L97" i="22"/>
  <c r="L96" i="22"/>
  <c r="L95" i="22"/>
  <c r="L93" i="22"/>
  <c r="L92" i="22"/>
  <c r="L90" i="22"/>
  <c r="L89" i="22"/>
  <c r="L88" i="22"/>
  <c r="L86" i="22"/>
  <c r="L84" i="22"/>
  <c r="L83" i="22"/>
  <c r="L82" i="22"/>
  <c r="L81" i="22"/>
  <c r="L78" i="22"/>
  <c r="L77" i="22"/>
  <c r="L76" i="22"/>
  <c r="L75" i="22"/>
  <c r="L73" i="22"/>
  <c r="L72" i="22"/>
  <c r="L71" i="22"/>
  <c r="L70" i="22"/>
  <c r="L69" i="22"/>
  <c r="L68" i="22"/>
  <c r="L67" i="22"/>
  <c r="L64" i="22"/>
  <c r="L63" i="22"/>
  <c r="L62" i="22"/>
  <c r="L60" i="22"/>
  <c r="L59" i="22"/>
  <c r="L58" i="22"/>
  <c r="L57" i="22"/>
  <c r="L56" i="22"/>
  <c r="L54" i="22"/>
  <c r="L53" i="22"/>
  <c r="L52" i="22"/>
  <c r="L49" i="22"/>
  <c r="L48" i="22"/>
  <c r="L47" i="22"/>
  <c r="L46" i="22"/>
  <c r="L44" i="22"/>
  <c r="L43" i="22"/>
  <c r="L41" i="22"/>
  <c r="L40" i="22"/>
  <c r="L39" i="22"/>
  <c r="L37" i="22"/>
  <c r="L36" i="22"/>
  <c r="L35" i="22"/>
  <c r="L34" i="22"/>
  <c r="L32" i="22"/>
  <c r="L31" i="22"/>
  <c r="L30" i="22"/>
  <c r="L29" i="22"/>
  <c r="L28" i="22"/>
  <c r="L27" i="22"/>
  <c r="L26" i="22"/>
  <c r="L25" i="22"/>
  <c r="L24" i="22"/>
  <c r="L23" i="22"/>
  <c r="L22" i="22"/>
  <c r="L21" i="22"/>
  <c r="L20" i="22"/>
  <c r="L19" i="22"/>
  <c r="L18" i="22"/>
  <c r="L17" i="22"/>
  <c r="L16" i="22"/>
  <c r="L15" i="22"/>
  <c r="L10" i="22"/>
  <c r="L9" i="22"/>
  <c r="L5" i="22"/>
  <c r="L2" i="22"/>
  <c r="P240" i="22"/>
  <c r="P260" i="16"/>
  <c r="P260" i="22"/>
  <c r="P259" i="16"/>
  <c r="P259" i="22"/>
  <c r="P258" i="16"/>
  <c r="P258" i="22"/>
  <c r="P257" i="22"/>
  <c r="P255" i="22"/>
  <c r="P254" i="22"/>
  <c r="P253" i="22"/>
  <c r="P252" i="22"/>
  <c r="P251" i="22"/>
  <c r="P250" i="22"/>
  <c r="P249" i="22"/>
  <c r="P246" i="22"/>
  <c r="P245" i="22"/>
  <c r="P237" i="22"/>
  <c r="P234" i="22"/>
  <c r="P233" i="22"/>
  <c r="P232" i="22"/>
  <c r="P229" i="22"/>
  <c r="P225" i="22"/>
  <c r="P224" i="22"/>
  <c r="P223" i="22"/>
  <c r="P222" i="22"/>
  <c r="P221" i="22"/>
  <c r="P220" i="22"/>
  <c r="P219" i="22"/>
  <c r="P218" i="22"/>
  <c r="P217" i="22"/>
  <c r="P216" i="22"/>
  <c r="P215" i="22"/>
  <c r="P214" i="22"/>
  <c r="P213" i="22"/>
  <c r="P210" i="22"/>
  <c r="P209" i="22"/>
  <c r="P208" i="22"/>
  <c r="P206" i="22"/>
  <c r="P204" i="22"/>
  <c r="P203" i="22"/>
  <c r="P201" i="22"/>
  <c r="P199" i="22"/>
  <c r="P198" i="22"/>
  <c r="P196" i="22"/>
  <c r="P195" i="22"/>
  <c r="P193" i="22"/>
  <c r="P191" i="22"/>
  <c r="P189" i="22"/>
  <c r="P187" i="22"/>
  <c r="P186" i="22"/>
  <c r="P185" i="22"/>
  <c r="P182" i="22"/>
  <c r="P180" i="22"/>
  <c r="P179" i="22"/>
  <c r="P177" i="22"/>
  <c r="P176" i="22"/>
  <c r="P175" i="22"/>
  <c r="P173" i="22"/>
  <c r="P172" i="22"/>
  <c r="P171" i="22"/>
  <c r="P170" i="22"/>
  <c r="P169" i="22"/>
  <c r="P168" i="22"/>
  <c r="P167" i="22"/>
  <c r="P166" i="22"/>
  <c r="P165" i="22"/>
  <c r="P164" i="22"/>
  <c r="P163" i="22"/>
  <c r="P162" i="22"/>
  <c r="P160" i="22"/>
  <c r="P159" i="22"/>
  <c r="P158" i="22"/>
  <c r="P157" i="22"/>
  <c r="P154" i="22"/>
  <c r="P153" i="22"/>
  <c r="P152" i="22"/>
  <c r="P149" i="22"/>
  <c r="P148" i="22"/>
  <c r="P146" i="22"/>
  <c r="P145" i="22"/>
  <c r="P144" i="22"/>
  <c r="P143" i="22"/>
  <c r="P141" i="22"/>
  <c r="P140" i="22"/>
  <c r="P139" i="22"/>
  <c r="P138" i="22"/>
  <c r="P137" i="22"/>
  <c r="P136" i="22"/>
  <c r="P134" i="22"/>
  <c r="P133" i="22"/>
  <c r="P132" i="22"/>
  <c r="P130" i="22"/>
  <c r="P129" i="22"/>
  <c r="P128" i="22"/>
  <c r="P127" i="22"/>
  <c r="P125" i="22"/>
  <c r="P124" i="22"/>
  <c r="P123" i="22"/>
  <c r="P122" i="22"/>
  <c r="P121" i="22"/>
  <c r="P120" i="22"/>
  <c r="P119" i="22"/>
  <c r="P118" i="22"/>
  <c r="P117" i="22"/>
  <c r="P116" i="22"/>
  <c r="P113" i="22"/>
  <c r="P112" i="22"/>
  <c r="P111" i="22"/>
  <c r="P107" i="22"/>
  <c r="P106" i="22"/>
  <c r="P105" i="22"/>
  <c r="P103" i="22"/>
  <c r="P102" i="22"/>
  <c r="P101" i="22"/>
  <c r="P99" i="22"/>
  <c r="P98" i="22"/>
  <c r="P97" i="22"/>
  <c r="P96" i="22"/>
  <c r="P95" i="22"/>
  <c r="P92" i="22"/>
  <c r="P91" i="22"/>
  <c r="P89" i="22"/>
  <c r="P88" i="22"/>
  <c r="P86" i="22"/>
  <c r="P85" i="22"/>
  <c r="P84" i="22"/>
  <c r="P82" i="22"/>
  <c r="P81" i="22"/>
  <c r="P80" i="22"/>
  <c r="P79" i="22"/>
  <c r="P78" i="22"/>
  <c r="P76" i="22"/>
  <c r="P75" i="22"/>
  <c r="P71" i="22"/>
  <c r="P70" i="22"/>
  <c r="P69" i="22"/>
  <c r="P68" i="22"/>
  <c r="P67" i="22"/>
  <c r="P66" i="22"/>
  <c r="P65" i="22"/>
  <c r="P64" i="22"/>
  <c r="P62" i="22"/>
  <c r="P61" i="22"/>
  <c r="P60" i="22"/>
  <c r="P59" i="22"/>
  <c r="P58" i="22"/>
  <c r="P57" i="22"/>
  <c r="P56" i="22"/>
  <c r="P55" i="22"/>
  <c r="P54" i="22"/>
  <c r="P53" i="22"/>
  <c r="P52" i="22"/>
  <c r="P51" i="22"/>
  <c r="P50" i="22"/>
  <c r="P49" i="22"/>
  <c r="P48" i="22"/>
  <c r="P47" i="22"/>
  <c r="P46" i="22"/>
  <c r="P45" i="22"/>
  <c r="P44" i="22"/>
  <c r="P42" i="22"/>
  <c r="P41" i="22"/>
  <c r="P40" i="22"/>
  <c r="P39" i="22"/>
  <c r="P38" i="22"/>
  <c r="P35" i="22"/>
  <c r="P33" i="22"/>
  <c r="P32" i="22"/>
  <c r="P29" i="22"/>
  <c r="P25" i="22"/>
  <c r="P24" i="22"/>
  <c r="P23" i="22"/>
  <c r="P22" i="22"/>
  <c r="P20" i="22"/>
  <c r="P19" i="22"/>
  <c r="P18" i="22"/>
  <c r="P17" i="22"/>
  <c r="P16" i="22"/>
  <c r="P13" i="22"/>
  <c r="P9" i="22"/>
  <c r="P6" i="22"/>
  <c r="P5" i="22"/>
  <c r="R240" i="22"/>
  <c r="R260" i="16"/>
  <c r="R260" i="22"/>
  <c r="R259" i="16"/>
  <c r="R259" i="22"/>
  <c r="R258" i="16"/>
  <c r="R258" i="22"/>
  <c r="R257" i="22"/>
  <c r="R256" i="22"/>
  <c r="R254" i="22"/>
  <c r="R253" i="22"/>
  <c r="R252" i="22"/>
  <c r="R251" i="22"/>
  <c r="R250" i="22"/>
  <c r="R249" i="22"/>
  <c r="R246" i="22"/>
  <c r="R245" i="22"/>
  <c r="R241" i="22"/>
  <c r="R233" i="22"/>
  <c r="R232" i="22"/>
  <c r="R231" i="22"/>
  <c r="R230" i="22"/>
  <c r="R229" i="22"/>
  <c r="R228" i="22"/>
  <c r="R227" i="22"/>
  <c r="R226" i="22"/>
  <c r="R225" i="22"/>
  <c r="R224" i="22"/>
  <c r="R223" i="22"/>
  <c r="R222" i="22"/>
  <c r="R220" i="22"/>
  <c r="R219" i="22"/>
  <c r="R218" i="22"/>
  <c r="R215" i="22"/>
  <c r="R213" i="22"/>
  <c r="R212" i="22"/>
  <c r="R211" i="22"/>
  <c r="R210" i="22"/>
  <c r="R209" i="22"/>
  <c r="R208" i="22"/>
  <c r="R206" i="22"/>
  <c r="R204" i="22"/>
  <c r="R203" i="22"/>
  <c r="R201" i="22"/>
  <c r="R200" i="22"/>
  <c r="R199" i="22"/>
  <c r="R198" i="22"/>
  <c r="R197" i="22"/>
  <c r="R195" i="22"/>
  <c r="R192" i="22"/>
  <c r="R191" i="22"/>
  <c r="R190" i="22"/>
  <c r="R188" i="22"/>
  <c r="R187" i="22"/>
  <c r="R186" i="22"/>
  <c r="R185" i="22"/>
  <c r="R184" i="22"/>
  <c r="R183" i="22"/>
  <c r="R182" i="22"/>
  <c r="R181" i="22"/>
  <c r="R180" i="22"/>
  <c r="R178" i="22"/>
  <c r="R177" i="22"/>
  <c r="R176" i="22"/>
  <c r="R174" i="22"/>
  <c r="R171" i="22"/>
  <c r="R170" i="22"/>
  <c r="R169" i="22"/>
  <c r="R167" i="22"/>
  <c r="R166" i="22"/>
  <c r="R164" i="22"/>
  <c r="R162" i="22"/>
  <c r="R161" i="22"/>
  <c r="R160" i="22"/>
  <c r="R159" i="22"/>
  <c r="R158" i="22"/>
  <c r="R157" i="22"/>
  <c r="R156" i="22"/>
  <c r="R155" i="22"/>
  <c r="R154" i="22"/>
  <c r="R153" i="22"/>
  <c r="R152" i="22"/>
  <c r="R151" i="22"/>
  <c r="R150" i="22"/>
  <c r="R149" i="22"/>
  <c r="R148" i="22"/>
  <c r="R147" i="22"/>
  <c r="R146" i="22"/>
  <c r="R145" i="22"/>
  <c r="R144" i="22"/>
  <c r="R143" i="22"/>
  <c r="R142" i="22"/>
  <c r="R140" i="22"/>
  <c r="R139" i="22"/>
  <c r="R137" i="22"/>
  <c r="R136" i="22"/>
  <c r="R135" i="22"/>
  <c r="R134" i="22"/>
  <c r="R133" i="22"/>
  <c r="R132" i="22"/>
  <c r="R131" i="22"/>
  <c r="R130" i="22"/>
  <c r="R129" i="22"/>
  <c r="R128" i="22"/>
  <c r="R127" i="22"/>
  <c r="R126" i="22"/>
  <c r="R125" i="22"/>
  <c r="R124" i="22"/>
  <c r="R122" i="22"/>
  <c r="R121" i="22"/>
  <c r="R119" i="22"/>
  <c r="R117" i="22"/>
  <c r="R116" i="22"/>
  <c r="R115" i="22"/>
  <c r="R114" i="22"/>
  <c r="R112" i="22"/>
  <c r="R111" i="22"/>
  <c r="R110" i="22"/>
  <c r="R108" i="22"/>
  <c r="R107" i="22"/>
  <c r="R106" i="22"/>
  <c r="R105" i="22"/>
  <c r="R104" i="22"/>
  <c r="R102" i="22"/>
  <c r="R101" i="22"/>
  <c r="R100" i="22"/>
  <c r="R98" i="22"/>
  <c r="R97" i="22"/>
  <c r="R96" i="22"/>
  <c r="R95" i="22"/>
  <c r="R92" i="22"/>
  <c r="R91" i="22"/>
  <c r="R90" i="22"/>
  <c r="R89" i="22"/>
  <c r="R88" i="22"/>
  <c r="R86" i="22"/>
  <c r="R85" i="22"/>
  <c r="R84" i="22"/>
  <c r="R83" i="22"/>
  <c r="R82" i="22"/>
  <c r="R81" i="22"/>
  <c r="R80" i="22"/>
  <c r="R78" i="22"/>
  <c r="R77" i="22"/>
  <c r="R76" i="22"/>
  <c r="R75" i="22"/>
  <c r="R74" i="22"/>
  <c r="R73" i="22"/>
  <c r="R72" i="22"/>
  <c r="R71" i="22"/>
  <c r="R70" i="22"/>
  <c r="R68" i="22"/>
  <c r="R66" i="22"/>
  <c r="R65" i="22"/>
  <c r="R62" i="22"/>
  <c r="R61" i="22"/>
  <c r="R57" i="22"/>
  <c r="R56" i="22"/>
  <c r="R55" i="22"/>
  <c r="R54" i="22"/>
  <c r="R53" i="22"/>
  <c r="R52" i="22"/>
  <c r="R51" i="22"/>
  <c r="R50" i="22"/>
  <c r="R49" i="22"/>
  <c r="R48" i="22"/>
  <c r="R47" i="22"/>
  <c r="R46" i="22"/>
  <c r="R45" i="22"/>
  <c r="R43" i="22"/>
  <c r="R42" i="22"/>
  <c r="R41" i="22"/>
  <c r="R40" i="22"/>
  <c r="R39" i="22"/>
  <c r="R38" i="22"/>
  <c r="R37" i="22"/>
  <c r="R36" i="22"/>
  <c r="R35" i="22"/>
  <c r="R34" i="22"/>
  <c r="R33" i="22"/>
  <c r="R32" i="22"/>
  <c r="R31" i="22"/>
  <c r="R30" i="22"/>
  <c r="R29" i="22"/>
  <c r="R28" i="22"/>
  <c r="R27" i="22"/>
  <c r="R26" i="22"/>
  <c r="R25" i="22"/>
  <c r="R24" i="22"/>
  <c r="R21" i="22"/>
  <c r="R19" i="22"/>
  <c r="R18" i="22"/>
  <c r="R14" i="22"/>
  <c r="R13" i="22"/>
  <c r="R8" i="22"/>
  <c r="R7" i="22"/>
  <c r="R3" i="22"/>
  <c r="Q240" i="22"/>
  <c r="Q260" i="16"/>
  <c r="Q260" i="22"/>
  <c r="Q259" i="16"/>
  <c r="Q259" i="22"/>
  <c r="Q258" i="16"/>
  <c r="Q258" i="22"/>
  <c r="Q257" i="22"/>
  <c r="Q256" i="22"/>
  <c r="Q255" i="22"/>
  <c r="Q253" i="22"/>
  <c r="Q252" i="22"/>
  <c r="Q251" i="22"/>
  <c r="Q250" i="22"/>
  <c r="Q249" i="22"/>
  <c r="Q247" i="22"/>
  <c r="Q246" i="22"/>
  <c r="Q245" i="22"/>
  <c r="Q244" i="22"/>
  <c r="Q243" i="22"/>
  <c r="Q242" i="22"/>
  <c r="Q241" i="22"/>
  <c r="Q237" i="22"/>
  <c r="Q232" i="22"/>
  <c r="Q231" i="22"/>
  <c r="Q230" i="22"/>
  <c r="Q229" i="22"/>
  <c r="Q227" i="22"/>
  <c r="Q226" i="22"/>
  <c r="Q224" i="22"/>
  <c r="Q223" i="22"/>
  <c r="Q221" i="22"/>
  <c r="Q219" i="22"/>
  <c r="Q218" i="22"/>
  <c r="Q217" i="22"/>
  <c r="Q216" i="22"/>
  <c r="Q215" i="22"/>
  <c r="Q212" i="22"/>
  <c r="Q211" i="22"/>
  <c r="Q210" i="22"/>
  <c r="Q209" i="22"/>
  <c r="Q207" i="22"/>
  <c r="Q206" i="22"/>
  <c r="Q205" i="22"/>
  <c r="Q204" i="22"/>
  <c r="Q203" i="22"/>
  <c r="Q202" i="22"/>
  <c r="Q201" i="22"/>
  <c r="Q200" i="22"/>
  <c r="Q195" i="22"/>
  <c r="Q194" i="22"/>
  <c r="Q193" i="22"/>
  <c r="Q192" i="22"/>
  <c r="Q191" i="22"/>
  <c r="Q190" i="22"/>
  <c r="Q189" i="22"/>
  <c r="Q187" i="22"/>
  <c r="Q186" i="22"/>
  <c r="Q185" i="22"/>
  <c r="Q184" i="22"/>
  <c r="Q183" i="22"/>
  <c r="Q181" i="22"/>
  <c r="Q179" i="22"/>
  <c r="Q176" i="22"/>
  <c r="Q174" i="22"/>
  <c r="Q173" i="22"/>
  <c r="Q172" i="22"/>
  <c r="Q171" i="22"/>
  <c r="Q170" i="22"/>
  <c r="Q166" i="22"/>
  <c r="Q165" i="22"/>
  <c r="Q164" i="22"/>
  <c r="Q163" i="22"/>
  <c r="Q162" i="22"/>
  <c r="Q156" i="22"/>
  <c r="Q155" i="22"/>
  <c r="Q153" i="22"/>
  <c r="Q151" i="22"/>
  <c r="Q149" i="22"/>
  <c r="Q148" i="22"/>
  <c r="Q147" i="22"/>
  <c r="Q146" i="22"/>
  <c r="Q144" i="22"/>
  <c r="Q143" i="22"/>
  <c r="Q140" i="22"/>
  <c r="Q139" i="22"/>
  <c r="Q138" i="22"/>
  <c r="Q137" i="22"/>
  <c r="Q136" i="22"/>
  <c r="Q134" i="22"/>
  <c r="Q133" i="22"/>
  <c r="Q132" i="22"/>
  <c r="Q130" i="22"/>
  <c r="Q128" i="22"/>
  <c r="Q127" i="22"/>
  <c r="Q126" i="22"/>
  <c r="Q125" i="22"/>
  <c r="Q124" i="22"/>
  <c r="Q122" i="22"/>
  <c r="Q121" i="22"/>
  <c r="Q120" i="22"/>
  <c r="Q118" i="22"/>
  <c r="Q117" i="22"/>
  <c r="Q116" i="22"/>
  <c r="Q115" i="22"/>
  <c r="Q114" i="22"/>
  <c r="Q113" i="22"/>
  <c r="Q112" i="22"/>
  <c r="Q110" i="22"/>
  <c r="Q109" i="22"/>
  <c r="Q107" i="22"/>
  <c r="Q105" i="22"/>
  <c r="Q103" i="22"/>
  <c r="Q102" i="22"/>
  <c r="Q101" i="22"/>
  <c r="Q100" i="22"/>
  <c r="Q98" i="22"/>
  <c r="Q97" i="22"/>
  <c r="Q96" i="22"/>
  <c r="Q95" i="22"/>
  <c r="Q93" i="22"/>
  <c r="Q92" i="22"/>
  <c r="Q91" i="22"/>
  <c r="Q89" i="22"/>
  <c r="Q88" i="22"/>
  <c r="Q87" i="22"/>
  <c r="Q85" i="22"/>
  <c r="Q84" i="22"/>
  <c r="Q83" i="22"/>
  <c r="Q81" i="22"/>
  <c r="Q78" i="22"/>
  <c r="Q75" i="22"/>
  <c r="Q74" i="22"/>
  <c r="Q73" i="22"/>
  <c r="Q72" i="22"/>
  <c r="Q70" i="22"/>
  <c r="Q69" i="22"/>
  <c r="Q66" i="22"/>
  <c r="Q65" i="22"/>
  <c r="Q60" i="22"/>
  <c r="Q58" i="22"/>
  <c r="Q57" i="22"/>
  <c r="Q56" i="22"/>
  <c r="Q52" i="22"/>
  <c r="Q51" i="22"/>
  <c r="Q50" i="22"/>
  <c r="Q48" i="22"/>
  <c r="Q47" i="22"/>
  <c r="Q45" i="22"/>
  <c r="Q44" i="22"/>
  <c r="Q43" i="22"/>
  <c r="Q42" i="22"/>
  <c r="Q40" i="22"/>
  <c r="Q39" i="22"/>
  <c r="Q38" i="22"/>
  <c r="Q35" i="22"/>
  <c r="Q33" i="22"/>
  <c r="Q32" i="22"/>
  <c r="Q30" i="22"/>
  <c r="Q29" i="22"/>
  <c r="Q28" i="22"/>
  <c r="Q27" i="22"/>
  <c r="Q25" i="22"/>
  <c r="Q24" i="22"/>
  <c r="Q23" i="22"/>
  <c r="Q22" i="22"/>
  <c r="Q21" i="22"/>
  <c r="Q20" i="22"/>
  <c r="Q19" i="22"/>
  <c r="Q16" i="22"/>
  <c r="Q13" i="22"/>
  <c r="Q7" i="22"/>
  <c r="Q6" i="22"/>
  <c r="Q2" i="22"/>
  <c r="S240" i="22"/>
  <c r="S260" i="16"/>
  <c r="S260" i="22"/>
  <c r="S258" i="16"/>
  <c r="S258" i="22"/>
  <c r="S257" i="22"/>
  <c r="S256" i="22"/>
  <c r="S255" i="22"/>
  <c r="S254" i="22"/>
  <c r="S253" i="22"/>
  <c r="S252" i="22"/>
  <c r="S251" i="22"/>
  <c r="S250" i="22"/>
  <c r="S246" i="22"/>
  <c r="S245" i="22"/>
  <c r="S244" i="22"/>
  <c r="S243" i="22"/>
  <c r="S241" i="22"/>
  <c r="S234" i="22"/>
  <c r="S233" i="22"/>
  <c r="S231" i="22"/>
  <c r="S230" i="22"/>
  <c r="S226" i="22"/>
  <c r="S225" i="22"/>
  <c r="S224" i="22"/>
  <c r="S223" i="22"/>
  <c r="S221" i="22"/>
  <c r="S220" i="22"/>
  <c r="S219" i="22"/>
  <c r="S217" i="22"/>
  <c r="S216" i="22"/>
  <c r="S215" i="22"/>
  <c r="S214" i="22"/>
  <c r="S213" i="22"/>
  <c r="S212" i="22"/>
  <c r="S210" i="22"/>
  <c r="S209" i="22"/>
  <c r="S208" i="22"/>
  <c r="S207" i="22"/>
  <c r="S205" i="22"/>
  <c r="S204" i="22"/>
  <c r="S203" i="22"/>
  <c r="S202" i="22"/>
  <c r="S201" i="22"/>
  <c r="S200" i="22"/>
  <c r="S198" i="22"/>
  <c r="S197" i="22"/>
  <c r="S196" i="22"/>
  <c r="S195" i="22"/>
  <c r="S194" i="22"/>
  <c r="S192" i="22"/>
  <c r="S191" i="22"/>
  <c r="S190" i="22"/>
  <c r="S189" i="22"/>
  <c r="S188" i="22"/>
  <c r="S186" i="22"/>
  <c r="S184" i="22"/>
  <c r="S182" i="22"/>
  <c r="S181" i="22"/>
  <c r="S180" i="22"/>
  <c r="S179" i="22"/>
  <c r="S177" i="22"/>
  <c r="S176" i="22"/>
  <c r="S175" i="22"/>
  <c r="S174" i="22"/>
  <c r="S173" i="22"/>
  <c r="S172" i="22"/>
  <c r="S171" i="22"/>
  <c r="S170" i="22"/>
  <c r="S169" i="22"/>
  <c r="S167" i="22"/>
  <c r="S166" i="22"/>
  <c r="S165" i="22"/>
  <c r="S164" i="22"/>
  <c r="S163" i="22"/>
  <c r="S162" i="22"/>
  <c r="S161" i="22"/>
  <c r="S160" i="22"/>
  <c r="S159" i="22"/>
  <c r="S158" i="22"/>
  <c r="S157" i="22"/>
  <c r="S156" i="22"/>
  <c r="S155" i="22"/>
  <c r="S154" i="22"/>
  <c r="S153" i="22"/>
  <c r="S152" i="22"/>
  <c r="S151" i="22"/>
  <c r="S150" i="22"/>
  <c r="S149" i="22"/>
  <c r="S147" i="22"/>
  <c r="S141" i="22"/>
  <c r="S140" i="22"/>
  <c r="S139" i="22"/>
  <c r="S138" i="22"/>
  <c r="S137" i="22"/>
  <c r="S136" i="22"/>
  <c r="S134" i="22"/>
  <c r="S131" i="22"/>
  <c r="S130" i="22"/>
  <c r="S129" i="22"/>
  <c r="S127" i="22"/>
  <c r="S126" i="22"/>
  <c r="S125" i="22"/>
  <c r="S124" i="22"/>
  <c r="S122" i="22"/>
  <c r="S121" i="22"/>
  <c r="S118" i="22"/>
  <c r="S116" i="22"/>
  <c r="S113" i="22"/>
  <c r="S112" i="22"/>
  <c r="S106" i="22"/>
  <c r="S105" i="22"/>
  <c r="S103" i="22"/>
  <c r="S102" i="22"/>
  <c r="S101" i="22"/>
  <c r="S99" i="22"/>
  <c r="S98" i="22"/>
  <c r="S97" i="22"/>
  <c r="S96" i="22"/>
  <c r="S95" i="22"/>
  <c r="S94" i="22"/>
  <c r="S93" i="22"/>
  <c r="S92" i="22"/>
  <c r="S91" i="22"/>
  <c r="S90" i="22"/>
  <c r="S89" i="22"/>
  <c r="S87" i="22"/>
  <c r="S85" i="22"/>
  <c r="S84" i="22"/>
  <c r="S83" i="22"/>
  <c r="S82" i="22"/>
  <c r="S81" i="22"/>
  <c r="S80" i="22"/>
  <c r="S79" i="22"/>
  <c r="S78" i="22"/>
  <c r="S77" i="22"/>
  <c r="S76" i="22"/>
  <c r="S75" i="22"/>
  <c r="S74" i="22"/>
  <c r="S73" i="22"/>
  <c r="S72" i="22"/>
  <c r="S71" i="22"/>
  <c r="S70" i="22"/>
  <c r="S69" i="22"/>
  <c r="S67" i="22"/>
  <c r="S65" i="22"/>
  <c r="S64" i="22"/>
  <c r="S62" i="22"/>
  <c r="S61" i="22"/>
  <c r="S59" i="22"/>
  <c r="S58" i="22"/>
  <c r="S57" i="22"/>
  <c r="S56" i="22"/>
  <c r="S55" i="22"/>
  <c r="S54" i="22"/>
  <c r="S53" i="22"/>
  <c r="S52" i="22"/>
  <c r="S51" i="22"/>
  <c r="S50" i="22"/>
  <c r="S49" i="22"/>
  <c r="S47" i="22"/>
  <c r="S45" i="22"/>
  <c r="S44" i="22"/>
  <c r="S43" i="22"/>
  <c r="S41" i="22"/>
  <c r="S40" i="22"/>
  <c r="S39" i="22"/>
  <c r="S38" i="22"/>
  <c r="S37" i="22"/>
  <c r="S36" i="22"/>
  <c r="S34" i="22"/>
  <c r="S33" i="22"/>
  <c r="S30" i="22"/>
  <c r="S29" i="22"/>
  <c r="S26" i="22"/>
  <c r="S25" i="22"/>
  <c r="S24" i="22"/>
  <c r="S23" i="22"/>
  <c r="S21" i="22"/>
  <c r="S19" i="22"/>
  <c r="S18" i="22"/>
  <c r="S16" i="22"/>
  <c r="S14" i="22"/>
  <c r="S12" i="22"/>
  <c r="S4" i="22"/>
  <c r="F240" i="22"/>
  <c r="F260" i="16"/>
  <c r="F260" i="22"/>
  <c r="F259" i="16"/>
  <c r="F259" i="22"/>
  <c r="F258" i="16"/>
  <c r="F258" i="22"/>
  <c r="F257" i="22"/>
  <c r="F256" i="22"/>
  <c r="F255" i="22"/>
  <c r="F254" i="22"/>
  <c r="F252" i="22"/>
  <c r="F251" i="22"/>
  <c r="F248" i="22"/>
  <c r="F247" i="22"/>
  <c r="F245" i="22"/>
  <c r="F243" i="22"/>
  <c r="F242" i="22"/>
  <c r="F241" i="22"/>
  <c r="F234" i="22"/>
  <c r="F233" i="22"/>
  <c r="F231" i="22"/>
  <c r="F230" i="22"/>
  <c r="F228" i="22"/>
  <c r="F227" i="22"/>
  <c r="F226" i="22"/>
  <c r="F225" i="22"/>
  <c r="F224" i="22"/>
  <c r="F223" i="22"/>
  <c r="F221" i="22"/>
  <c r="F220" i="22"/>
  <c r="F219" i="22"/>
  <c r="F218" i="22"/>
  <c r="F217" i="22"/>
  <c r="F216" i="22"/>
  <c r="F215" i="22"/>
  <c r="F214" i="22"/>
  <c r="F213" i="22"/>
  <c r="F211" i="22"/>
  <c r="F210" i="22"/>
  <c r="F209" i="22"/>
  <c r="F208" i="22"/>
  <c r="F207" i="22"/>
  <c r="F206" i="22"/>
  <c r="F205" i="22"/>
  <c r="F204" i="22"/>
  <c r="F203" i="22"/>
  <c r="F202" i="22"/>
  <c r="F200" i="22"/>
  <c r="F199" i="22"/>
  <c r="F198" i="22"/>
  <c r="F196" i="22"/>
  <c r="F195" i="22"/>
  <c r="F194" i="22"/>
  <c r="F192" i="22"/>
  <c r="F190" i="22"/>
  <c r="F189" i="22"/>
  <c r="F188" i="22"/>
  <c r="F187" i="22"/>
  <c r="F185" i="22"/>
  <c r="F183" i="22"/>
  <c r="F182" i="22"/>
  <c r="F181" i="22"/>
  <c r="F180" i="22"/>
  <c r="F179" i="22"/>
  <c r="F178" i="22"/>
  <c r="F176" i="22"/>
  <c r="F175" i="22"/>
  <c r="F174" i="22"/>
  <c r="F173" i="22"/>
  <c r="F172" i="22"/>
  <c r="F171" i="22"/>
  <c r="F170" i="22"/>
  <c r="F168" i="22"/>
  <c r="F166" i="22"/>
  <c r="F164" i="22"/>
  <c r="F163" i="22"/>
  <c r="F162" i="22"/>
  <c r="F161" i="22"/>
  <c r="F160" i="22"/>
  <c r="F159" i="22"/>
  <c r="F158" i="22"/>
  <c r="F157" i="22"/>
  <c r="F155" i="22"/>
  <c r="F153" i="22"/>
  <c r="F151" i="22"/>
  <c r="F150" i="22"/>
  <c r="F149" i="22"/>
  <c r="F147" i="22"/>
  <c r="F146" i="22"/>
  <c r="F145" i="22"/>
  <c r="F144" i="22"/>
  <c r="F143" i="22"/>
  <c r="F142" i="22"/>
  <c r="F141" i="22"/>
  <c r="F140" i="22"/>
  <c r="F139" i="22"/>
  <c r="F133" i="22"/>
  <c r="F132" i="22"/>
  <c r="F131" i="22"/>
  <c r="F128" i="22"/>
  <c r="F127" i="22"/>
  <c r="F126" i="22"/>
  <c r="F125" i="22"/>
  <c r="F124" i="22"/>
  <c r="F123" i="22"/>
  <c r="F122" i="22"/>
  <c r="F121" i="22"/>
  <c r="F118" i="22"/>
  <c r="F116" i="22"/>
  <c r="F114" i="22"/>
  <c r="F113" i="22"/>
  <c r="F112" i="22"/>
  <c r="F111" i="22"/>
  <c r="F110" i="22"/>
  <c r="F109" i="22"/>
  <c r="F108" i="22"/>
  <c r="F107" i="22"/>
  <c r="F106" i="22"/>
  <c r="F105" i="22"/>
  <c r="F104" i="22"/>
  <c r="F103" i="22"/>
  <c r="F102" i="22"/>
  <c r="F101" i="22"/>
  <c r="F97" i="22"/>
  <c r="F93" i="22"/>
  <c r="F91" i="22"/>
  <c r="F90" i="22"/>
  <c r="F88" i="22"/>
  <c r="F87" i="22"/>
  <c r="F85" i="22"/>
  <c r="F84" i="22"/>
  <c r="F83" i="22"/>
  <c r="F81" i="22"/>
  <c r="F80" i="22"/>
  <c r="F77" i="22"/>
  <c r="F76" i="22"/>
  <c r="F75" i="22"/>
  <c r="F74" i="22"/>
  <c r="F72" i="22"/>
  <c r="F71" i="22"/>
  <c r="F70" i="22"/>
  <c r="F69" i="22"/>
  <c r="F68" i="22"/>
  <c r="F67" i="22"/>
  <c r="F66" i="22"/>
  <c r="F65" i="22"/>
  <c r="F64" i="22"/>
  <c r="F61" i="22"/>
  <c r="F60" i="22"/>
  <c r="F59" i="22"/>
  <c r="F57" i="22"/>
  <c r="F56" i="22"/>
  <c r="F55" i="22"/>
  <c r="F54" i="22"/>
  <c r="F53" i="22"/>
  <c r="F52" i="22"/>
  <c r="F48" i="22"/>
  <c r="F47" i="22"/>
  <c r="F46" i="22"/>
  <c r="F45" i="22"/>
  <c r="F44" i="22"/>
  <c r="F43" i="22"/>
  <c r="F42" i="22"/>
  <c r="F41" i="22"/>
  <c r="F39" i="22"/>
  <c r="F36" i="22"/>
  <c r="F35" i="22"/>
  <c r="F34" i="22"/>
  <c r="F33" i="22"/>
  <c r="F30" i="22"/>
  <c r="F29" i="22"/>
  <c r="F28" i="22"/>
  <c r="F26" i="22"/>
  <c r="F25" i="22"/>
  <c r="F24" i="22"/>
  <c r="F23" i="22"/>
  <c r="F20" i="22"/>
  <c r="F19" i="22"/>
  <c r="F18" i="22"/>
  <c r="F17" i="22"/>
  <c r="F16" i="22"/>
  <c r="F13" i="22"/>
  <c r="F12" i="22"/>
  <c r="F11" i="22"/>
  <c r="F6" i="22"/>
  <c r="F3" i="22"/>
  <c r="M240" i="22"/>
  <c r="M260" i="16"/>
  <c r="M260" i="22"/>
  <c r="M259" i="16"/>
  <c r="M259" i="22"/>
  <c r="M258" i="16"/>
  <c r="M258" i="22"/>
  <c r="M257" i="22"/>
  <c r="M255" i="22"/>
  <c r="M254" i="22"/>
  <c r="M253" i="22"/>
  <c r="M250" i="22"/>
  <c r="M248" i="22"/>
  <c r="M246" i="22"/>
  <c r="M243" i="22"/>
  <c r="M242" i="22"/>
  <c r="M241" i="22"/>
  <c r="M237" i="22"/>
  <c r="M234" i="22"/>
  <c r="M233" i="22"/>
  <c r="M230" i="22"/>
  <c r="M229" i="22"/>
  <c r="M228" i="22"/>
  <c r="M227" i="22"/>
  <c r="M226" i="22"/>
  <c r="M224" i="22"/>
  <c r="M223" i="22"/>
  <c r="M222" i="22"/>
  <c r="M220" i="22"/>
  <c r="M217" i="22"/>
  <c r="M216" i="22"/>
  <c r="M215" i="22"/>
  <c r="M214" i="22"/>
  <c r="M213" i="22"/>
  <c r="M209" i="22"/>
  <c r="M206" i="22"/>
  <c r="M205" i="22"/>
  <c r="M204" i="22"/>
  <c r="M202" i="22"/>
  <c r="M201" i="22"/>
  <c r="M199" i="22"/>
  <c r="M198" i="22"/>
  <c r="M197" i="22"/>
  <c r="M196" i="22"/>
  <c r="M195" i="22"/>
  <c r="M194" i="22"/>
  <c r="M193" i="22"/>
  <c r="M192" i="22"/>
  <c r="M191" i="22"/>
  <c r="M189" i="22"/>
  <c r="M188" i="22"/>
  <c r="M187" i="22"/>
  <c r="M182" i="22"/>
  <c r="M180" i="22"/>
  <c r="M179" i="22"/>
  <c r="M178" i="22"/>
  <c r="M177" i="22"/>
  <c r="M176" i="22"/>
  <c r="M175" i="22"/>
  <c r="M174" i="22"/>
  <c r="M173" i="22"/>
  <c r="M172" i="22"/>
  <c r="M171" i="22"/>
  <c r="M170" i="22"/>
  <c r="M168" i="22"/>
  <c r="M167" i="22"/>
  <c r="M166" i="22"/>
  <c r="M165" i="22"/>
  <c r="M164" i="22"/>
  <c r="M163" i="22"/>
  <c r="M162" i="22"/>
  <c r="M161" i="22"/>
  <c r="M159" i="22"/>
  <c r="M157" i="22"/>
  <c r="M154" i="22"/>
  <c r="M153" i="22"/>
  <c r="M152" i="22"/>
  <c r="M151" i="22"/>
  <c r="M150" i="22"/>
  <c r="M149" i="22"/>
  <c r="M148" i="22"/>
  <c r="M147" i="22"/>
  <c r="M146" i="22"/>
  <c r="M144" i="22"/>
  <c r="M143" i="22"/>
  <c r="M142" i="22"/>
  <c r="M141" i="22"/>
  <c r="M140" i="22"/>
  <c r="M139" i="22"/>
  <c r="M138" i="22"/>
  <c r="M137" i="22"/>
  <c r="M136" i="22"/>
  <c r="M135" i="22"/>
  <c r="M134" i="22"/>
  <c r="M133" i="22"/>
  <c r="M132" i="22"/>
  <c r="M131" i="22"/>
  <c r="M129" i="22"/>
  <c r="M128" i="22"/>
  <c r="M126" i="22"/>
  <c r="M125" i="22"/>
  <c r="M123" i="22"/>
  <c r="M122" i="22"/>
  <c r="M119" i="22"/>
  <c r="M117" i="22"/>
  <c r="M116" i="22"/>
  <c r="M115" i="22"/>
  <c r="M114" i="22"/>
  <c r="M112" i="22"/>
  <c r="M111" i="22"/>
  <c r="M109" i="22"/>
  <c r="M108" i="22"/>
  <c r="M105" i="22"/>
  <c r="M104" i="22"/>
  <c r="M103" i="22"/>
  <c r="M102" i="22"/>
  <c r="M101" i="22"/>
  <c r="M100" i="22"/>
  <c r="M99" i="22"/>
  <c r="M97" i="22"/>
  <c r="M96" i="22"/>
  <c r="M94" i="22"/>
  <c r="M93" i="22"/>
  <c r="M92" i="22"/>
  <c r="M91" i="22"/>
  <c r="M89" i="22"/>
  <c r="M88" i="22"/>
  <c r="M87" i="22"/>
  <c r="M86" i="22"/>
  <c r="M84" i="22"/>
  <c r="M83" i="22"/>
  <c r="M82" i="22"/>
  <c r="M80" i="22"/>
  <c r="M77" i="22"/>
  <c r="M76" i="22"/>
  <c r="M74" i="22"/>
  <c r="M73" i="22"/>
  <c r="M72" i="22"/>
  <c r="M71" i="22"/>
  <c r="M70" i="22"/>
  <c r="M69" i="22"/>
  <c r="M68" i="22"/>
  <c r="M67" i="22"/>
  <c r="M66" i="22"/>
  <c r="M65" i="22"/>
  <c r="M64" i="22"/>
  <c r="M63" i="22"/>
  <c r="M62" i="22"/>
  <c r="M61" i="22"/>
  <c r="M60" i="22"/>
  <c r="M59" i="22"/>
  <c r="M58" i="22"/>
  <c r="M57" i="22"/>
  <c r="M56" i="22"/>
  <c r="M55" i="22"/>
  <c r="M54" i="22"/>
  <c r="M53" i="22"/>
  <c r="M52" i="22"/>
  <c r="M51" i="22"/>
  <c r="M50" i="22"/>
  <c r="M49" i="22"/>
  <c r="M48" i="22"/>
  <c r="M47" i="22"/>
  <c r="M46" i="22"/>
  <c r="M45" i="22"/>
  <c r="M44" i="22"/>
  <c r="M42" i="22"/>
  <c r="M41" i="22"/>
  <c r="M39" i="22"/>
  <c r="M38" i="22"/>
  <c r="M37" i="22"/>
  <c r="M36" i="22"/>
  <c r="M34" i="22"/>
  <c r="M33" i="22"/>
  <c r="M31" i="22"/>
  <c r="M29" i="22"/>
  <c r="M28" i="22"/>
  <c r="M27" i="22"/>
  <c r="M26" i="22"/>
  <c r="M25" i="22"/>
  <c r="M23" i="22"/>
  <c r="M22" i="22"/>
  <c r="M21" i="22"/>
  <c r="M20" i="22"/>
  <c r="M19" i="22"/>
  <c r="M18" i="22"/>
  <c r="M17" i="22"/>
  <c r="M16" i="22"/>
  <c r="M14" i="22"/>
  <c r="M11" i="22"/>
  <c r="M10" i="22"/>
  <c r="M6" i="22"/>
  <c r="M3" i="22"/>
  <c r="M2" i="22"/>
  <c r="H240" i="22"/>
  <c r="H259" i="16"/>
  <c r="H259" i="22"/>
  <c r="H258" i="16"/>
  <c r="H258" i="22"/>
  <c r="H255" i="22"/>
  <c r="H253" i="22"/>
  <c r="H251" i="22"/>
  <c r="H250" i="22"/>
  <c r="H247" i="22"/>
  <c r="H246" i="22"/>
  <c r="H245" i="22"/>
  <c r="H243" i="22"/>
  <c r="H242" i="22"/>
  <c r="H241" i="22"/>
  <c r="H237" i="22"/>
  <c r="H234" i="22"/>
  <c r="H233" i="22"/>
  <c r="H232" i="22"/>
  <c r="H231" i="22"/>
  <c r="H230" i="22"/>
  <c r="H229" i="22"/>
  <c r="H228" i="22"/>
  <c r="H227" i="22"/>
  <c r="H226" i="22"/>
  <c r="H225" i="22"/>
  <c r="H224" i="22"/>
  <c r="H222" i="22"/>
  <c r="H221" i="22"/>
  <c r="H220" i="22"/>
  <c r="H219" i="22"/>
  <c r="H217" i="22"/>
  <c r="H216" i="22"/>
  <c r="H214" i="22"/>
  <c r="H213" i="22"/>
  <c r="H211" i="22"/>
  <c r="H210" i="22"/>
  <c r="H208" i="22"/>
  <c r="H207" i="22"/>
  <c r="H206" i="22"/>
  <c r="H205" i="22"/>
  <c r="H204" i="22"/>
  <c r="H203" i="22"/>
  <c r="H202" i="22"/>
  <c r="H201" i="22"/>
  <c r="H200" i="22"/>
  <c r="H199" i="22"/>
  <c r="H198" i="22"/>
  <c r="H197" i="22"/>
  <c r="H196" i="22"/>
  <c r="H194" i="22"/>
  <c r="H193" i="22"/>
  <c r="H192" i="22"/>
  <c r="H190" i="22"/>
  <c r="H187" i="22"/>
  <c r="H186" i="22"/>
  <c r="H185" i="22"/>
  <c r="H184" i="22"/>
  <c r="H183" i="22"/>
  <c r="H182" i="22"/>
  <c r="H179" i="22"/>
  <c r="H178" i="22"/>
  <c r="H177" i="22"/>
  <c r="H176" i="22"/>
  <c r="H174" i="22"/>
  <c r="H171" i="22"/>
  <c r="H170" i="22"/>
  <c r="H169" i="22"/>
  <c r="H167" i="22"/>
  <c r="H166" i="22"/>
  <c r="H165" i="22"/>
  <c r="H164" i="22"/>
  <c r="H163" i="22"/>
  <c r="H162" i="22"/>
  <c r="H158" i="22"/>
  <c r="H157" i="22"/>
  <c r="H156" i="22"/>
  <c r="H155" i="22"/>
  <c r="H153" i="22"/>
  <c r="H149" i="22"/>
  <c r="H148" i="22"/>
  <c r="H145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0" i="22"/>
  <c r="H127" i="22"/>
  <c r="H124" i="22"/>
  <c r="H122" i="22"/>
  <c r="H121" i="22"/>
  <c r="H120" i="22"/>
  <c r="H118" i="22"/>
  <c r="H117" i="22"/>
  <c r="H116" i="22"/>
  <c r="H113" i="22"/>
  <c r="H112" i="22"/>
  <c r="H111" i="22"/>
  <c r="H110" i="22"/>
  <c r="H107" i="22"/>
  <c r="H105" i="22"/>
  <c r="H104" i="22"/>
  <c r="H103" i="22"/>
  <c r="H102" i="22"/>
  <c r="H101" i="22"/>
  <c r="H100" i="22"/>
  <c r="H98" i="22"/>
  <c r="H95" i="22"/>
  <c r="H93" i="22"/>
  <c r="H92" i="22"/>
  <c r="H91" i="22"/>
  <c r="H90" i="22"/>
  <c r="H89" i="22"/>
  <c r="H87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0" i="22"/>
  <c r="H69" i="22"/>
  <c r="H68" i="22"/>
  <c r="H67" i="22"/>
  <c r="H64" i="22"/>
  <c r="H62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3" i="22"/>
  <c r="H42" i="22"/>
  <c r="H41" i="22"/>
  <c r="H39" i="22"/>
  <c r="H38" i="22"/>
  <c r="H36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3" i="22"/>
  <c r="H11" i="22"/>
  <c r="H8" i="22"/>
  <c r="H7" i="22"/>
  <c r="H3" i="22"/>
  <c r="G240" i="22"/>
  <c r="G260" i="16"/>
  <c r="G260" i="22"/>
  <c r="G259" i="16"/>
  <c r="G259" i="22"/>
  <c r="G258" i="16"/>
  <c r="G258" i="22"/>
  <c r="G257" i="22"/>
  <c r="G256" i="22"/>
  <c r="G255" i="22"/>
  <c r="G254" i="22"/>
  <c r="G253" i="22"/>
  <c r="G252" i="22"/>
  <c r="G250" i="22"/>
  <c r="G249" i="22"/>
  <c r="G248" i="22"/>
  <c r="G247" i="22"/>
  <c r="G246" i="22"/>
  <c r="G244" i="22"/>
  <c r="G243" i="22"/>
  <c r="G241" i="22"/>
  <c r="G237" i="22"/>
  <c r="G233" i="22"/>
  <c r="G232" i="22"/>
  <c r="G231" i="22"/>
  <c r="G230" i="22"/>
  <c r="G229" i="22"/>
  <c r="G228" i="22"/>
  <c r="G227" i="22"/>
  <c r="G226" i="22"/>
  <c r="G225" i="22"/>
  <c r="G224" i="22"/>
  <c r="G223" i="22"/>
  <c r="G222" i="22"/>
  <c r="G221" i="22"/>
  <c r="G218" i="22"/>
  <c r="G217" i="22"/>
  <c r="G216" i="22"/>
  <c r="G215" i="22"/>
  <c r="G214" i="22"/>
  <c r="G213" i="22"/>
  <c r="G212" i="22"/>
  <c r="G211" i="22"/>
  <c r="G206" i="22"/>
  <c r="G204" i="22"/>
  <c r="G203" i="22"/>
  <c r="G201" i="22"/>
  <c r="G198" i="22"/>
  <c r="G197" i="22"/>
  <c r="G196" i="22"/>
  <c r="G195" i="22"/>
  <c r="G194" i="22"/>
  <c r="G193" i="22"/>
  <c r="G192" i="22"/>
  <c r="G191" i="22"/>
  <c r="G189" i="22"/>
  <c r="G188" i="22"/>
  <c r="G187" i="22"/>
  <c r="G186" i="22"/>
  <c r="G184" i="22"/>
  <c r="G182" i="22"/>
  <c r="G181" i="22"/>
  <c r="G180" i="22"/>
  <c r="G179" i="22"/>
  <c r="G177" i="22"/>
  <c r="G175" i="22"/>
  <c r="G174" i="22"/>
  <c r="G171" i="22"/>
  <c r="G170" i="22"/>
  <c r="G167" i="22"/>
  <c r="G166" i="22"/>
  <c r="G165" i="22"/>
  <c r="G164" i="22"/>
  <c r="G163" i="22"/>
  <c r="G162" i="22"/>
  <c r="G161" i="22"/>
  <c r="G160" i="22"/>
  <c r="G159" i="22"/>
  <c r="G158" i="22"/>
  <c r="G157" i="22"/>
  <c r="G156" i="22"/>
  <c r="G154" i="22"/>
  <c r="G153" i="22"/>
  <c r="G152" i="22"/>
  <c r="G151" i="22"/>
  <c r="G149" i="22"/>
  <c r="G148" i="22"/>
  <c r="G147" i="22"/>
  <c r="G146" i="22"/>
  <c r="G145" i="22"/>
  <c r="G144" i="22"/>
  <c r="G143" i="22"/>
  <c r="G142" i="22"/>
  <c r="G141" i="22"/>
  <c r="G140" i="22"/>
  <c r="G139" i="22"/>
  <c r="G138" i="22"/>
  <c r="G137" i="22"/>
  <c r="G135" i="22"/>
  <c r="G134" i="22"/>
  <c r="G133" i="22"/>
  <c r="G132" i="22"/>
  <c r="G131" i="22"/>
  <c r="G130" i="22"/>
  <c r="G129" i="22"/>
  <c r="G128" i="22"/>
  <c r="G127" i="22"/>
  <c r="G126" i="22"/>
  <c r="G125" i="22"/>
  <c r="G123" i="22"/>
  <c r="G122" i="22"/>
  <c r="G121" i="22"/>
  <c r="G117" i="22"/>
  <c r="G116" i="22"/>
  <c r="G115" i="22"/>
  <c r="G114" i="22"/>
  <c r="G113" i="22"/>
  <c r="G112" i="22"/>
  <c r="G109" i="22"/>
  <c r="G108" i="22"/>
  <c r="G107" i="22"/>
  <c r="G106" i="22"/>
  <c r="G104" i="22"/>
  <c r="G102" i="22"/>
  <c r="G101" i="22"/>
  <c r="G98" i="22"/>
  <c r="G97" i="22"/>
  <c r="G95" i="22"/>
  <c r="G94" i="22"/>
  <c r="G93" i="22"/>
  <c r="G92" i="22"/>
  <c r="G90" i="22"/>
  <c r="G89" i="22"/>
  <c r="G88" i="22"/>
  <c r="G86" i="22"/>
  <c r="G85" i="22"/>
  <c r="G84" i="22"/>
  <c r="G83" i="22"/>
  <c r="G82" i="22"/>
  <c r="G81" i="22"/>
  <c r="G79" i="22"/>
  <c r="G78" i="22"/>
  <c r="G77" i="22"/>
  <c r="G76" i="22"/>
  <c r="G75" i="22"/>
  <c r="G74" i="22"/>
  <c r="G73" i="22"/>
  <c r="G71" i="22"/>
  <c r="G70" i="22"/>
  <c r="G69" i="22"/>
  <c r="G68" i="22"/>
  <c r="G67" i="22"/>
  <c r="G66" i="22"/>
  <c r="G65" i="22"/>
  <c r="G64" i="22"/>
  <c r="G63" i="22"/>
  <c r="G62" i="22"/>
  <c r="G59" i="22"/>
  <c r="G58" i="22"/>
  <c r="G57" i="22"/>
  <c r="G56" i="22"/>
  <c r="G54" i="22"/>
  <c r="G53" i="22"/>
  <c r="G52" i="22"/>
  <c r="G51" i="22"/>
  <c r="G50" i="22"/>
  <c r="G49" i="22"/>
  <c r="G48" i="22"/>
  <c r="G45" i="22"/>
  <c r="G44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5" i="22"/>
  <c r="G23" i="22"/>
  <c r="G22" i="22"/>
  <c r="G21" i="22"/>
  <c r="G20" i="22"/>
  <c r="G19" i="22"/>
  <c r="G18" i="22"/>
  <c r="G17" i="22"/>
  <c r="G16" i="22"/>
  <c r="G14" i="22"/>
  <c r="G10" i="22"/>
  <c r="G6" i="22"/>
  <c r="G2" i="22"/>
  <c r="I240" i="22"/>
  <c r="I260" i="16"/>
  <c r="I260" i="22"/>
  <c r="I258" i="16"/>
  <c r="I258" i="22"/>
  <c r="I257" i="22"/>
  <c r="I256" i="22"/>
  <c r="I254" i="22"/>
  <c r="I253" i="22"/>
  <c r="I252" i="22"/>
  <c r="I251" i="22"/>
  <c r="I250" i="22"/>
  <c r="I249" i="22"/>
  <c r="I248" i="22"/>
  <c r="I246" i="22"/>
  <c r="I245" i="22"/>
  <c r="I244" i="22"/>
  <c r="I241" i="22"/>
  <c r="I237" i="22"/>
  <c r="I233" i="22"/>
  <c r="I232" i="22"/>
  <c r="I231" i="22"/>
  <c r="I230" i="22"/>
  <c r="I228" i="22"/>
  <c r="I227" i="22"/>
  <c r="I226" i="22"/>
  <c r="I223" i="22"/>
  <c r="I222" i="22"/>
  <c r="I219" i="22"/>
  <c r="I217" i="22"/>
  <c r="I216" i="22"/>
  <c r="I215" i="22"/>
  <c r="I214" i="22"/>
  <c r="I213" i="22"/>
  <c r="I210" i="22"/>
  <c r="I209" i="22"/>
  <c r="I208" i="22"/>
  <c r="I206" i="22"/>
  <c r="I205" i="22"/>
  <c r="I204" i="22"/>
  <c r="I202" i="22"/>
  <c r="I201" i="22"/>
  <c r="I200" i="22"/>
  <c r="I199" i="22"/>
  <c r="I195" i="22"/>
  <c r="I193" i="22"/>
  <c r="I192" i="22"/>
  <c r="I190" i="22"/>
  <c r="I189" i="22"/>
  <c r="I188" i="22"/>
  <c r="I187" i="22"/>
  <c r="I186" i="22"/>
  <c r="I185" i="22"/>
  <c r="I184" i="22"/>
  <c r="I183" i="22"/>
  <c r="I182" i="22"/>
  <c r="I181" i="22"/>
  <c r="I180" i="22"/>
  <c r="I179" i="22"/>
  <c r="I178" i="22"/>
  <c r="I177" i="22"/>
  <c r="I176" i="22"/>
  <c r="I174" i="22"/>
  <c r="I173" i="22"/>
  <c r="I172" i="22"/>
  <c r="I171" i="22"/>
  <c r="I170" i="22"/>
  <c r="I169" i="22"/>
  <c r="I168" i="22"/>
  <c r="I167" i="22"/>
  <c r="I166" i="22"/>
  <c r="I165" i="22"/>
  <c r="I164" i="22"/>
  <c r="I162" i="22"/>
  <c r="I161" i="22"/>
  <c r="I160" i="22"/>
  <c r="I159" i="22"/>
  <c r="I158" i="22"/>
  <c r="I157" i="22"/>
  <c r="I156" i="22"/>
  <c r="I154" i="22"/>
  <c r="I153" i="22"/>
  <c r="I152" i="22"/>
  <c r="I151" i="22"/>
  <c r="I150" i="22"/>
  <c r="I149" i="22"/>
  <c r="I148" i="22"/>
  <c r="I147" i="22"/>
  <c r="I145" i="22"/>
  <c r="I144" i="22"/>
  <c r="I143" i="22"/>
  <c r="I142" i="22"/>
  <c r="I140" i="22"/>
  <c r="I139" i="22"/>
  <c r="I138" i="22"/>
  <c r="I137" i="22"/>
  <c r="I135" i="22"/>
  <c r="I133" i="22"/>
  <c r="I132" i="22"/>
  <c r="I131" i="22"/>
  <c r="I129" i="22"/>
  <c r="I128" i="22"/>
  <c r="I127" i="22"/>
  <c r="I126" i="22"/>
  <c r="I125" i="22"/>
  <c r="I124" i="22"/>
  <c r="I123" i="22"/>
  <c r="I122" i="22"/>
  <c r="I121" i="22"/>
  <c r="I120" i="22"/>
  <c r="I119" i="22"/>
  <c r="I115" i="22"/>
  <c r="I114" i="22"/>
  <c r="I113" i="22"/>
  <c r="I111" i="22"/>
  <c r="I109" i="22"/>
  <c r="I108" i="22"/>
  <c r="I107" i="22"/>
  <c r="I106" i="22"/>
  <c r="I105" i="22"/>
  <c r="I102" i="22"/>
  <c r="I100" i="22"/>
  <c r="I99" i="22"/>
  <c r="I98" i="22"/>
  <c r="I96" i="22"/>
  <c r="I95" i="22"/>
  <c r="I94" i="22"/>
  <c r="I93" i="22"/>
  <c r="I89" i="22"/>
  <c r="I88" i="22"/>
  <c r="I87" i="22"/>
  <c r="I86" i="22"/>
  <c r="I85" i="22"/>
  <c r="I84" i="22"/>
  <c r="I83" i="22"/>
  <c r="I79" i="22"/>
  <c r="I78" i="22"/>
  <c r="I77" i="22"/>
  <c r="I76" i="22"/>
  <c r="I75" i="22"/>
  <c r="I74" i="22"/>
  <c r="I72" i="22"/>
  <c r="I71" i="22"/>
  <c r="I70" i="22"/>
  <c r="I67" i="22"/>
  <c r="I66" i="22"/>
  <c r="I65" i="22"/>
  <c r="I64" i="22"/>
  <c r="I63" i="22"/>
  <c r="I60" i="22"/>
  <c r="I58" i="22"/>
  <c r="I57" i="22"/>
  <c r="I56" i="22"/>
  <c r="I55" i="22"/>
  <c r="I54" i="22"/>
  <c r="I53" i="22"/>
  <c r="I52" i="22"/>
  <c r="I51" i="22"/>
  <c r="I50" i="22"/>
  <c r="I49" i="22"/>
  <c r="I47" i="22"/>
  <c r="I46" i="22"/>
  <c r="I45" i="22"/>
  <c r="I41" i="22"/>
  <c r="I38" i="22"/>
  <c r="I37" i="22"/>
  <c r="I36" i="22"/>
  <c r="I35" i="22"/>
  <c r="I34" i="22"/>
  <c r="I33" i="22"/>
  <c r="I32" i="22"/>
  <c r="I31" i="22"/>
  <c r="I30" i="22"/>
  <c r="I28" i="22"/>
  <c r="I27" i="22"/>
  <c r="I26" i="22"/>
  <c r="I23" i="22"/>
  <c r="I22" i="22"/>
  <c r="I21" i="22"/>
  <c r="I20" i="22"/>
  <c r="I19" i="22"/>
  <c r="I18" i="22"/>
  <c r="I17" i="22"/>
  <c r="I16" i="22"/>
  <c r="I14" i="22"/>
  <c r="I9" i="22"/>
  <c r="I8" i="22"/>
  <c r="I4" i="22"/>
  <c r="D240" i="22"/>
  <c r="D259" i="16"/>
  <c r="D259" i="22"/>
  <c r="D258" i="16"/>
  <c r="D258" i="22"/>
  <c r="D257" i="22"/>
  <c r="D256" i="22"/>
  <c r="D255" i="22"/>
  <c r="D254" i="22"/>
  <c r="D253" i="22"/>
  <c r="D251" i="22"/>
  <c r="D250" i="22"/>
  <c r="D249" i="22"/>
  <c r="D248" i="22"/>
  <c r="D246" i="22"/>
  <c r="D245" i="22"/>
  <c r="D244" i="22"/>
  <c r="D243" i="22"/>
  <c r="D241" i="22"/>
  <c r="D237" i="22"/>
  <c r="D234" i="22"/>
  <c r="D233" i="22"/>
  <c r="D232" i="22"/>
  <c r="D231" i="22"/>
  <c r="D228" i="22"/>
  <c r="D227" i="22"/>
  <c r="D224" i="22"/>
  <c r="D223" i="22"/>
  <c r="D222" i="22"/>
  <c r="D221" i="22"/>
  <c r="D220" i="22"/>
  <c r="D219" i="22"/>
  <c r="D218" i="22"/>
  <c r="D217" i="22"/>
  <c r="D215" i="22"/>
  <c r="D214" i="22"/>
  <c r="D213" i="22"/>
  <c r="D210" i="22"/>
  <c r="D209" i="22"/>
  <c r="D208" i="22"/>
  <c r="D207" i="22"/>
  <c r="D206" i="22"/>
  <c r="D205" i="22"/>
  <c r="D204" i="22"/>
  <c r="D203" i="22"/>
  <c r="D202" i="22"/>
  <c r="D200" i="22"/>
  <c r="D198" i="22"/>
  <c r="D196" i="22"/>
  <c r="D195" i="22"/>
  <c r="D194" i="22"/>
  <c r="D193" i="22"/>
  <c r="D192" i="22"/>
  <c r="D189" i="22"/>
  <c r="D188" i="22"/>
  <c r="D187" i="22"/>
  <c r="D186" i="22"/>
  <c r="D185" i="22"/>
  <c r="D184" i="22"/>
  <c r="D183" i="22"/>
  <c r="D182" i="22"/>
  <c r="D179" i="22"/>
  <c r="D178" i="22"/>
  <c r="D177" i="22"/>
  <c r="D176" i="22"/>
  <c r="D175" i="22"/>
  <c r="D174" i="22"/>
  <c r="D173" i="22"/>
  <c r="D171" i="22"/>
  <c r="D170" i="22"/>
  <c r="D168" i="22"/>
  <c r="D167" i="22"/>
  <c r="D165" i="22"/>
  <c r="D164" i="22"/>
  <c r="D162" i="22"/>
  <c r="D161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5" i="22"/>
  <c r="D144" i="22"/>
  <c r="D143" i="22"/>
  <c r="D142" i="22"/>
  <c r="D139" i="22"/>
  <c r="D137" i="22"/>
  <c r="D136" i="22"/>
  <c r="D135" i="22"/>
  <c r="D134" i="22"/>
  <c r="D133" i="22"/>
  <c r="D132" i="22"/>
  <c r="D131" i="22"/>
  <c r="D128" i="22"/>
  <c r="D127" i="22"/>
  <c r="D126" i="22"/>
  <c r="D125" i="22"/>
  <c r="D124" i="22"/>
  <c r="D123" i="22"/>
  <c r="D122" i="22"/>
  <c r="D121" i="22"/>
  <c r="D120" i="22"/>
  <c r="D118" i="22"/>
  <c r="D117" i="22"/>
  <c r="D116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0" i="22"/>
  <c r="D79" i="22"/>
  <c r="D77" i="22"/>
  <c r="D76" i="22"/>
  <c r="D75" i="22"/>
  <c r="D73" i="22"/>
  <c r="D72" i="22"/>
  <c r="D71" i="22"/>
  <c r="D70" i="22"/>
  <c r="D69" i="22"/>
  <c r="D68" i="22"/>
  <c r="D67" i="22"/>
  <c r="D65" i="22"/>
  <c r="D64" i="22"/>
  <c r="D62" i="22"/>
  <c r="D61" i="22"/>
  <c r="D60" i="22"/>
  <c r="D59" i="22"/>
  <c r="D58" i="22"/>
  <c r="D57" i="22"/>
  <c r="D56" i="22"/>
  <c r="D55" i="22"/>
  <c r="D54" i="22"/>
  <c r="D52" i="22"/>
  <c r="D51" i="22"/>
  <c r="D50" i="22"/>
  <c r="D46" i="22"/>
  <c r="D45" i="22"/>
  <c r="D43" i="22"/>
  <c r="D42" i="22"/>
  <c r="D41" i="22"/>
  <c r="D40" i="22"/>
  <c r="D39" i="22"/>
  <c r="D38" i="22"/>
  <c r="D37" i="22"/>
  <c r="D36" i="22"/>
  <c r="D35" i="22"/>
  <c r="D33" i="22"/>
  <c r="D32" i="22"/>
  <c r="D31" i="22"/>
  <c r="D30" i="22"/>
  <c r="D29" i="22"/>
  <c r="D28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3" i="22"/>
  <c r="D12" i="22"/>
  <c r="D9" i="22"/>
  <c r="D6" i="22"/>
  <c r="D5" i="22"/>
  <c r="R2" i="22"/>
  <c r="I3" i="22"/>
  <c r="O3" i="22"/>
  <c r="S3" i="22"/>
  <c r="D4" i="22"/>
  <c r="J4" i="22"/>
  <c r="K4" i="22"/>
  <c r="L4" i="22"/>
  <c r="P4" i="22"/>
  <c r="E5" i="22"/>
  <c r="F5" i="22"/>
  <c r="G5" i="22"/>
  <c r="M5" i="22"/>
  <c r="Q5" i="22"/>
  <c r="H6" i="22"/>
  <c r="N6" i="22"/>
  <c r="R6" i="22"/>
  <c r="I7" i="22"/>
  <c r="O7" i="22"/>
  <c r="S7" i="22"/>
  <c r="D8" i="22"/>
  <c r="K8" i="22"/>
  <c r="L8" i="22"/>
  <c r="P8" i="22"/>
  <c r="E9" i="22"/>
  <c r="F9" i="22"/>
  <c r="G9" i="22"/>
  <c r="N10" i="22"/>
  <c r="R10" i="22"/>
  <c r="O11" i="22"/>
  <c r="I2" i="22"/>
  <c r="D3" i="22"/>
  <c r="J3" i="22"/>
  <c r="K3" i="22"/>
  <c r="L3" i="22"/>
  <c r="P3" i="22"/>
  <c r="E4" i="22"/>
  <c r="F4" i="22"/>
  <c r="M4" i="22"/>
  <c r="Q4" i="22"/>
  <c r="H5" i="22"/>
  <c r="N5" i="22"/>
  <c r="R5" i="22"/>
  <c r="I6" i="22"/>
  <c r="S6" i="22"/>
  <c r="J7" i="22"/>
  <c r="L7" i="22"/>
  <c r="P7" i="22"/>
  <c r="E8" i="22"/>
  <c r="F8" i="22"/>
  <c r="M8" i="22"/>
  <c r="H9" i="22"/>
  <c r="N9" i="22"/>
  <c r="R9" i="22"/>
  <c r="O10" i="22"/>
  <c r="S10" i="22"/>
  <c r="J11" i="22"/>
  <c r="K11" i="22"/>
  <c r="L11" i="22"/>
  <c r="P11" i="22"/>
  <c r="K2" i="22"/>
  <c r="P2" i="22"/>
  <c r="G3" i="22"/>
  <c r="Q3" i="22"/>
  <c r="H4" i="22"/>
  <c r="R4" i="22"/>
  <c r="S5" i="22"/>
  <c r="J6" i="22"/>
  <c r="L6" i="22"/>
  <c r="F7" i="22"/>
  <c r="O9" i="22"/>
  <c r="K10" i="22"/>
  <c r="P10" i="22"/>
  <c r="H12" i="22"/>
  <c r="N12" i="22"/>
  <c r="R12" i="22"/>
  <c r="I13" i="22"/>
  <c r="O13" i="22"/>
  <c r="S13" i="22"/>
  <c r="P14" i="22"/>
  <c r="F15" i="22"/>
  <c r="G15" i="22"/>
  <c r="M15" i="22"/>
  <c r="H16" i="22"/>
  <c r="N16" i="22"/>
  <c r="R16" i="22"/>
  <c r="C104" i="12"/>
  <c r="C105" i="12"/>
  <c r="C106" i="12"/>
  <c r="C107" i="12"/>
  <c r="C108" i="12"/>
  <c r="C103" i="12"/>
  <c r="C89" i="12"/>
  <c r="C90" i="12"/>
  <c r="C91" i="12"/>
  <c r="C92" i="12"/>
  <c r="C93" i="12"/>
  <c r="C94" i="12"/>
  <c r="C95" i="12"/>
  <c r="C96" i="12"/>
  <c r="C97" i="12"/>
  <c r="C88" i="12"/>
  <c r="K12" i="16"/>
  <c r="Q21" i="16"/>
  <c r="N26" i="16"/>
  <c r="N31" i="16"/>
  <c r="I35" i="16"/>
  <c r="H42" i="16"/>
  <c r="F44" i="16"/>
  <c r="P47" i="16"/>
  <c r="R47" i="16"/>
  <c r="J48" i="16"/>
  <c r="J49" i="16"/>
  <c r="S50" i="16"/>
  <c r="D51" i="16"/>
  <c r="G51" i="16"/>
  <c r="E52" i="16"/>
  <c r="G52" i="16"/>
  <c r="H52" i="16"/>
  <c r="M52" i="16"/>
  <c r="H53" i="16"/>
  <c r="I53" i="16"/>
  <c r="N53" i="16"/>
  <c r="I54" i="16"/>
  <c r="J54" i="16"/>
  <c r="L54" i="16"/>
  <c r="O54" i="16"/>
  <c r="D55" i="16"/>
  <c r="J55" i="16"/>
  <c r="M55" i="16"/>
  <c r="P55" i="16"/>
  <c r="E56" i="16"/>
  <c r="J56" i="16"/>
  <c r="O56" i="16"/>
  <c r="P56" i="16"/>
  <c r="G57" i="16"/>
  <c r="L57" i="16"/>
  <c r="P57" i="16"/>
  <c r="Q57" i="16"/>
  <c r="G58" i="16"/>
  <c r="H58" i="16"/>
  <c r="M58" i="16"/>
  <c r="Q58" i="16"/>
  <c r="D59" i="16"/>
  <c r="H59" i="16"/>
  <c r="K59" i="16"/>
  <c r="L59" i="16"/>
  <c r="S59" i="16"/>
  <c r="D60" i="16"/>
  <c r="E60" i="16"/>
  <c r="F60" i="16"/>
  <c r="I60" i="16"/>
  <c r="J60" i="16"/>
  <c r="K60" i="16"/>
  <c r="M60" i="16"/>
  <c r="O60" i="16"/>
  <c r="E61" i="16"/>
  <c r="J61" i="16"/>
  <c r="M61" i="16"/>
  <c r="N61" i="16"/>
  <c r="R61" i="16"/>
  <c r="H62" i="16"/>
  <c r="N62" i="16"/>
  <c r="R62" i="16"/>
  <c r="S62" i="16"/>
  <c r="I63" i="16"/>
  <c r="J63" i="16"/>
  <c r="K63" i="16"/>
  <c r="L63" i="16"/>
  <c r="D64" i="16"/>
  <c r="F64" i="16"/>
  <c r="G64" i="16"/>
  <c r="H64" i="16"/>
  <c r="J64" i="16"/>
  <c r="K64" i="16"/>
  <c r="L64" i="16"/>
  <c r="M64" i="16"/>
  <c r="N64" i="16"/>
  <c r="P64" i="16"/>
  <c r="S64" i="16"/>
  <c r="D65" i="16"/>
  <c r="E65" i="16"/>
  <c r="F65" i="16"/>
  <c r="G65" i="16"/>
  <c r="I65" i="16"/>
  <c r="J65" i="16"/>
  <c r="M65" i="16"/>
  <c r="N65" i="16"/>
  <c r="O65" i="16"/>
  <c r="P65" i="16"/>
  <c r="Q65" i="16"/>
  <c r="R65" i="16"/>
  <c r="S65" i="16"/>
  <c r="E66" i="16"/>
  <c r="F66" i="16"/>
  <c r="G66" i="16"/>
  <c r="I66" i="16"/>
  <c r="J66" i="16"/>
  <c r="K66" i="16"/>
  <c r="M66" i="16"/>
  <c r="N66" i="16"/>
  <c r="O66" i="16"/>
  <c r="P66" i="16"/>
  <c r="Q66" i="16"/>
  <c r="R66" i="16"/>
  <c r="D67" i="16"/>
  <c r="F67" i="16"/>
  <c r="G67" i="16"/>
  <c r="H67" i="16"/>
  <c r="I67" i="16"/>
  <c r="J67" i="16"/>
  <c r="L67" i="16"/>
  <c r="M67" i="16"/>
  <c r="N67" i="16"/>
  <c r="P67" i="16"/>
  <c r="S67" i="16"/>
  <c r="D68" i="16"/>
  <c r="E68" i="16"/>
  <c r="F68" i="16"/>
  <c r="G68" i="16"/>
  <c r="H68" i="16"/>
  <c r="J68" i="16"/>
  <c r="L68" i="16"/>
  <c r="N68" i="16"/>
  <c r="O68" i="16"/>
  <c r="P68" i="16"/>
  <c r="R68" i="16"/>
  <c r="S68" i="16"/>
  <c r="D69" i="16"/>
  <c r="E69" i="16"/>
  <c r="F69" i="16"/>
  <c r="G69" i="16"/>
  <c r="H69" i="16"/>
  <c r="J69" i="16"/>
  <c r="K69" i="16"/>
  <c r="L69" i="16"/>
  <c r="M69" i="16"/>
  <c r="N69" i="16"/>
  <c r="O69" i="16"/>
  <c r="P69" i="16"/>
  <c r="Q69" i="16"/>
  <c r="S69" i="16"/>
  <c r="D70" i="16"/>
  <c r="E70" i="16"/>
  <c r="F70" i="16"/>
  <c r="G70" i="16"/>
  <c r="H70" i="16"/>
  <c r="I70" i="16"/>
  <c r="J70" i="16"/>
  <c r="K70" i="16"/>
  <c r="L70" i="16"/>
  <c r="M70" i="16"/>
  <c r="N70" i="16"/>
  <c r="P70" i="16"/>
  <c r="Q70" i="16"/>
  <c r="R70" i="16"/>
  <c r="S70" i="16"/>
  <c r="D71" i="16"/>
  <c r="E71" i="16"/>
  <c r="F71" i="16"/>
  <c r="G71" i="16"/>
  <c r="I71" i="16"/>
  <c r="J71" i="16"/>
  <c r="K71" i="16"/>
  <c r="L71" i="16"/>
  <c r="M71" i="16"/>
  <c r="N71" i="16"/>
  <c r="P71" i="16"/>
  <c r="R71" i="16"/>
  <c r="S71" i="16"/>
  <c r="D72" i="16"/>
  <c r="E72" i="16"/>
  <c r="F72" i="16"/>
  <c r="I72" i="16"/>
  <c r="L72" i="16"/>
  <c r="M72" i="16"/>
  <c r="N72" i="16"/>
  <c r="O72" i="16"/>
  <c r="Q72" i="16"/>
  <c r="R72" i="16"/>
  <c r="S72" i="16"/>
  <c r="D73" i="16"/>
  <c r="G73" i="16"/>
  <c r="H73" i="16"/>
  <c r="J73" i="16"/>
  <c r="L73" i="16"/>
  <c r="M73" i="16"/>
  <c r="O73" i="16"/>
  <c r="Q73" i="16"/>
  <c r="R73" i="16"/>
  <c r="S73" i="16"/>
  <c r="F74" i="16"/>
  <c r="G74" i="16"/>
  <c r="H74" i="16"/>
  <c r="I74" i="16"/>
  <c r="J74" i="16"/>
  <c r="K74" i="16"/>
  <c r="L74" i="16"/>
  <c r="M74" i="16"/>
  <c r="N74" i="16"/>
  <c r="O74" i="16"/>
  <c r="Q74" i="16"/>
  <c r="R74" i="16"/>
  <c r="S74" i="16"/>
  <c r="D75" i="16"/>
  <c r="E75" i="16"/>
  <c r="F75" i="16"/>
  <c r="G75" i="16"/>
  <c r="H75" i="16"/>
  <c r="I75" i="16"/>
  <c r="J75" i="16"/>
  <c r="L75" i="16"/>
  <c r="N75" i="16"/>
  <c r="O75" i="16"/>
  <c r="P75" i="16"/>
  <c r="Q75" i="16"/>
  <c r="R75" i="16"/>
  <c r="S75" i="16"/>
  <c r="D76" i="16"/>
  <c r="E76" i="16"/>
  <c r="F76" i="16"/>
  <c r="G76" i="16"/>
  <c r="H76" i="16"/>
  <c r="I76" i="16"/>
  <c r="J76" i="16"/>
  <c r="K76" i="16"/>
  <c r="L76" i="16"/>
  <c r="M76" i="16"/>
  <c r="O76" i="16"/>
  <c r="P76" i="16"/>
  <c r="R76" i="16"/>
  <c r="S76" i="16"/>
  <c r="D77" i="16"/>
  <c r="F77" i="16"/>
  <c r="G77" i="16"/>
  <c r="H77" i="16"/>
  <c r="I77" i="16"/>
  <c r="J77" i="16"/>
  <c r="K77" i="16"/>
  <c r="L77" i="16"/>
  <c r="M77" i="16"/>
  <c r="N77" i="16"/>
  <c r="O77" i="16"/>
  <c r="R77" i="16"/>
  <c r="S77" i="16"/>
  <c r="E78" i="16"/>
  <c r="G78" i="16"/>
  <c r="H78" i="16"/>
  <c r="I78" i="16"/>
  <c r="J78" i="16"/>
  <c r="K78" i="16"/>
  <c r="L78" i="16"/>
  <c r="N78" i="16"/>
  <c r="O78" i="16"/>
  <c r="P78" i="16"/>
  <c r="Q78" i="16"/>
  <c r="R78" i="16"/>
  <c r="S78" i="16"/>
  <c r="D79" i="16"/>
  <c r="G79" i="16"/>
  <c r="H79" i="16"/>
  <c r="I79" i="16"/>
  <c r="J79" i="16"/>
  <c r="N79" i="16"/>
  <c r="O79" i="16"/>
  <c r="P79" i="16"/>
  <c r="S79" i="16"/>
  <c r="D80" i="16"/>
  <c r="F80" i="16"/>
  <c r="H80" i="16"/>
  <c r="K80" i="16"/>
  <c r="M80" i="16"/>
  <c r="N80" i="16"/>
  <c r="O80" i="16"/>
  <c r="P80" i="16"/>
  <c r="R80" i="16"/>
  <c r="S80" i="16"/>
  <c r="F81" i="16"/>
  <c r="G81" i="16"/>
  <c r="H81" i="16"/>
  <c r="J81" i="16"/>
  <c r="L81" i="16"/>
  <c r="N81" i="16"/>
  <c r="P81" i="16"/>
  <c r="Q81" i="16"/>
  <c r="R81" i="16"/>
  <c r="S81" i="16"/>
  <c r="D82" i="16"/>
  <c r="E82" i="16"/>
  <c r="G82" i="16"/>
  <c r="H82" i="16"/>
  <c r="J82" i="16"/>
  <c r="K82" i="16"/>
  <c r="L82" i="16"/>
  <c r="M82" i="16"/>
  <c r="N82" i="16"/>
  <c r="O82" i="16"/>
  <c r="P82" i="16"/>
  <c r="R82" i="16"/>
  <c r="S82" i="16"/>
  <c r="D83" i="16"/>
  <c r="F83" i="16"/>
  <c r="G83" i="16"/>
  <c r="H83" i="16"/>
  <c r="I83" i="16"/>
  <c r="J83" i="16"/>
  <c r="K83" i="16"/>
  <c r="L83" i="16"/>
  <c r="M83" i="16"/>
  <c r="N83" i="16"/>
  <c r="O83" i="16"/>
  <c r="P83" i="16"/>
  <c r="Q83" i="16"/>
  <c r="R83" i="16"/>
  <c r="S83" i="16"/>
  <c r="D84" i="16"/>
  <c r="E84" i="16"/>
  <c r="F84" i="16"/>
  <c r="G84" i="16"/>
  <c r="H84" i="16"/>
  <c r="I84" i="16"/>
  <c r="J84" i="16"/>
  <c r="K84" i="16"/>
  <c r="L84" i="16"/>
  <c r="M84" i="16"/>
  <c r="O84" i="16"/>
  <c r="P84" i="16"/>
  <c r="Q84" i="16"/>
  <c r="R84" i="16"/>
  <c r="S84" i="16"/>
  <c r="D85" i="16"/>
  <c r="E85" i="16"/>
  <c r="F85" i="16"/>
  <c r="G85" i="16"/>
  <c r="H85" i="16"/>
  <c r="I85" i="16"/>
  <c r="J85" i="16"/>
  <c r="K85" i="16"/>
  <c r="N85" i="16"/>
  <c r="P85" i="16"/>
  <c r="Q85" i="16"/>
  <c r="R85" i="16"/>
  <c r="S85" i="16"/>
  <c r="D86" i="16"/>
  <c r="E86" i="16"/>
  <c r="G86" i="16"/>
  <c r="I86" i="16"/>
  <c r="K86" i="16"/>
  <c r="L86" i="16"/>
  <c r="M86" i="16"/>
  <c r="O86" i="16"/>
  <c r="P86" i="16"/>
  <c r="R86" i="16"/>
  <c r="D87" i="16"/>
  <c r="F87" i="16"/>
  <c r="H87" i="16"/>
  <c r="I87" i="16"/>
  <c r="J87" i="16"/>
  <c r="K87" i="16"/>
  <c r="M87" i="16"/>
  <c r="N87" i="16"/>
  <c r="O87" i="16"/>
  <c r="Q87" i="16"/>
  <c r="S87" i="16"/>
  <c r="D88" i="16"/>
  <c r="E88" i="16"/>
  <c r="F88" i="16"/>
  <c r="G88" i="16"/>
  <c r="I88" i="16"/>
  <c r="J88" i="16"/>
  <c r="K88" i="16"/>
  <c r="L88" i="16"/>
  <c r="M88" i="16"/>
  <c r="N88" i="16"/>
  <c r="P88" i="16"/>
  <c r="Q88" i="16"/>
  <c r="R88" i="16"/>
  <c r="D89" i="16"/>
  <c r="E89" i="16"/>
  <c r="G89" i="16"/>
  <c r="H89" i="16"/>
  <c r="I89" i="16"/>
  <c r="J89" i="16"/>
  <c r="K89" i="16"/>
  <c r="L89" i="16"/>
  <c r="M89" i="16"/>
  <c r="N89" i="16"/>
  <c r="O89" i="16"/>
  <c r="P89" i="16"/>
  <c r="Q89" i="16"/>
  <c r="R89" i="16"/>
  <c r="S89" i="16"/>
  <c r="D90" i="16"/>
  <c r="E90" i="16"/>
  <c r="F90" i="16"/>
  <c r="G90" i="16"/>
  <c r="H90" i="16"/>
  <c r="J90" i="16"/>
  <c r="K90" i="16"/>
  <c r="L90" i="16"/>
  <c r="N90" i="16"/>
  <c r="O90" i="16"/>
  <c r="R90" i="16"/>
  <c r="S90" i="16"/>
  <c r="D91" i="16"/>
  <c r="E91" i="16"/>
  <c r="F91" i="16"/>
  <c r="H91" i="16"/>
  <c r="J91" i="16"/>
  <c r="M91" i="16"/>
  <c r="N91" i="16"/>
  <c r="P91" i="16"/>
  <c r="Q91" i="16"/>
  <c r="R91" i="16"/>
  <c r="S91" i="16"/>
  <c r="D92" i="16"/>
  <c r="E92" i="16"/>
  <c r="G92" i="16"/>
  <c r="H92" i="16"/>
  <c r="J92" i="16"/>
  <c r="K92" i="16"/>
  <c r="L92" i="16"/>
  <c r="M92" i="16"/>
  <c r="N92" i="16"/>
  <c r="O92" i="16"/>
  <c r="P92" i="16"/>
  <c r="Q92" i="16"/>
  <c r="R92" i="16"/>
  <c r="S92" i="16"/>
  <c r="D93" i="16"/>
  <c r="E93" i="16"/>
  <c r="F93" i="16"/>
  <c r="G93" i="16"/>
  <c r="H93" i="16"/>
  <c r="I93" i="16"/>
  <c r="J93" i="16"/>
  <c r="K93" i="16"/>
  <c r="L93" i="16"/>
  <c r="M93" i="16"/>
  <c r="N93" i="16"/>
  <c r="O93" i="16"/>
  <c r="Q93" i="16"/>
  <c r="S93" i="16"/>
  <c r="D94" i="16"/>
  <c r="E94" i="16"/>
  <c r="G94" i="16"/>
  <c r="I94" i="16"/>
  <c r="J94" i="16"/>
  <c r="K94" i="16"/>
  <c r="M94" i="16"/>
  <c r="O94" i="16"/>
  <c r="S94" i="16"/>
  <c r="D95" i="16"/>
  <c r="E95" i="16"/>
  <c r="G95" i="16"/>
  <c r="H95" i="16"/>
  <c r="I95" i="16"/>
  <c r="L95" i="16"/>
  <c r="N95" i="16"/>
  <c r="P95" i="16"/>
  <c r="Q95" i="16"/>
  <c r="R95" i="16"/>
  <c r="S95" i="16"/>
  <c r="D96" i="16"/>
  <c r="E96" i="16"/>
  <c r="I96" i="16"/>
  <c r="J96" i="16"/>
  <c r="L96" i="16"/>
  <c r="M96" i="16"/>
  <c r="O96" i="16"/>
  <c r="P96" i="16"/>
  <c r="Q96" i="16"/>
  <c r="R96" i="16"/>
  <c r="S96" i="16"/>
  <c r="E97" i="16"/>
  <c r="F97" i="16"/>
  <c r="G97" i="16"/>
  <c r="K97" i="16"/>
  <c r="L97" i="16"/>
  <c r="M97" i="16"/>
  <c r="N97" i="16"/>
  <c r="O97" i="16"/>
  <c r="P97" i="16"/>
  <c r="Q97" i="16"/>
  <c r="R97" i="16"/>
  <c r="S97" i="16"/>
  <c r="D98" i="16"/>
  <c r="E98" i="16"/>
  <c r="G98" i="16"/>
  <c r="H98" i="16"/>
  <c r="I98" i="16"/>
  <c r="K98" i="16"/>
  <c r="L98" i="16"/>
  <c r="N98" i="16"/>
  <c r="O98" i="16"/>
  <c r="P98" i="16"/>
  <c r="Q98" i="16"/>
  <c r="R98" i="16"/>
  <c r="S98" i="16"/>
  <c r="D99" i="16"/>
  <c r="G99" i="16"/>
  <c r="I99" i="16"/>
  <c r="J99" i="16"/>
  <c r="K99" i="16"/>
  <c r="L99" i="16"/>
  <c r="M99" i="16"/>
  <c r="O99" i="16"/>
  <c r="P99" i="16"/>
  <c r="S99" i="16"/>
  <c r="D100" i="16"/>
  <c r="E100" i="16"/>
  <c r="H100" i="16"/>
  <c r="I100" i="16"/>
  <c r="K100" i="16"/>
  <c r="M100" i="16"/>
  <c r="N100" i="16"/>
  <c r="O100" i="16"/>
  <c r="Q100" i="16"/>
  <c r="R100" i="16"/>
  <c r="D101" i="16"/>
  <c r="E101" i="16"/>
  <c r="F101" i="16"/>
  <c r="G101" i="16"/>
  <c r="H101" i="16"/>
  <c r="J101" i="16"/>
  <c r="K101" i="16"/>
  <c r="M101" i="16"/>
  <c r="N101" i="16"/>
  <c r="O101" i="16"/>
  <c r="P101" i="16"/>
  <c r="Q101" i="16"/>
  <c r="R101" i="16"/>
  <c r="S101" i="16"/>
  <c r="D102" i="16"/>
  <c r="E102" i="16"/>
  <c r="F102" i="16"/>
  <c r="G102" i="16"/>
  <c r="H102" i="16"/>
  <c r="I102" i="16"/>
  <c r="J102" i="16"/>
  <c r="L102" i="16"/>
  <c r="M102" i="16"/>
  <c r="N102" i="16"/>
  <c r="O102" i="16"/>
  <c r="P102" i="16"/>
  <c r="Q102" i="16"/>
  <c r="R102" i="16"/>
  <c r="S102" i="16"/>
  <c r="D103" i="16"/>
  <c r="E103" i="16"/>
  <c r="F103" i="16"/>
  <c r="H103" i="16"/>
  <c r="J103" i="16"/>
  <c r="K103" i="16"/>
  <c r="L103" i="16"/>
  <c r="M103" i="16"/>
  <c r="N103" i="16"/>
  <c r="O103" i="16"/>
  <c r="P103" i="16"/>
  <c r="Q103" i="16"/>
  <c r="S103" i="16"/>
  <c r="D104" i="16"/>
  <c r="E104" i="16"/>
  <c r="F104" i="16"/>
  <c r="G104" i="16"/>
  <c r="H104" i="16"/>
  <c r="K104" i="16"/>
  <c r="L104" i="16"/>
  <c r="M104" i="16"/>
  <c r="O104" i="16"/>
  <c r="P104" i="16"/>
  <c r="R104" i="16"/>
  <c r="D105" i="16"/>
  <c r="E105" i="16"/>
  <c r="F105" i="16"/>
  <c r="H105" i="16"/>
  <c r="I105" i="16"/>
  <c r="J105" i="16"/>
  <c r="K105" i="16"/>
  <c r="L105" i="16"/>
  <c r="M105" i="16"/>
  <c r="O105" i="16"/>
  <c r="P105" i="16"/>
  <c r="Q105" i="16"/>
  <c r="R105" i="16"/>
  <c r="S105" i="16"/>
  <c r="D106" i="16"/>
  <c r="E106" i="16"/>
  <c r="F106" i="16"/>
  <c r="G106" i="16"/>
  <c r="I106" i="16"/>
  <c r="J106" i="16"/>
  <c r="K106" i="16"/>
  <c r="L106" i="16"/>
  <c r="N106" i="16"/>
  <c r="O106" i="16"/>
  <c r="P106" i="16"/>
  <c r="R106" i="16"/>
  <c r="S106" i="16"/>
  <c r="D107" i="16"/>
  <c r="F107" i="16"/>
  <c r="G107" i="16"/>
  <c r="H107" i="16"/>
  <c r="I107" i="16"/>
  <c r="J107" i="16"/>
  <c r="K107" i="16"/>
  <c r="L107" i="16"/>
  <c r="N107" i="16"/>
  <c r="O107" i="16"/>
  <c r="P107" i="16"/>
  <c r="Q107" i="16"/>
  <c r="R107" i="16"/>
  <c r="D108" i="16"/>
  <c r="E108" i="16"/>
  <c r="F108" i="16"/>
  <c r="G108" i="16"/>
  <c r="I108" i="16"/>
  <c r="K108" i="16"/>
  <c r="L108" i="16"/>
  <c r="M108" i="16"/>
  <c r="N108" i="16"/>
  <c r="O108" i="16"/>
  <c r="R108" i="16"/>
  <c r="D109" i="16"/>
  <c r="F109" i="16"/>
  <c r="G109" i="16"/>
  <c r="I109" i="16"/>
  <c r="J109" i="16"/>
  <c r="K109" i="16"/>
  <c r="L109" i="16"/>
  <c r="M109" i="16"/>
  <c r="N109" i="16"/>
  <c r="O109" i="16"/>
  <c r="Q109" i="16"/>
  <c r="D110" i="16"/>
  <c r="E110" i="16"/>
  <c r="F110" i="16"/>
  <c r="H110" i="16"/>
  <c r="I110" i="16"/>
  <c r="J110" i="16"/>
  <c r="N110" i="16"/>
  <c r="O110" i="16"/>
  <c r="Q110" i="16"/>
  <c r="R110" i="16"/>
  <c r="D111" i="16"/>
  <c r="E111" i="16"/>
  <c r="F111" i="16"/>
  <c r="H111" i="16"/>
  <c r="I111" i="16"/>
  <c r="J111" i="16"/>
  <c r="L111" i="16"/>
  <c r="M111" i="16"/>
  <c r="N111" i="16"/>
  <c r="O111" i="16"/>
  <c r="P111" i="16"/>
  <c r="R111" i="16"/>
  <c r="D112" i="16"/>
  <c r="E112" i="16"/>
  <c r="F112" i="16"/>
  <c r="G112" i="16"/>
  <c r="H112" i="16"/>
  <c r="J112" i="16"/>
  <c r="K112" i="16"/>
  <c r="M112" i="16"/>
  <c r="N112" i="16"/>
  <c r="O112" i="16"/>
  <c r="P112" i="16"/>
  <c r="Q112" i="16"/>
  <c r="R112" i="16"/>
  <c r="S112" i="16"/>
  <c r="D113" i="16"/>
  <c r="E113" i="16"/>
  <c r="F113" i="16"/>
  <c r="G113" i="16"/>
  <c r="H113" i="16"/>
  <c r="I113" i="16"/>
  <c r="J113" i="16"/>
  <c r="K113" i="16"/>
  <c r="L113" i="16"/>
  <c r="M113" i="16"/>
  <c r="N113" i="16"/>
  <c r="O113" i="16"/>
  <c r="P113" i="16"/>
  <c r="Q113" i="16"/>
  <c r="S113" i="16"/>
  <c r="D114" i="16"/>
  <c r="E114" i="16"/>
  <c r="F114" i="16"/>
  <c r="G114" i="16"/>
  <c r="I114" i="16"/>
  <c r="J114" i="16"/>
  <c r="K114" i="16"/>
  <c r="L114" i="16"/>
  <c r="M114" i="16"/>
  <c r="N114" i="16"/>
  <c r="O114" i="16"/>
  <c r="Q114" i="16"/>
  <c r="R114" i="16"/>
  <c r="F115" i="16"/>
  <c r="G115" i="16"/>
  <c r="I115" i="16"/>
  <c r="K115" i="16"/>
  <c r="L115" i="16"/>
  <c r="M115" i="16"/>
  <c r="N115" i="16"/>
  <c r="O115" i="16"/>
  <c r="Q115" i="16"/>
  <c r="R115" i="16"/>
  <c r="D116" i="16"/>
  <c r="E116" i="16"/>
  <c r="F116" i="16"/>
  <c r="G116" i="16"/>
  <c r="H116" i="16"/>
  <c r="J116" i="16"/>
  <c r="K116" i="16"/>
  <c r="L116" i="16"/>
  <c r="M116" i="16"/>
  <c r="P116" i="16"/>
  <c r="Q116" i="16"/>
  <c r="R116" i="16"/>
  <c r="S116" i="16"/>
  <c r="D117" i="16"/>
  <c r="E117" i="16"/>
  <c r="G117" i="16"/>
  <c r="H117" i="16"/>
  <c r="I117" i="16"/>
  <c r="J117" i="16"/>
  <c r="K117" i="16"/>
  <c r="L117" i="16"/>
  <c r="M117" i="16"/>
  <c r="N117" i="16"/>
  <c r="O117" i="16"/>
  <c r="P117" i="16"/>
  <c r="Q117" i="16"/>
  <c r="R117" i="16"/>
  <c r="D118" i="16"/>
  <c r="E118" i="16"/>
  <c r="F118" i="16"/>
  <c r="H118" i="16"/>
  <c r="J118" i="16"/>
  <c r="L118" i="16"/>
  <c r="P118" i="16"/>
  <c r="Q118" i="16"/>
  <c r="S118" i="16"/>
  <c r="E119" i="16"/>
  <c r="H119" i="16"/>
  <c r="I119" i="16"/>
  <c r="J119" i="16"/>
  <c r="K119" i="16"/>
  <c r="M119" i="16"/>
  <c r="N119" i="16"/>
  <c r="O119" i="16"/>
  <c r="P119" i="16"/>
  <c r="R119" i="16"/>
  <c r="D120" i="16"/>
  <c r="H120" i="16"/>
  <c r="I120" i="16"/>
  <c r="J120" i="16"/>
  <c r="K120" i="16"/>
  <c r="L120" i="16"/>
  <c r="N120" i="16"/>
  <c r="O120" i="16"/>
  <c r="P120" i="16"/>
  <c r="Q120" i="16"/>
  <c r="D121" i="16"/>
  <c r="E121" i="16"/>
  <c r="F121" i="16"/>
  <c r="G121" i="16"/>
  <c r="H121" i="16"/>
  <c r="I121" i="16"/>
  <c r="J121" i="16"/>
  <c r="K121" i="16"/>
  <c r="P121" i="16"/>
  <c r="Q121" i="16"/>
  <c r="R121" i="16"/>
  <c r="S121" i="16"/>
  <c r="D122" i="16"/>
  <c r="E122" i="16"/>
  <c r="F122" i="16"/>
  <c r="G122" i="16"/>
  <c r="H122" i="16"/>
  <c r="I122" i="16"/>
  <c r="J122" i="16"/>
  <c r="K122" i="16"/>
  <c r="L122" i="16"/>
  <c r="M122" i="16"/>
  <c r="N122" i="16"/>
  <c r="O122" i="16"/>
  <c r="P122" i="16"/>
  <c r="Q122" i="16"/>
  <c r="R122" i="16"/>
  <c r="S122" i="16"/>
  <c r="D123" i="16"/>
  <c r="E123" i="16"/>
  <c r="F123" i="16"/>
  <c r="G123" i="16"/>
  <c r="I123" i="16"/>
  <c r="J123" i="16"/>
  <c r="K123" i="16"/>
  <c r="L123" i="16"/>
  <c r="M123" i="16"/>
  <c r="N123" i="16"/>
  <c r="O123" i="16"/>
  <c r="P123" i="16"/>
  <c r="D124" i="16"/>
  <c r="F124" i="16"/>
  <c r="H124" i="16"/>
  <c r="I124" i="16"/>
  <c r="J124" i="16"/>
  <c r="L124" i="16"/>
  <c r="O124" i="16"/>
  <c r="P124" i="16"/>
  <c r="Q124" i="16"/>
  <c r="R124" i="16"/>
  <c r="S124" i="16"/>
  <c r="D125" i="16"/>
  <c r="E125" i="16"/>
  <c r="F125" i="16"/>
  <c r="G125" i="16"/>
  <c r="I125" i="16"/>
  <c r="J125" i="16"/>
  <c r="K125" i="16"/>
  <c r="L125" i="16"/>
  <c r="M125" i="16"/>
  <c r="N125" i="16"/>
  <c r="O125" i="16"/>
  <c r="P125" i="16"/>
  <c r="Q125" i="16"/>
  <c r="R125" i="16"/>
  <c r="S125" i="16"/>
  <c r="D126" i="16"/>
  <c r="E126" i="16"/>
  <c r="F126" i="16"/>
  <c r="G126" i="16"/>
  <c r="I126" i="16"/>
  <c r="J126" i="16"/>
  <c r="K126" i="16"/>
  <c r="L126" i="16"/>
  <c r="M126" i="16"/>
  <c r="N126" i="16"/>
  <c r="O126" i="16"/>
  <c r="Q126" i="16"/>
  <c r="R126" i="16"/>
  <c r="S126" i="16"/>
  <c r="D127" i="16"/>
  <c r="E127" i="16"/>
  <c r="F127" i="16"/>
  <c r="G127" i="16"/>
  <c r="H127" i="16"/>
  <c r="I127" i="16"/>
  <c r="J127" i="16"/>
  <c r="K127" i="16"/>
  <c r="L127" i="16"/>
  <c r="N127" i="16"/>
  <c r="P127" i="16"/>
  <c r="Q127" i="16"/>
  <c r="R127" i="16"/>
  <c r="S127" i="16"/>
  <c r="D128" i="16"/>
  <c r="E128" i="16"/>
  <c r="F128" i="16"/>
  <c r="G128" i="16"/>
  <c r="I128" i="16"/>
  <c r="L128" i="16"/>
  <c r="M128" i="16"/>
  <c r="N128" i="16"/>
  <c r="P128" i="16"/>
  <c r="Q128" i="16"/>
  <c r="R128" i="16"/>
  <c r="E129" i="16"/>
  <c r="G129" i="16"/>
  <c r="I129" i="16"/>
  <c r="J129" i="16"/>
  <c r="K129" i="16"/>
  <c r="L129" i="16"/>
  <c r="M129" i="16"/>
  <c r="O129" i="16"/>
  <c r="P129" i="16"/>
  <c r="R129" i="16"/>
  <c r="S129" i="16"/>
  <c r="E130" i="16"/>
  <c r="F130" i="16"/>
  <c r="G130" i="16"/>
  <c r="H130" i="16"/>
  <c r="J130" i="16"/>
  <c r="K130" i="16"/>
  <c r="L130" i="16"/>
  <c r="O130" i="16"/>
  <c r="P130" i="16"/>
  <c r="Q130" i="16"/>
  <c r="R130" i="16"/>
  <c r="S130" i="16"/>
  <c r="D131" i="16"/>
  <c r="E131" i="16"/>
  <c r="F131" i="16"/>
  <c r="G131" i="16"/>
  <c r="I131" i="16"/>
  <c r="J131" i="16"/>
  <c r="K131" i="16"/>
  <c r="L131" i="16"/>
  <c r="M131" i="16"/>
  <c r="R131" i="16"/>
  <c r="S131" i="16"/>
  <c r="D132" i="16"/>
  <c r="E132" i="16"/>
  <c r="F132" i="16"/>
  <c r="G132" i="16"/>
  <c r="H132" i="16"/>
  <c r="I132" i="16"/>
  <c r="J132" i="16"/>
  <c r="K132" i="16"/>
  <c r="M132" i="16"/>
  <c r="N132" i="16"/>
  <c r="O132" i="16"/>
  <c r="P132" i="16"/>
  <c r="Q132" i="16"/>
  <c r="R132" i="16"/>
  <c r="D133" i="16"/>
  <c r="F133" i="16"/>
  <c r="G133" i="16"/>
  <c r="H133" i="16"/>
  <c r="I133" i="16"/>
  <c r="J133" i="16"/>
  <c r="K133" i="16"/>
  <c r="L133" i="16"/>
  <c r="M133" i="16"/>
  <c r="O133" i="16"/>
  <c r="P133" i="16"/>
  <c r="Q133" i="16"/>
  <c r="R133" i="16"/>
  <c r="D134" i="16"/>
  <c r="G134" i="16"/>
  <c r="H134" i="16"/>
  <c r="K134" i="16"/>
  <c r="L134" i="16"/>
  <c r="M134" i="16"/>
  <c r="N134" i="16"/>
  <c r="O134" i="16"/>
  <c r="P134" i="16"/>
  <c r="Q134" i="16"/>
  <c r="R134" i="16"/>
  <c r="S134" i="16"/>
  <c r="D135" i="16"/>
  <c r="G135" i="16"/>
  <c r="H135" i="16"/>
  <c r="I135" i="16"/>
  <c r="J135" i="16"/>
  <c r="K135" i="16"/>
  <c r="L135" i="16"/>
  <c r="M135" i="16"/>
  <c r="O135" i="16"/>
  <c r="P135" i="16"/>
  <c r="R135" i="16"/>
  <c r="D136" i="16"/>
  <c r="E136" i="16"/>
  <c r="H136" i="16"/>
  <c r="K136" i="16"/>
  <c r="L136" i="16"/>
  <c r="M136" i="16"/>
  <c r="N136" i="16"/>
  <c r="O136" i="16"/>
  <c r="P136" i="16"/>
  <c r="Q136" i="16"/>
  <c r="R136" i="16"/>
  <c r="S136" i="16"/>
  <c r="D137" i="16"/>
  <c r="E137" i="16"/>
  <c r="G137" i="16"/>
  <c r="H137" i="16"/>
  <c r="I137" i="16"/>
  <c r="J137" i="16"/>
  <c r="K137" i="16"/>
  <c r="L137" i="16"/>
  <c r="M137" i="16"/>
  <c r="N137" i="16"/>
  <c r="O137" i="16"/>
  <c r="P137" i="16"/>
  <c r="Q137" i="16"/>
  <c r="R137" i="16"/>
  <c r="S137" i="16"/>
  <c r="E138" i="16"/>
  <c r="G138" i="16"/>
  <c r="H138" i="16"/>
  <c r="I138" i="16"/>
  <c r="J138" i="16"/>
  <c r="K138" i="16"/>
  <c r="M138" i="16"/>
  <c r="N138" i="16"/>
  <c r="O138" i="16"/>
  <c r="P138" i="16"/>
  <c r="Q138" i="16"/>
  <c r="S138" i="16"/>
  <c r="D139" i="16"/>
  <c r="E139" i="16"/>
  <c r="F139" i="16"/>
  <c r="G139" i="16"/>
  <c r="H139" i="16"/>
  <c r="I139" i="16"/>
  <c r="J139" i="16"/>
  <c r="K139" i="16"/>
  <c r="L139" i="16"/>
  <c r="M139" i="16"/>
  <c r="N139" i="16"/>
  <c r="O139" i="16"/>
  <c r="P139" i="16"/>
  <c r="Q139" i="16"/>
  <c r="R139" i="16"/>
  <c r="S139" i="16"/>
  <c r="E140" i="16"/>
  <c r="F140" i="16"/>
  <c r="G140" i="16"/>
  <c r="H140" i="16"/>
  <c r="I140" i="16"/>
  <c r="J140" i="16"/>
  <c r="L140" i="16"/>
  <c r="M140" i="16"/>
  <c r="O140" i="16"/>
  <c r="P140" i="16"/>
  <c r="Q140" i="16"/>
  <c r="R140" i="16"/>
  <c r="S140" i="16"/>
  <c r="F141" i="16"/>
  <c r="G141" i="16"/>
  <c r="H141" i="16"/>
  <c r="J141" i="16"/>
  <c r="K141" i="16"/>
  <c r="L141" i="16"/>
  <c r="M141" i="16"/>
  <c r="P141" i="16"/>
  <c r="S141" i="16"/>
  <c r="D142" i="16"/>
  <c r="F142" i="16"/>
  <c r="G142" i="16"/>
  <c r="H142" i="16"/>
  <c r="I142" i="16"/>
  <c r="J142" i="16"/>
  <c r="K142" i="16"/>
  <c r="L142" i="16"/>
  <c r="M142" i="16"/>
  <c r="R142" i="16"/>
  <c r="D143" i="16"/>
  <c r="F143" i="16"/>
  <c r="G143" i="16"/>
  <c r="H143" i="16"/>
  <c r="I143" i="16"/>
  <c r="J143" i="16"/>
  <c r="L143" i="16"/>
  <c r="M143" i="16"/>
  <c r="N143" i="16"/>
  <c r="O143" i="16"/>
  <c r="P143" i="16"/>
  <c r="Q143" i="16"/>
  <c r="R143" i="16"/>
  <c r="D144" i="16"/>
  <c r="E144" i="16"/>
  <c r="F144" i="16"/>
  <c r="G144" i="16"/>
  <c r="I144" i="16"/>
  <c r="K144" i="16"/>
  <c r="L144" i="16"/>
  <c r="M144" i="16"/>
  <c r="N144" i="16"/>
  <c r="O144" i="16"/>
  <c r="P144" i="16"/>
  <c r="Q144" i="16"/>
  <c r="R144" i="16"/>
  <c r="D145" i="16"/>
  <c r="F145" i="16"/>
  <c r="G145" i="16"/>
  <c r="H145" i="16"/>
  <c r="I145" i="16"/>
  <c r="J145" i="16"/>
  <c r="K145" i="16"/>
  <c r="N145" i="16"/>
  <c r="P145" i="16"/>
  <c r="R145" i="16"/>
  <c r="E146" i="16"/>
  <c r="F146" i="16"/>
  <c r="G146" i="16"/>
  <c r="L146" i="16"/>
  <c r="M146" i="16"/>
  <c r="N146" i="16"/>
  <c r="O146" i="16"/>
  <c r="P146" i="16"/>
  <c r="Q146" i="16"/>
  <c r="R146" i="16"/>
  <c r="D147" i="16"/>
  <c r="E147" i="16"/>
  <c r="F147" i="16"/>
  <c r="G147" i="16"/>
  <c r="I147" i="16"/>
  <c r="J147" i="16"/>
  <c r="K147" i="16"/>
  <c r="L147" i="16"/>
  <c r="M147" i="16"/>
  <c r="N147" i="16"/>
  <c r="O147" i="16"/>
  <c r="Q147" i="16"/>
  <c r="R147" i="16"/>
  <c r="S147" i="16"/>
  <c r="D148" i="16"/>
  <c r="E148" i="16"/>
  <c r="G148" i="16"/>
  <c r="H148" i="16"/>
  <c r="I148" i="16"/>
  <c r="J148" i="16"/>
  <c r="K148" i="16"/>
  <c r="L148" i="16"/>
  <c r="M148" i="16"/>
  <c r="N148" i="16"/>
  <c r="O148" i="16"/>
  <c r="P148" i="16"/>
  <c r="Q148" i="16"/>
  <c r="R148" i="16"/>
  <c r="S148" i="16"/>
  <c r="D149" i="16"/>
  <c r="F149" i="16"/>
  <c r="G149" i="16"/>
  <c r="H149" i="16"/>
  <c r="I149" i="16"/>
  <c r="L149" i="16"/>
  <c r="M149" i="16"/>
  <c r="N149" i="16"/>
  <c r="O149" i="16"/>
  <c r="P149" i="16"/>
  <c r="Q149" i="16"/>
  <c r="R149" i="16"/>
  <c r="S149" i="16"/>
  <c r="D150" i="16"/>
  <c r="F150" i="16"/>
  <c r="I150" i="16"/>
  <c r="J150" i="16"/>
  <c r="K150" i="16"/>
  <c r="M150" i="16"/>
  <c r="O150" i="16"/>
  <c r="R150" i="16"/>
  <c r="S150" i="16"/>
  <c r="D151" i="16"/>
  <c r="F151" i="16"/>
  <c r="G151" i="16"/>
  <c r="I151" i="16"/>
  <c r="J151" i="16"/>
  <c r="L151" i="16"/>
  <c r="M151" i="16"/>
  <c r="N151" i="16"/>
  <c r="O151" i="16"/>
  <c r="Q151" i="16"/>
  <c r="R151" i="16"/>
  <c r="S151" i="16"/>
  <c r="D152" i="16"/>
  <c r="G152" i="16"/>
  <c r="I152" i="16"/>
  <c r="J152" i="16"/>
  <c r="L152" i="16"/>
  <c r="M152" i="16"/>
  <c r="N152" i="16"/>
  <c r="O152" i="16"/>
  <c r="P152" i="16"/>
  <c r="R152" i="16"/>
  <c r="S152" i="16"/>
  <c r="D153" i="16"/>
  <c r="E153" i="16"/>
  <c r="F153" i="16"/>
  <c r="G153" i="16"/>
  <c r="H153" i="16"/>
  <c r="I153" i="16"/>
  <c r="J153" i="16"/>
  <c r="K153" i="16"/>
  <c r="M153" i="16"/>
  <c r="O153" i="16"/>
  <c r="P153" i="16"/>
  <c r="Q153" i="16"/>
  <c r="R153" i="16"/>
  <c r="S153" i="16"/>
  <c r="D154" i="16"/>
  <c r="E154" i="16"/>
  <c r="G154" i="16"/>
  <c r="I154" i="16"/>
  <c r="J154" i="16"/>
  <c r="K154" i="16"/>
  <c r="L154" i="16"/>
  <c r="M154" i="16"/>
  <c r="N154" i="16"/>
  <c r="O154" i="16"/>
  <c r="P154" i="16"/>
  <c r="R154" i="16"/>
  <c r="S154" i="16"/>
  <c r="D155" i="16"/>
  <c r="E155" i="16"/>
  <c r="F155" i="16"/>
  <c r="H155" i="16"/>
  <c r="J155" i="16"/>
  <c r="K155" i="16"/>
  <c r="L155" i="16"/>
  <c r="N155" i="16"/>
  <c r="Q155" i="16"/>
  <c r="R155" i="16"/>
  <c r="S155" i="16"/>
  <c r="D156" i="16"/>
  <c r="E156" i="16"/>
  <c r="G156" i="16"/>
  <c r="H156" i="16"/>
  <c r="I156" i="16"/>
  <c r="J156" i="16"/>
  <c r="K156" i="16"/>
  <c r="L156" i="16"/>
  <c r="N156" i="16"/>
  <c r="O156" i="16"/>
  <c r="Q156" i="16"/>
  <c r="R156" i="16"/>
  <c r="S156" i="16"/>
  <c r="D157" i="16"/>
  <c r="E157" i="16"/>
  <c r="F157" i="16"/>
  <c r="G157" i="16"/>
  <c r="H157" i="16"/>
  <c r="I157" i="16"/>
  <c r="K157" i="16"/>
  <c r="L157" i="16"/>
  <c r="M157" i="16"/>
  <c r="N157" i="16"/>
  <c r="O157" i="16"/>
  <c r="P157" i="16"/>
  <c r="R157" i="16"/>
  <c r="S157" i="16"/>
  <c r="D158" i="16"/>
  <c r="E158" i="16"/>
  <c r="F158" i="16"/>
  <c r="G158" i="16"/>
  <c r="H158" i="16"/>
  <c r="I158" i="16"/>
  <c r="J158" i="16"/>
  <c r="K158" i="16"/>
  <c r="P158" i="16"/>
  <c r="Q158" i="16"/>
  <c r="R158" i="16"/>
  <c r="S158" i="16"/>
  <c r="D159" i="16"/>
  <c r="E159" i="16"/>
  <c r="F159" i="16"/>
  <c r="G159" i="16"/>
  <c r="I159" i="16"/>
  <c r="J159" i="16"/>
  <c r="L159" i="16"/>
  <c r="M159" i="16"/>
  <c r="N159" i="16"/>
  <c r="O159" i="16"/>
  <c r="P159" i="16"/>
  <c r="R159" i="16"/>
  <c r="S159" i="16"/>
  <c r="E160" i="16"/>
  <c r="F160" i="16"/>
  <c r="G160" i="16"/>
  <c r="I160" i="16"/>
  <c r="L160" i="16"/>
  <c r="N160" i="16"/>
  <c r="O160" i="16"/>
  <c r="P160" i="16"/>
  <c r="R160" i="16"/>
  <c r="S160" i="16"/>
  <c r="D161" i="16"/>
  <c r="E161" i="16"/>
  <c r="F161" i="16"/>
  <c r="G161" i="16"/>
  <c r="I161" i="16"/>
  <c r="K161" i="16"/>
  <c r="M161" i="16"/>
  <c r="R161" i="16"/>
  <c r="S161" i="16"/>
  <c r="D162" i="16"/>
  <c r="E162" i="16"/>
  <c r="F162" i="16"/>
  <c r="G162" i="16"/>
  <c r="H162" i="16"/>
  <c r="I162" i="16"/>
  <c r="J162" i="16"/>
  <c r="K162" i="16"/>
  <c r="L162" i="16"/>
  <c r="M162" i="16"/>
  <c r="N162" i="16"/>
  <c r="O162" i="16"/>
  <c r="P162" i="16"/>
  <c r="Q162" i="16"/>
  <c r="R162" i="16"/>
  <c r="S162" i="16"/>
  <c r="E163" i="16"/>
  <c r="F163" i="16"/>
  <c r="G163" i="16"/>
  <c r="H163" i="16"/>
  <c r="J163" i="16"/>
  <c r="K163" i="16"/>
  <c r="L163" i="16"/>
  <c r="M163" i="16"/>
  <c r="N163" i="16"/>
  <c r="O163" i="16"/>
  <c r="P163" i="16"/>
  <c r="Q163" i="16"/>
  <c r="S163" i="16"/>
  <c r="D164" i="16"/>
  <c r="F164" i="16"/>
  <c r="G164" i="16"/>
  <c r="H164" i="16"/>
  <c r="I164" i="16"/>
  <c r="J164" i="16"/>
  <c r="K164" i="16"/>
  <c r="M164" i="16"/>
  <c r="N164" i="16"/>
  <c r="O164" i="16"/>
  <c r="P164" i="16"/>
  <c r="Q164" i="16"/>
  <c r="R164" i="16"/>
  <c r="S164" i="16"/>
  <c r="D165" i="16"/>
  <c r="G165" i="16"/>
  <c r="H165" i="16"/>
  <c r="I165" i="16"/>
  <c r="J165" i="16"/>
  <c r="K165" i="16"/>
  <c r="L165" i="16"/>
  <c r="M165" i="16"/>
  <c r="N165" i="16"/>
  <c r="O165" i="16"/>
  <c r="P165" i="16"/>
  <c r="Q165" i="16"/>
  <c r="S165" i="16"/>
  <c r="E166" i="16"/>
  <c r="F166" i="16"/>
  <c r="G166" i="16"/>
  <c r="H166" i="16"/>
  <c r="I166" i="16"/>
  <c r="K166" i="16"/>
  <c r="M166" i="16"/>
  <c r="N166" i="16"/>
  <c r="O166" i="16"/>
  <c r="P166" i="16"/>
  <c r="Q166" i="16"/>
  <c r="R166" i="16"/>
  <c r="S166" i="16"/>
  <c r="D167" i="16"/>
  <c r="G167" i="16"/>
  <c r="H167" i="16"/>
  <c r="I167" i="16"/>
  <c r="J167" i="16"/>
  <c r="K167" i="16"/>
  <c r="L167" i="16"/>
  <c r="M167" i="16"/>
  <c r="N167" i="16"/>
  <c r="O167" i="16"/>
  <c r="P167" i="16"/>
  <c r="R167" i="16"/>
  <c r="S167" i="16"/>
  <c r="D168" i="16"/>
  <c r="E168" i="16"/>
  <c r="F168" i="16"/>
  <c r="G168" i="16"/>
  <c r="I168" i="16"/>
  <c r="J168" i="16"/>
  <c r="K168" i="16"/>
  <c r="M168" i="16"/>
  <c r="N168" i="16"/>
  <c r="O168" i="16"/>
  <c r="P168" i="16"/>
  <c r="E169" i="16"/>
  <c r="H169" i="16"/>
  <c r="I169" i="16"/>
  <c r="J169" i="16"/>
  <c r="L169" i="16"/>
  <c r="O169" i="16"/>
  <c r="P169" i="16"/>
  <c r="R169" i="16"/>
  <c r="S169" i="16"/>
  <c r="D170" i="16"/>
  <c r="E170" i="16"/>
  <c r="F170" i="16"/>
  <c r="G170" i="16"/>
  <c r="H170" i="16"/>
  <c r="I170" i="16"/>
  <c r="J170" i="16"/>
  <c r="K170" i="16"/>
  <c r="L170" i="16"/>
  <c r="M170" i="16"/>
  <c r="N170" i="16"/>
  <c r="O170" i="16"/>
  <c r="P170" i="16"/>
  <c r="Q170" i="16"/>
  <c r="R170" i="16"/>
  <c r="S170" i="16"/>
  <c r="D171" i="16"/>
  <c r="F171" i="16"/>
  <c r="G171" i="16"/>
  <c r="H171" i="16"/>
  <c r="I171" i="16"/>
  <c r="J171" i="16"/>
  <c r="K171" i="16"/>
  <c r="L171" i="16"/>
  <c r="M171" i="16"/>
  <c r="N171" i="16"/>
  <c r="O171" i="16"/>
  <c r="P171" i="16"/>
  <c r="Q171" i="16"/>
  <c r="R171" i="16"/>
  <c r="S171" i="16"/>
  <c r="E172" i="16"/>
  <c r="F172" i="16"/>
  <c r="I172" i="16"/>
  <c r="J172" i="16"/>
  <c r="L172" i="16"/>
  <c r="M172" i="16"/>
  <c r="N172" i="16"/>
  <c r="P172" i="16"/>
  <c r="Q172" i="16"/>
  <c r="S172" i="16"/>
  <c r="D173" i="16"/>
  <c r="E173" i="16"/>
  <c r="F173" i="16"/>
  <c r="I173" i="16"/>
  <c r="J173" i="16"/>
  <c r="K173" i="16"/>
  <c r="L173" i="16"/>
  <c r="M173" i="16"/>
  <c r="N173" i="16"/>
  <c r="P173" i="16"/>
  <c r="Q173" i="16"/>
  <c r="S173" i="16"/>
  <c r="D174" i="16"/>
  <c r="E174" i="16"/>
  <c r="F174" i="16"/>
  <c r="G174" i="16"/>
  <c r="H174" i="16"/>
  <c r="I174" i="16"/>
  <c r="J174" i="16"/>
  <c r="L174" i="16"/>
  <c r="M174" i="16"/>
  <c r="N174" i="16"/>
  <c r="O174" i="16"/>
  <c r="P174" i="16"/>
  <c r="Q174" i="16"/>
  <c r="R174" i="16"/>
  <c r="S174" i="16"/>
  <c r="D175" i="16"/>
  <c r="F175" i="16"/>
  <c r="G175" i="16"/>
  <c r="J175" i="16"/>
  <c r="K175" i="16"/>
  <c r="L175" i="16"/>
  <c r="M175" i="16"/>
  <c r="N175" i="16"/>
  <c r="O175" i="16"/>
  <c r="P175" i="16"/>
  <c r="S175" i="16"/>
  <c r="D176" i="16"/>
  <c r="E176" i="16"/>
  <c r="F176" i="16"/>
  <c r="H176" i="16"/>
  <c r="I176" i="16"/>
  <c r="J176" i="16"/>
  <c r="K176" i="16"/>
  <c r="M176" i="16"/>
  <c r="O176" i="16"/>
  <c r="P176" i="16"/>
  <c r="Q176" i="16"/>
  <c r="R176" i="16"/>
  <c r="S176" i="16"/>
  <c r="D177" i="16"/>
  <c r="E177" i="16"/>
  <c r="G177" i="16"/>
  <c r="H177" i="16"/>
  <c r="I177" i="16"/>
  <c r="J177" i="16"/>
  <c r="K177" i="16"/>
  <c r="L177" i="16"/>
  <c r="M177" i="16"/>
  <c r="O177" i="16"/>
  <c r="P177" i="16"/>
  <c r="R177" i="16"/>
  <c r="S177" i="16"/>
  <c r="D178" i="16"/>
  <c r="F178" i="16"/>
  <c r="H178" i="16"/>
  <c r="I178" i="16"/>
  <c r="K178" i="16"/>
  <c r="L178" i="16"/>
  <c r="M178" i="16"/>
  <c r="N178" i="16"/>
  <c r="O178" i="16"/>
  <c r="R178" i="16"/>
  <c r="E179" i="16"/>
  <c r="F179" i="16"/>
  <c r="G179" i="16"/>
  <c r="H179" i="16"/>
  <c r="I179" i="16"/>
  <c r="J179" i="16"/>
  <c r="K179" i="16"/>
  <c r="L179" i="16"/>
  <c r="M179" i="16"/>
  <c r="O179" i="16"/>
  <c r="P179" i="16"/>
  <c r="Q179" i="16"/>
  <c r="S179" i="16"/>
  <c r="E180" i="16"/>
  <c r="F180" i="16"/>
  <c r="G180" i="16"/>
  <c r="I180" i="16"/>
  <c r="J180" i="16"/>
  <c r="L180" i="16"/>
  <c r="M180" i="16"/>
  <c r="N180" i="16"/>
  <c r="O180" i="16"/>
  <c r="P180" i="16"/>
  <c r="S180" i="16"/>
  <c r="F181" i="16"/>
  <c r="G181" i="16"/>
  <c r="H181" i="16"/>
  <c r="I181" i="16"/>
  <c r="K181" i="16"/>
  <c r="L181" i="16"/>
  <c r="O181" i="16"/>
  <c r="Q181" i="16"/>
  <c r="R181" i="16"/>
  <c r="S181" i="16"/>
  <c r="D182" i="16"/>
  <c r="F182" i="16"/>
  <c r="G182" i="16"/>
  <c r="H182" i="16"/>
  <c r="I182" i="16"/>
  <c r="J182" i="16"/>
  <c r="K182" i="16"/>
  <c r="L182" i="16"/>
  <c r="M182" i="16"/>
  <c r="N182" i="16"/>
  <c r="O182" i="16"/>
  <c r="P182" i="16"/>
  <c r="R182" i="16"/>
  <c r="S182" i="16"/>
  <c r="D183" i="16"/>
  <c r="E183" i="16"/>
  <c r="F183" i="16"/>
  <c r="H183" i="16"/>
  <c r="I183" i="16"/>
  <c r="J183" i="16"/>
  <c r="K183" i="16"/>
  <c r="N183" i="16"/>
  <c r="O183" i="16"/>
  <c r="Q183" i="16"/>
  <c r="R183" i="16"/>
  <c r="D184" i="16"/>
  <c r="E184" i="16"/>
  <c r="G184" i="16"/>
  <c r="H184" i="16"/>
  <c r="I184" i="16"/>
  <c r="J184" i="16"/>
  <c r="K184" i="16"/>
  <c r="L184" i="16"/>
  <c r="N184" i="16"/>
  <c r="O184" i="16"/>
  <c r="Q184" i="16"/>
  <c r="R184" i="16"/>
  <c r="S184" i="16"/>
  <c r="D185" i="16"/>
  <c r="E185" i="16"/>
  <c r="F185" i="16"/>
  <c r="G185" i="16"/>
  <c r="H185" i="16"/>
  <c r="I185" i="16"/>
  <c r="J185" i="16"/>
  <c r="K185" i="16"/>
  <c r="N185" i="16"/>
  <c r="O185" i="16"/>
  <c r="P185" i="16"/>
  <c r="Q185" i="16"/>
  <c r="R185" i="16"/>
  <c r="D186" i="16"/>
  <c r="G186" i="16"/>
  <c r="H186" i="16"/>
  <c r="I186" i="16"/>
  <c r="J186" i="16"/>
  <c r="K186" i="16"/>
  <c r="L186" i="16"/>
  <c r="N186" i="16"/>
  <c r="O186" i="16"/>
  <c r="P186" i="16"/>
  <c r="Q186" i="16"/>
  <c r="R186" i="16"/>
  <c r="S186" i="16"/>
  <c r="D187" i="16"/>
  <c r="E187" i="16"/>
  <c r="F187" i="16"/>
  <c r="G187" i="16"/>
  <c r="H187" i="16"/>
  <c r="I187" i="16"/>
  <c r="J187" i="16"/>
  <c r="K187" i="16"/>
  <c r="L187" i="16"/>
  <c r="M187" i="16"/>
  <c r="N187" i="16"/>
  <c r="O187" i="16"/>
  <c r="P187" i="16"/>
  <c r="Q187" i="16"/>
  <c r="R187" i="16"/>
  <c r="D188" i="16"/>
  <c r="E188" i="16"/>
  <c r="F188" i="16"/>
  <c r="G188" i="16"/>
  <c r="I188" i="16"/>
  <c r="J188" i="16"/>
  <c r="L188" i="16"/>
  <c r="M188" i="16"/>
  <c r="N188" i="16"/>
  <c r="O188" i="16"/>
  <c r="R188" i="16"/>
  <c r="S188" i="16"/>
  <c r="D189" i="16"/>
  <c r="E189" i="16"/>
  <c r="F189" i="16"/>
  <c r="G189" i="16"/>
  <c r="I189" i="16"/>
  <c r="J189" i="16"/>
  <c r="K189" i="16"/>
  <c r="L189" i="16"/>
  <c r="M189" i="16"/>
  <c r="O189" i="16"/>
  <c r="P189" i="16"/>
  <c r="Q189" i="16"/>
  <c r="R189" i="16"/>
  <c r="S189" i="16"/>
  <c r="F190" i="16"/>
  <c r="H190" i="16"/>
  <c r="I190" i="16"/>
  <c r="J190" i="16"/>
  <c r="L190" i="16"/>
  <c r="N190" i="16"/>
  <c r="O190" i="16"/>
  <c r="Q190" i="16"/>
  <c r="R190" i="16"/>
  <c r="S190" i="16"/>
  <c r="E191" i="16"/>
  <c r="F191" i="16"/>
  <c r="G191" i="16"/>
  <c r="I191" i="16"/>
  <c r="J191" i="16"/>
  <c r="K191" i="16"/>
  <c r="L191" i="16"/>
  <c r="M191" i="16"/>
  <c r="P191" i="16"/>
  <c r="Q191" i="16"/>
  <c r="R191" i="16"/>
  <c r="S191" i="16"/>
  <c r="D192" i="16"/>
  <c r="E192" i="16"/>
  <c r="F192" i="16"/>
  <c r="G192" i="16"/>
  <c r="H192" i="16"/>
  <c r="I192" i="16"/>
  <c r="J192" i="16"/>
  <c r="K192" i="16"/>
  <c r="L192" i="16"/>
  <c r="M192" i="16"/>
  <c r="N192" i="16"/>
  <c r="O192" i="16"/>
  <c r="Q192" i="16"/>
  <c r="R192" i="16"/>
  <c r="S192" i="16"/>
  <c r="D193" i="16"/>
  <c r="G193" i="16"/>
  <c r="H193" i="16"/>
  <c r="I193" i="16"/>
  <c r="J193" i="16"/>
  <c r="K193" i="16"/>
  <c r="L193" i="16"/>
  <c r="M193" i="16"/>
  <c r="N193" i="16"/>
  <c r="O193" i="16"/>
  <c r="P193" i="16"/>
  <c r="Q193" i="16"/>
  <c r="D194" i="16"/>
  <c r="E194" i="16"/>
  <c r="F194" i="16"/>
  <c r="G194" i="16"/>
  <c r="H194" i="16"/>
  <c r="J194" i="16"/>
  <c r="K194" i="16"/>
  <c r="L194" i="16"/>
  <c r="M194" i="16"/>
  <c r="N194" i="16"/>
  <c r="Q194" i="16"/>
  <c r="S194" i="16"/>
  <c r="D195" i="16"/>
  <c r="E195" i="16"/>
  <c r="F195" i="16"/>
  <c r="G195" i="16"/>
  <c r="I195" i="16"/>
  <c r="J195" i="16"/>
  <c r="K195" i="16"/>
  <c r="L195" i="16"/>
  <c r="M195" i="16"/>
  <c r="P195" i="16"/>
  <c r="Q195" i="16"/>
  <c r="R195" i="16"/>
  <c r="S195" i="16"/>
  <c r="D196" i="16"/>
  <c r="E196" i="16"/>
  <c r="F196" i="16"/>
  <c r="G196" i="16"/>
  <c r="H196" i="16"/>
  <c r="J196" i="16"/>
  <c r="K196" i="16"/>
  <c r="L196" i="16"/>
  <c r="M196" i="16"/>
  <c r="N196" i="16"/>
  <c r="P196" i="16"/>
  <c r="S196" i="16"/>
  <c r="E197" i="16"/>
  <c r="G197" i="16"/>
  <c r="H197" i="16"/>
  <c r="J197" i="16"/>
  <c r="K197" i="16"/>
  <c r="L197" i="16"/>
  <c r="M197" i="16"/>
  <c r="N197" i="16"/>
  <c r="O197" i="16"/>
  <c r="R197" i="16"/>
  <c r="S197" i="16"/>
  <c r="D198" i="16"/>
  <c r="E198" i="16"/>
  <c r="F198" i="16"/>
  <c r="G198" i="16"/>
  <c r="H198" i="16"/>
  <c r="J198" i="16"/>
  <c r="K198" i="16"/>
  <c r="L198" i="16"/>
  <c r="M198" i="16"/>
  <c r="N198" i="16"/>
  <c r="O198" i="16"/>
  <c r="P198" i="16"/>
  <c r="R198" i="16"/>
  <c r="S198" i="16"/>
  <c r="E199" i="16"/>
  <c r="F199" i="16"/>
  <c r="H199" i="16"/>
  <c r="I199" i="16"/>
  <c r="K199" i="16"/>
  <c r="M199" i="16"/>
  <c r="O199" i="16"/>
  <c r="P199" i="16"/>
  <c r="R199" i="16"/>
  <c r="D200" i="16"/>
  <c r="E200" i="16"/>
  <c r="F200" i="16"/>
  <c r="H200" i="16"/>
  <c r="I200" i="16"/>
  <c r="J200" i="16"/>
  <c r="K200" i="16"/>
  <c r="L200" i="16"/>
  <c r="O200" i="16"/>
  <c r="Q200" i="16"/>
  <c r="R200" i="16"/>
  <c r="S200" i="16"/>
  <c r="E201" i="16"/>
  <c r="G201" i="16"/>
  <c r="H201" i="16"/>
  <c r="I201" i="16"/>
  <c r="K201" i="16"/>
  <c r="M201" i="16"/>
  <c r="N201" i="16"/>
  <c r="O201" i="16"/>
  <c r="P201" i="16"/>
  <c r="Q201" i="16"/>
  <c r="R201" i="16"/>
  <c r="S201" i="16"/>
  <c r="D202" i="16"/>
  <c r="E202" i="16"/>
  <c r="F202" i="16"/>
  <c r="H202" i="16"/>
  <c r="I202" i="16"/>
  <c r="J202" i="16"/>
  <c r="K202" i="16"/>
  <c r="L202" i="16"/>
  <c r="M202" i="16"/>
  <c r="N202" i="16"/>
  <c r="O202" i="16"/>
  <c r="Q202" i="16"/>
  <c r="S202" i="16"/>
  <c r="D203" i="16"/>
  <c r="E203" i="16"/>
  <c r="F203" i="16"/>
  <c r="G203" i="16"/>
  <c r="H203" i="16"/>
  <c r="J203" i="16"/>
  <c r="K203" i="16"/>
  <c r="N203" i="16"/>
  <c r="O203" i="16"/>
  <c r="P203" i="16"/>
  <c r="Q203" i="16"/>
  <c r="R203" i="16"/>
  <c r="S203" i="16"/>
  <c r="D204" i="16"/>
  <c r="F204" i="16"/>
  <c r="G204" i="16"/>
  <c r="H204" i="16"/>
  <c r="I204" i="16"/>
  <c r="J204" i="16"/>
  <c r="K204" i="16"/>
  <c r="L204" i="16"/>
  <c r="M204" i="16"/>
  <c r="N204" i="16"/>
  <c r="O204" i="16"/>
  <c r="P204" i="16"/>
  <c r="Q204" i="16"/>
  <c r="R204" i="16"/>
  <c r="S204" i="16"/>
  <c r="E205" i="16"/>
  <c r="F205" i="16"/>
  <c r="H205" i="16"/>
  <c r="I205" i="16"/>
  <c r="J205" i="16"/>
  <c r="K205" i="16"/>
  <c r="M205" i="16"/>
  <c r="N205" i="16"/>
  <c r="Q205" i="16"/>
  <c r="S205" i="16"/>
  <c r="D206" i="16"/>
  <c r="F206" i="16"/>
  <c r="G206" i="16"/>
  <c r="H206" i="16"/>
  <c r="I206" i="16"/>
  <c r="K206" i="16"/>
  <c r="L206" i="16"/>
  <c r="M206" i="16"/>
  <c r="N206" i="16"/>
  <c r="O206" i="16"/>
  <c r="P206" i="16"/>
  <c r="Q206" i="16"/>
  <c r="R206" i="16"/>
  <c r="D207" i="16"/>
  <c r="E207" i="16"/>
  <c r="F207" i="16"/>
  <c r="H207" i="16"/>
  <c r="J207" i="16"/>
  <c r="K207" i="16"/>
  <c r="L207" i="16"/>
  <c r="N207" i="16"/>
  <c r="O207" i="16"/>
  <c r="Q207" i="16"/>
  <c r="S207" i="16"/>
  <c r="D208" i="16"/>
  <c r="E208" i="16"/>
  <c r="F208" i="16"/>
  <c r="H208" i="16"/>
  <c r="I208" i="16"/>
  <c r="J208" i="16"/>
  <c r="K208" i="16"/>
  <c r="L208" i="16"/>
  <c r="N208" i="16"/>
  <c r="O208" i="16"/>
  <c r="P208" i="16"/>
  <c r="R208" i="16"/>
  <c r="S208" i="16"/>
  <c r="D209" i="16"/>
  <c r="E209" i="16"/>
  <c r="F209" i="16"/>
  <c r="I209" i="16"/>
  <c r="J209" i="16"/>
  <c r="K209" i="16"/>
  <c r="L209" i="16"/>
  <c r="M209" i="16"/>
  <c r="N209" i="16"/>
  <c r="P209" i="16"/>
  <c r="Q209" i="16"/>
  <c r="R209" i="16"/>
  <c r="S209" i="16"/>
  <c r="D210" i="16"/>
  <c r="E210" i="16"/>
  <c r="F210" i="16"/>
  <c r="H210" i="16"/>
  <c r="I210" i="16"/>
  <c r="J210" i="16"/>
  <c r="K210" i="16"/>
  <c r="L210" i="16"/>
  <c r="N210" i="16"/>
  <c r="O210" i="16"/>
  <c r="P210" i="16"/>
  <c r="Q210" i="16"/>
  <c r="R210" i="16"/>
  <c r="S210" i="16"/>
  <c r="D211" i="16"/>
  <c r="E211" i="16"/>
  <c r="F211" i="16"/>
  <c r="G211" i="16"/>
  <c r="H211" i="16"/>
  <c r="J211" i="16"/>
  <c r="K211" i="16"/>
  <c r="L211" i="16"/>
  <c r="N211" i="16"/>
  <c r="Q211" i="16"/>
  <c r="R211" i="16"/>
  <c r="G212" i="16"/>
  <c r="J212" i="16"/>
  <c r="K212" i="16"/>
  <c r="L212" i="16"/>
  <c r="O212" i="16"/>
  <c r="Q212" i="16"/>
  <c r="R212" i="16"/>
  <c r="S212" i="16"/>
  <c r="D213" i="16"/>
  <c r="E213" i="16"/>
  <c r="F213" i="16"/>
  <c r="G213" i="16"/>
  <c r="H213" i="16"/>
  <c r="I213" i="16"/>
  <c r="J213" i="16"/>
  <c r="K213" i="16"/>
  <c r="L213" i="16"/>
  <c r="M213" i="16"/>
  <c r="N213" i="16"/>
  <c r="O213" i="16"/>
  <c r="P213" i="16"/>
  <c r="R213" i="16"/>
  <c r="S213" i="16"/>
  <c r="D214" i="16"/>
  <c r="E214" i="16"/>
  <c r="F214" i="16"/>
  <c r="G214" i="16"/>
  <c r="H214" i="16"/>
  <c r="I214" i="16"/>
  <c r="J214" i="16"/>
  <c r="K214" i="16"/>
  <c r="M214" i="16"/>
  <c r="N214" i="16"/>
  <c r="O214" i="16"/>
  <c r="P214" i="16"/>
  <c r="S214" i="16"/>
  <c r="D215" i="16"/>
  <c r="F215" i="16"/>
  <c r="G215" i="16"/>
  <c r="I215" i="16"/>
  <c r="J215" i="16"/>
  <c r="K215" i="16"/>
  <c r="L215" i="16"/>
  <c r="M215" i="16"/>
  <c r="O215" i="16"/>
  <c r="P215" i="16"/>
  <c r="Q215" i="16"/>
  <c r="R215" i="16"/>
  <c r="S215" i="16"/>
  <c r="E216" i="16"/>
  <c r="F216" i="16"/>
  <c r="G216" i="16"/>
  <c r="H216" i="16"/>
  <c r="I216" i="16"/>
  <c r="J216" i="16"/>
  <c r="M216" i="16"/>
  <c r="N216" i="16"/>
  <c r="O216" i="16"/>
  <c r="P216" i="16"/>
  <c r="S216" i="16"/>
  <c r="D217" i="16"/>
  <c r="F217" i="16"/>
  <c r="G217" i="16"/>
  <c r="H217" i="16"/>
  <c r="I217" i="16"/>
  <c r="J217" i="16"/>
  <c r="K217" i="16"/>
  <c r="L217" i="16"/>
  <c r="M217" i="16"/>
  <c r="O217" i="16"/>
  <c r="P217" i="16"/>
  <c r="Q217" i="16"/>
  <c r="S217" i="16"/>
  <c r="D218" i="16"/>
  <c r="E218" i="16"/>
  <c r="F218" i="16"/>
  <c r="G218" i="16"/>
  <c r="J218" i="16"/>
  <c r="K218" i="16"/>
  <c r="L218" i="16"/>
  <c r="N218" i="16"/>
  <c r="P218" i="16"/>
  <c r="Q218" i="16"/>
  <c r="R218" i="16"/>
  <c r="D219" i="16"/>
  <c r="E219" i="16"/>
  <c r="F219" i="16"/>
  <c r="H219" i="16"/>
  <c r="I219" i="16"/>
  <c r="J219" i="16"/>
  <c r="K219" i="16"/>
  <c r="N219" i="16"/>
  <c r="O219" i="16"/>
  <c r="P219" i="16"/>
  <c r="Q219" i="16"/>
  <c r="R219" i="16"/>
  <c r="S219" i="16"/>
  <c r="D220" i="16"/>
  <c r="E220" i="16"/>
  <c r="F220" i="16"/>
  <c r="H220" i="16"/>
  <c r="J220" i="16"/>
  <c r="K220" i="16"/>
  <c r="L220" i="16"/>
  <c r="M220" i="16"/>
  <c r="O220" i="16"/>
  <c r="P220" i="16"/>
  <c r="R220" i="16"/>
  <c r="S220" i="16"/>
  <c r="D221" i="16"/>
  <c r="F221" i="16"/>
  <c r="G221" i="16"/>
  <c r="H221" i="16"/>
  <c r="J221" i="16"/>
  <c r="K221" i="16"/>
  <c r="L221" i="16"/>
  <c r="N221" i="16"/>
  <c r="P221" i="16"/>
  <c r="Q221" i="16"/>
  <c r="S221" i="16"/>
  <c r="D222" i="16"/>
  <c r="E222" i="16"/>
  <c r="G222" i="16"/>
  <c r="H222" i="16"/>
  <c r="I222" i="16"/>
  <c r="J222" i="16"/>
  <c r="K222" i="16"/>
  <c r="L222" i="16"/>
  <c r="M222" i="16"/>
  <c r="N222" i="16"/>
  <c r="O222" i="16"/>
  <c r="P222" i="16"/>
  <c r="R222" i="16"/>
  <c r="D223" i="16"/>
  <c r="E223" i="16"/>
  <c r="F223" i="16"/>
  <c r="G223" i="16"/>
  <c r="I223" i="16"/>
  <c r="J223" i="16"/>
  <c r="K223" i="16"/>
  <c r="L223" i="16"/>
  <c r="M223" i="16"/>
  <c r="N223" i="16"/>
  <c r="O223" i="16"/>
  <c r="P223" i="16"/>
  <c r="Q223" i="16"/>
  <c r="R223" i="16"/>
  <c r="S223" i="16"/>
  <c r="D224" i="16"/>
  <c r="E224" i="16"/>
  <c r="F224" i="16"/>
  <c r="G224" i="16"/>
  <c r="H224" i="16"/>
  <c r="K224" i="16"/>
  <c r="L224" i="16"/>
  <c r="M224" i="16"/>
  <c r="N224" i="16"/>
  <c r="O224" i="16"/>
  <c r="P224" i="16"/>
  <c r="Q224" i="16"/>
  <c r="R224" i="16"/>
  <c r="S224" i="16"/>
  <c r="E225" i="16"/>
  <c r="F225" i="16"/>
  <c r="G225" i="16"/>
  <c r="H225" i="16"/>
  <c r="J225" i="16"/>
  <c r="K225" i="16"/>
  <c r="L225" i="16"/>
  <c r="P225" i="16"/>
  <c r="R225" i="16"/>
  <c r="S225" i="16"/>
  <c r="E226" i="16"/>
  <c r="F226" i="16"/>
  <c r="G226" i="16"/>
  <c r="H226" i="16"/>
  <c r="I226" i="16"/>
  <c r="K226" i="16"/>
  <c r="L226" i="16"/>
  <c r="M226" i="16"/>
  <c r="N226" i="16"/>
  <c r="Q226" i="16"/>
  <c r="R226" i="16"/>
  <c r="S226" i="16"/>
  <c r="D227" i="16"/>
  <c r="E227" i="16"/>
  <c r="F227" i="16"/>
  <c r="G227" i="16"/>
  <c r="H227" i="16"/>
  <c r="I227" i="16"/>
  <c r="J227" i="16"/>
  <c r="M227" i="16"/>
  <c r="N227" i="16"/>
  <c r="Q227" i="16"/>
  <c r="R227" i="16"/>
  <c r="D228" i="16"/>
  <c r="E228" i="16"/>
  <c r="F228" i="16"/>
  <c r="G228" i="16"/>
  <c r="H228" i="16"/>
  <c r="I228" i="16"/>
  <c r="K228" i="16"/>
  <c r="L228" i="16"/>
  <c r="M228" i="16"/>
  <c r="N228" i="16"/>
  <c r="O228" i="16"/>
  <c r="R228" i="16"/>
  <c r="E229" i="16"/>
  <c r="G229" i="16"/>
  <c r="H229" i="16"/>
  <c r="J229" i="16"/>
  <c r="M229" i="16"/>
  <c r="N229" i="16"/>
  <c r="P229" i="16"/>
  <c r="Q229" i="16"/>
  <c r="R229" i="16"/>
  <c r="E230" i="16"/>
  <c r="F230" i="16"/>
  <c r="G230" i="16"/>
  <c r="H230" i="16"/>
  <c r="I230" i="16"/>
  <c r="K230" i="16"/>
  <c r="L230" i="16"/>
  <c r="M230" i="16"/>
  <c r="O230" i="16"/>
  <c r="Q230" i="16"/>
  <c r="R230" i="16"/>
  <c r="S230" i="16"/>
  <c r="D231" i="16"/>
  <c r="E231" i="16"/>
  <c r="F231" i="16"/>
  <c r="G231" i="16"/>
  <c r="H231" i="16"/>
  <c r="I231" i="16"/>
  <c r="N231" i="16"/>
  <c r="O231" i="16"/>
  <c r="Q231" i="16"/>
  <c r="R231" i="16"/>
  <c r="S231" i="16"/>
  <c r="D232" i="16"/>
  <c r="G232" i="16"/>
  <c r="H232" i="16"/>
  <c r="I232" i="16"/>
  <c r="J232" i="16"/>
  <c r="K232" i="16"/>
  <c r="N232" i="16"/>
  <c r="O232" i="16"/>
  <c r="P232" i="16"/>
  <c r="Q232" i="16"/>
  <c r="R232" i="16"/>
  <c r="D233" i="16"/>
  <c r="E233" i="16"/>
  <c r="F233" i="16"/>
  <c r="G233" i="16"/>
  <c r="H233" i="16"/>
  <c r="I233" i="16"/>
  <c r="L233" i="16"/>
  <c r="M233" i="16"/>
  <c r="N233" i="16"/>
  <c r="O233" i="16"/>
  <c r="P233" i="16"/>
  <c r="R233" i="16"/>
  <c r="S233" i="16"/>
  <c r="D234" i="16"/>
  <c r="F234" i="16"/>
  <c r="H234" i="16"/>
  <c r="J234" i="16"/>
  <c r="K234" i="16"/>
  <c r="M234" i="16"/>
  <c r="N234" i="16"/>
  <c r="O234" i="16"/>
  <c r="P234" i="16"/>
  <c r="S234" i="16"/>
  <c r="D235" i="16"/>
  <c r="E235" i="16"/>
  <c r="G235" i="16"/>
  <c r="K235" i="16"/>
  <c r="L235" i="16"/>
  <c r="M235" i="16"/>
  <c r="O235" i="16"/>
  <c r="P235" i="16"/>
  <c r="Q235" i="16"/>
  <c r="R235" i="16"/>
  <c r="S235" i="16"/>
  <c r="D236" i="16"/>
  <c r="G236" i="16"/>
  <c r="I236" i="16"/>
  <c r="J236" i="16"/>
  <c r="K236" i="16"/>
  <c r="L236" i="16"/>
  <c r="M236" i="16"/>
  <c r="O236" i="16"/>
  <c r="P236" i="16"/>
  <c r="S236" i="16"/>
  <c r="D237" i="16"/>
  <c r="E237" i="16"/>
  <c r="G237" i="16"/>
  <c r="H237" i="16"/>
  <c r="I237" i="16"/>
  <c r="J237" i="16"/>
  <c r="K237" i="16"/>
  <c r="L237" i="16"/>
  <c r="M237" i="16"/>
  <c r="O237" i="16"/>
  <c r="P237" i="16"/>
  <c r="Q237" i="16"/>
  <c r="D238" i="16"/>
  <c r="E238" i="16"/>
  <c r="F238" i="16"/>
  <c r="G238" i="16"/>
  <c r="H238" i="16"/>
  <c r="I238" i="16"/>
  <c r="K238" i="16"/>
  <c r="L238" i="16"/>
  <c r="M238" i="16"/>
  <c r="N238" i="16"/>
  <c r="O238" i="16"/>
  <c r="P238" i="16"/>
  <c r="S238" i="16"/>
  <c r="D239" i="16"/>
  <c r="E239" i="16"/>
  <c r="F239" i="16"/>
  <c r="G239" i="16"/>
  <c r="H239" i="16"/>
  <c r="I239" i="16"/>
  <c r="J239" i="16"/>
  <c r="K239" i="16"/>
  <c r="L239" i="16"/>
  <c r="M239" i="16"/>
  <c r="O239" i="16"/>
  <c r="P239" i="16"/>
  <c r="Q239" i="16"/>
  <c r="R239" i="16"/>
  <c r="S239" i="16"/>
  <c r="D240" i="16"/>
  <c r="E240" i="16"/>
  <c r="F240" i="16"/>
  <c r="G240" i="16"/>
  <c r="H240" i="16"/>
  <c r="I240" i="16"/>
  <c r="J240" i="16"/>
  <c r="K240" i="16"/>
  <c r="L240" i="16"/>
  <c r="M240" i="16"/>
  <c r="N240" i="16"/>
  <c r="O240" i="16"/>
  <c r="P240" i="16"/>
  <c r="Q240" i="16"/>
  <c r="R240" i="16"/>
  <c r="S240" i="16"/>
  <c r="D241" i="16"/>
  <c r="F241" i="16"/>
  <c r="G241" i="16"/>
  <c r="H241" i="16"/>
  <c r="I241" i="16"/>
  <c r="J241" i="16"/>
  <c r="K241" i="16"/>
  <c r="M241" i="16"/>
  <c r="N241" i="16"/>
  <c r="O241" i="16"/>
  <c r="Q241" i="16"/>
  <c r="R241" i="16"/>
  <c r="S241" i="16"/>
  <c r="E242" i="16"/>
  <c r="F242" i="16"/>
  <c r="H242" i="16"/>
  <c r="K242" i="16"/>
  <c r="L242" i="16"/>
  <c r="M242" i="16"/>
  <c r="N242" i="16"/>
  <c r="O242" i="16"/>
  <c r="Q242" i="16"/>
  <c r="S242" i="16"/>
  <c r="D243" i="16"/>
  <c r="E243" i="16"/>
  <c r="F243" i="16"/>
  <c r="G243" i="16"/>
  <c r="H243" i="16"/>
  <c r="K243" i="16"/>
  <c r="M243" i="16"/>
  <c r="N243" i="16"/>
  <c r="O243" i="16"/>
  <c r="Q243" i="16"/>
  <c r="S243" i="16"/>
  <c r="D244" i="16"/>
  <c r="G244" i="16"/>
  <c r="I244" i="16"/>
  <c r="J244" i="16"/>
  <c r="K244" i="16"/>
  <c r="L244" i="16"/>
  <c r="N244" i="16"/>
  <c r="O244" i="16"/>
  <c r="Q244" i="16"/>
  <c r="S244" i="16"/>
  <c r="D245" i="16"/>
  <c r="E245" i="16"/>
  <c r="F245" i="16"/>
  <c r="H245" i="16"/>
  <c r="I245" i="16"/>
  <c r="J245" i="16"/>
  <c r="K245" i="16"/>
  <c r="L245" i="16"/>
  <c r="N245" i="16"/>
  <c r="O245" i="16"/>
  <c r="P245" i="16"/>
  <c r="Q245" i="16"/>
  <c r="R245" i="16"/>
  <c r="S245" i="16"/>
  <c r="D246" i="16"/>
  <c r="G246" i="16"/>
  <c r="H246" i="16"/>
  <c r="I246" i="16"/>
  <c r="J246" i="16"/>
  <c r="K246" i="16"/>
  <c r="M246" i="16"/>
  <c r="N246" i="16"/>
  <c r="O246" i="16"/>
  <c r="P246" i="16"/>
  <c r="Q246" i="16"/>
  <c r="R246" i="16"/>
  <c r="S246" i="16"/>
  <c r="E247" i="16"/>
  <c r="F247" i="16"/>
  <c r="G247" i="16"/>
  <c r="H247" i="16"/>
  <c r="J247" i="16"/>
  <c r="K247" i="16"/>
  <c r="L247" i="16"/>
  <c r="N247" i="16"/>
  <c r="P247" i="16"/>
  <c r="Q247" i="16"/>
  <c r="D248" i="16"/>
  <c r="F248" i="16"/>
  <c r="G248" i="16"/>
  <c r="I248" i="16"/>
  <c r="J248" i="16"/>
  <c r="K248" i="16"/>
  <c r="M248" i="16"/>
  <c r="N248" i="16"/>
  <c r="O248" i="16"/>
  <c r="D249" i="16"/>
  <c r="G249" i="16"/>
  <c r="H249" i="16"/>
  <c r="I249" i="16"/>
  <c r="J249" i="16"/>
  <c r="L249" i="16"/>
  <c r="N249" i="16"/>
  <c r="P249" i="16"/>
  <c r="Q249" i="16"/>
  <c r="R249" i="16"/>
  <c r="D250" i="16"/>
  <c r="E250" i="16"/>
  <c r="G250" i="16"/>
  <c r="H250" i="16"/>
  <c r="I250" i="16"/>
  <c r="J250" i="16"/>
  <c r="K250" i="16"/>
  <c r="L250" i="16"/>
  <c r="M250" i="16"/>
  <c r="N250" i="16"/>
  <c r="O250" i="16"/>
  <c r="P250" i="16"/>
  <c r="Q250" i="16"/>
  <c r="R250" i="16"/>
  <c r="S250" i="16"/>
  <c r="D251" i="16"/>
  <c r="E251" i="16"/>
  <c r="F251" i="16"/>
  <c r="H251" i="16"/>
  <c r="I251" i="16"/>
  <c r="J251" i="16"/>
  <c r="K251" i="16"/>
  <c r="L251" i="16"/>
  <c r="N251" i="16"/>
  <c r="O251" i="16"/>
  <c r="P251" i="16"/>
  <c r="Q251" i="16"/>
  <c r="R251" i="16"/>
  <c r="S251" i="16"/>
  <c r="E252" i="16"/>
  <c r="F252" i="16"/>
  <c r="G252" i="16"/>
  <c r="I252" i="16"/>
  <c r="K252" i="16"/>
  <c r="L252" i="16"/>
  <c r="N252" i="16"/>
  <c r="P252" i="16"/>
  <c r="Q252" i="16"/>
  <c r="R252" i="16"/>
  <c r="S252" i="16"/>
  <c r="D253" i="16"/>
  <c r="G253" i="16"/>
  <c r="H253" i="16"/>
  <c r="I253" i="16"/>
  <c r="J253" i="16"/>
  <c r="K253" i="16"/>
  <c r="M253" i="16"/>
  <c r="N253" i="16"/>
  <c r="P253" i="16"/>
  <c r="Q253" i="16"/>
  <c r="R253" i="16"/>
  <c r="S253" i="16"/>
  <c r="D254" i="16"/>
  <c r="F254" i="16"/>
  <c r="G254" i="16"/>
  <c r="I254" i="16"/>
  <c r="K254" i="16"/>
  <c r="L254" i="16"/>
  <c r="M254" i="16"/>
  <c r="N254" i="16"/>
  <c r="O254" i="16"/>
  <c r="P254" i="16"/>
  <c r="R254" i="16"/>
  <c r="S254" i="16"/>
  <c r="D255" i="16"/>
  <c r="E255" i="16"/>
  <c r="F255" i="16"/>
  <c r="G255" i="16"/>
  <c r="H255" i="16"/>
  <c r="J255" i="16"/>
  <c r="K255" i="16"/>
  <c r="L255" i="16"/>
  <c r="M255" i="16"/>
  <c r="N255" i="16"/>
  <c r="P255" i="16"/>
  <c r="Q255" i="16"/>
  <c r="S255" i="16"/>
  <c r="D256" i="16"/>
  <c r="E256" i="16"/>
  <c r="F256" i="16"/>
  <c r="G256" i="16"/>
  <c r="I256" i="16"/>
  <c r="K256" i="16"/>
  <c r="N256" i="16"/>
  <c r="P256" i="16"/>
  <c r="Q256" i="16"/>
  <c r="R256" i="16"/>
  <c r="S256" i="16"/>
  <c r="D257" i="16"/>
  <c r="E257" i="16"/>
  <c r="F257" i="16"/>
  <c r="G257" i="16"/>
  <c r="I257" i="16"/>
  <c r="J257" i="16"/>
  <c r="K257" i="16"/>
  <c r="M257" i="16"/>
  <c r="O257" i="16"/>
  <c r="P257" i="16"/>
  <c r="Q257" i="16"/>
  <c r="R257" i="16"/>
  <c r="S257" i="16"/>
  <c r="H129" i="16" l="1"/>
  <c r="D190" i="22"/>
  <c r="P126" i="16"/>
  <c r="P126" i="22"/>
  <c r="AF130" i="13"/>
  <c r="D130" i="16"/>
  <c r="H144" i="22"/>
  <c r="H144" i="16"/>
  <c r="E135" i="16"/>
  <c r="U135" i="16" s="1"/>
  <c r="E135" i="22"/>
  <c r="P150" i="16"/>
  <c r="P150" i="22"/>
  <c r="F96" i="16"/>
  <c r="F96" i="22"/>
  <c r="L110" i="22"/>
  <c r="L110" i="16"/>
  <c r="O141" i="16"/>
  <c r="O141" i="22"/>
  <c r="H108" i="22"/>
  <c r="H108" i="16"/>
  <c r="K143" i="16"/>
  <c r="D143" i="21" s="1"/>
  <c r="H143" i="21" s="1"/>
  <c r="K143" i="22"/>
  <c r="T143" i="22" s="1"/>
  <c r="L91" i="16"/>
  <c r="L91" i="22"/>
  <c r="P115" i="22"/>
  <c r="P115" i="16"/>
  <c r="L79" i="16"/>
  <c r="L79" i="22"/>
  <c r="H248" i="22"/>
  <c r="H248" i="16"/>
  <c r="Q233" i="22"/>
  <c r="Q233" i="16"/>
  <c r="F222" i="16"/>
  <c r="F222" i="22"/>
  <c r="P248" i="22"/>
  <c r="P248" i="16"/>
  <c r="Q234" i="22"/>
  <c r="Q234" i="16"/>
  <c r="F197" i="22"/>
  <c r="F197" i="16"/>
  <c r="I259" i="22"/>
  <c r="I259" i="16"/>
  <c r="D252" i="22"/>
  <c r="D252" i="16"/>
  <c r="Q225" i="22"/>
  <c r="Q225" i="16"/>
  <c r="G172" i="22"/>
  <c r="T172" i="22" s="1"/>
  <c r="G172" i="16"/>
  <c r="I224" i="22"/>
  <c r="I224" i="16"/>
  <c r="O253" i="22"/>
  <c r="O253" i="16"/>
  <c r="S249" i="22"/>
  <c r="S249" i="16"/>
  <c r="Q220" i="22"/>
  <c r="Q220" i="16"/>
  <c r="E241" i="22"/>
  <c r="T241" i="22" s="1"/>
  <c r="E241" i="16"/>
  <c r="D241" i="21" s="1"/>
  <c r="H241" i="21" s="1"/>
  <c r="M225" i="16"/>
  <c r="M225" i="22"/>
  <c r="Q199" i="22"/>
  <c r="Q199" i="16"/>
  <c r="K229" i="22"/>
  <c r="K229" i="16"/>
  <c r="I243" i="22"/>
  <c r="I243" i="16"/>
  <c r="M247" i="22"/>
  <c r="M247" i="16"/>
  <c r="L219" i="16"/>
  <c r="L219" i="22"/>
  <c r="O249" i="16"/>
  <c r="U249" i="16" s="1"/>
  <c r="O249" i="22"/>
  <c r="L214" i="22"/>
  <c r="L214" i="16"/>
  <c r="Q196" i="22"/>
  <c r="Q196" i="16"/>
  <c r="O225" i="22"/>
  <c r="O225" i="16"/>
  <c r="H212" i="22"/>
  <c r="H212" i="16"/>
  <c r="H180" i="22"/>
  <c r="H180" i="16"/>
  <c r="F201" i="22"/>
  <c r="F201" i="16"/>
  <c r="L205" i="22"/>
  <c r="L205" i="16"/>
  <c r="S185" i="22"/>
  <c r="S185" i="16"/>
  <c r="R172" i="22"/>
  <c r="R172" i="16"/>
  <c r="F167" i="22"/>
  <c r="F167" i="16"/>
  <c r="P156" i="22"/>
  <c r="T156" i="22" s="1"/>
  <c r="P156" i="16"/>
  <c r="D156" i="21" s="1"/>
  <c r="H156" i="21" s="1"/>
  <c r="L161" i="22"/>
  <c r="L161" i="16"/>
  <c r="M98" i="22"/>
  <c r="M98" i="16"/>
  <c r="L66" i="22"/>
  <c r="L66" i="16"/>
  <c r="O116" i="22"/>
  <c r="O116" i="16"/>
  <c r="L158" i="22"/>
  <c r="L158" i="16"/>
  <c r="D140" i="16"/>
  <c r="D140" i="21" s="1"/>
  <c r="H140" i="21" s="1"/>
  <c r="D140" i="22"/>
  <c r="H123" i="22"/>
  <c r="H123" i="16"/>
  <c r="Q160" i="22"/>
  <c r="Q160" i="16"/>
  <c r="F156" i="22"/>
  <c r="F156" i="16"/>
  <c r="K151" i="22"/>
  <c r="K151" i="16"/>
  <c r="S146" i="22"/>
  <c r="S146" i="16"/>
  <c r="Q129" i="22"/>
  <c r="T129" i="22" s="1"/>
  <c r="Q129" i="16"/>
  <c r="L121" i="22"/>
  <c r="T121" i="22" s="1"/>
  <c r="L121" i="16"/>
  <c r="Q111" i="22"/>
  <c r="Q111" i="16"/>
  <c r="J100" i="16"/>
  <c r="J100" i="22"/>
  <c r="G87" i="22"/>
  <c r="G87" i="16"/>
  <c r="R69" i="22"/>
  <c r="R69" i="16"/>
  <c r="L164" i="22"/>
  <c r="T164" i="22" s="1"/>
  <c r="L164" i="16"/>
  <c r="U164" i="16" s="1"/>
  <c r="I155" i="22"/>
  <c r="I155" i="16"/>
  <c r="S135" i="22"/>
  <c r="S135" i="16"/>
  <c r="K118" i="22"/>
  <c r="K118" i="16"/>
  <c r="F246" i="16"/>
  <c r="D191" i="22"/>
  <c r="M120" i="16"/>
  <c r="M120" i="22"/>
  <c r="H99" i="22"/>
  <c r="T99" i="22" s="1"/>
  <c r="H99" i="16"/>
  <c r="D99" i="21" s="1"/>
  <c r="H99" i="21" s="1"/>
  <c r="M251" i="22"/>
  <c r="T251" i="22" s="1"/>
  <c r="M251" i="16"/>
  <c r="F229" i="22"/>
  <c r="F229" i="16"/>
  <c r="P207" i="22"/>
  <c r="P207" i="16"/>
  <c r="L243" i="22"/>
  <c r="L243" i="16"/>
  <c r="K249" i="22"/>
  <c r="K249" i="16"/>
  <c r="J256" i="22"/>
  <c r="J256" i="16"/>
  <c r="D256" i="21" s="1"/>
  <c r="H256" i="21" s="1"/>
  <c r="L246" i="22"/>
  <c r="T246" i="22" s="1"/>
  <c r="L246" i="16"/>
  <c r="N217" i="22"/>
  <c r="N217" i="16"/>
  <c r="P227" i="22"/>
  <c r="P227" i="16"/>
  <c r="M207" i="22"/>
  <c r="M207" i="16"/>
  <c r="K258" i="16"/>
  <c r="K258" i="22"/>
  <c r="E221" i="22"/>
  <c r="T221" i="22" s="1"/>
  <c r="E221" i="16"/>
  <c r="U221" i="16" s="1"/>
  <c r="Q228" i="22"/>
  <c r="T228" i="22" s="1"/>
  <c r="Q228" i="16"/>
  <c r="N257" i="16"/>
  <c r="N257" i="22"/>
  <c r="O252" i="22"/>
  <c r="O252" i="16"/>
  <c r="G242" i="22"/>
  <c r="G242" i="16"/>
  <c r="J233" i="22"/>
  <c r="J233" i="16"/>
  <c r="Q254" i="22"/>
  <c r="T254" i="22" s="1"/>
  <c r="Q254" i="16"/>
  <c r="M244" i="22"/>
  <c r="T244" i="22" s="1"/>
  <c r="M244" i="16"/>
  <c r="O229" i="22"/>
  <c r="O229" i="16"/>
  <c r="G219" i="22"/>
  <c r="G219" i="16"/>
  <c r="G209" i="22"/>
  <c r="G209" i="16"/>
  <c r="P190" i="22"/>
  <c r="P190" i="16"/>
  <c r="E149" i="22"/>
  <c r="T149" i="22" s="1"/>
  <c r="E149" i="16"/>
  <c r="U149" i="16" s="1"/>
  <c r="H215" i="22"/>
  <c r="T215" i="22" s="1"/>
  <c r="H215" i="16"/>
  <c r="P197" i="22"/>
  <c r="P197" i="16"/>
  <c r="S187" i="16"/>
  <c r="S187" i="22"/>
  <c r="J242" i="22"/>
  <c r="J242" i="16"/>
  <c r="J230" i="16"/>
  <c r="J230" i="22"/>
  <c r="G199" i="22"/>
  <c r="G199" i="16"/>
  <c r="E178" i="22"/>
  <c r="T178" i="22" s="1"/>
  <c r="E178" i="16"/>
  <c r="R94" i="22"/>
  <c r="R94" i="16"/>
  <c r="G200" i="22"/>
  <c r="G200" i="16"/>
  <c r="K180" i="22"/>
  <c r="K180" i="16"/>
  <c r="P202" i="22"/>
  <c r="P202" i="16"/>
  <c r="L168" i="22"/>
  <c r="T168" i="22" s="1"/>
  <c r="L168" i="16"/>
  <c r="J226" i="22"/>
  <c r="T226" i="22" s="1"/>
  <c r="J226" i="16"/>
  <c r="O221" i="16"/>
  <c r="O221" i="22"/>
  <c r="J206" i="22"/>
  <c r="J206" i="16"/>
  <c r="P243" i="22"/>
  <c r="P243" i="16"/>
  <c r="P231" i="22"/>
  <c r="P231" i="16"/>
  <c r="R217" i="22"/>
  <c r="R217" i="16"/>
  <c r="D217" i="21" s="1"/>
  <c r="H217" i="21" s="1"/>
  <c r="I207" i="16"/>
  <c r="D207" i="21" s="1"/>
  <c r="H207" i="21" s="1"/>
  <c r="I207" i="22"/>
  <c r="S193" i="22"/>
  <c r="S193" i="16"/>
  <c r="P151" i="22"/>
  <c r="P151" i="16"/>
  <c r="L216" i="22"/>
  <c r="L216" i="16"/>
  <c r="M211" i="22"/>
  <c r="M211" i="16"/>
  <c r="P205" i="16"/>
  <c r="P205" i="22"/>
  <c r="T205" i="22" s="1"/>
  <c r="Q178" i="22"/>
  <c r="Q178" i="16"/>
  <c r="S111" i="22"/>
  <c r="S111" i="16"/>
  <c r="G210" i="22"/>
  <c r="G210" i="16"/>
  <c r="D201" i="22"/>
  <c r="D201" i="16"/>
  <c r="I196" i="22"/>
  <c r="I196" i="16"/>
  <c r="N191" i="22"/>
  <c r="N191" i="16"/>
  <c r="K190" i="22"/>
  <c r="K190" i="16"/>
  <c r="Q167" i="22"/>
  <c r="Q167" i="16"/>
  <c r="G208" i="22"/>
  <c r="G208" i="16"/>
  <c r="L203" i="22"/>
  <c r="L203" i="16"/>
  <c r="D199" i="22"/>
  <c r="D199" i="16"/>
  <c r="I194" i="22"/>
  <c r="I194" i="16"/>
  <c r="D194" i="21" s="1"/>
  <c r="H194" i="21" s="1"/>
  <c r="N189" i="22"/>
  <c r="T189" i="22" s="1"/>
  <c r="N189" i="16"/>
  <c r="F137" i="22"/>
  <c r="F137" i="16"/>
  <c r="O211" i="22"/>
  <c r="O211" i="16"/>
  <c r="Q197" i="22"/>
  <c r="Q197" i="16"/>
  <c r="F193" i="22"/>
  <c r="F193" i="16"/>
  <c r="K188" i="22"/>
  <c r="T188" i="22" s="1"/>
  <c r="K188" i="16"/>
  <c r="U188" i="16" s="1"/>
  <c r="S183" i="22"/>
  <c r="S183" i="16"/>
  <c r="Q159" i="22"/>
  <c r="Q159" i="16"/>
  <c r="N118" i="16"/>
  <c r="N118" i="22"/>
  <c r="Q188" i="16"/>
  <c r="Q188" i="22"/>
  <c r="F184" i="22"/>
  <c r="F184" i="16"/>
  <c r="J161" i="22"/>
  <c r="J161" i="16"/>
  <c r="E181" i="22"/>
  <c r="T181" i="22" s="1"/>
  <c r="E181" i="16"/>
  <c r="I175" i="22"/>
  <c r="I175" i="16"/>
  <c r="H195" i="16"/>
  <c r="H195" i="22"/>
  <c r="M190" i="22"/>
  <c r="M190" i="16"/>
  <c r="E186" i="22"/>
  <c r="E186" i="16"/>
  <c r="J181" i="22"/>
  <c r="J181" i="16"/>
  <c r="D181" i="21" s="1"/>
  <c r="H181" i="21" s="1"/>
  <c r="Q175" i="16"/>
  <c r="U175" i="16" s="1"/>
  <c r="Q175" i="22"/>
  <c r="J144" i="22"/>
  <c r="J144" i="16"/>
  <c r="G183" i="22"/>
  <c r="G183" i="16"/>
  <c r="G178" i="22"/>
  <c r="G178" i="16"/>
  <c r="D172" i="22"/>
  <c r="D172" i="16"/>
  <c r="K169" i="22"/>
  <c r="K169" i="16"/>
  <c r="D169" i="21" s="1"/>
  <c r="H169" i="21" s="1"/>
  <c r="K146" i="22"/>
  <c r="K146" i="16"/>
  <c r="E107" i="22"/>
  <c r="E107" i="16"/>
  <c r="J80" i="22"/>
  <c r="J80" i="16"/>
  <c r="I112" i="16"/>
  <c r="I112" i="22"/>
  <c r="Q168" i="22"/>
  <c r="Q168" i="16"/>
  <c r="L153" i="22"/>
  <c r="L153" i="16"/>
  <c r="U153" i="16" s="1"/>
  <c r="O145" i="22"/>
  <c r="T145" i="22" s="1"/>
  <c r="O145" i="16"/>
  <c r="E124" i="22"/>
  <c r="E124" i="16"/>
  <c r="N104" i="22"/>
  <c r="N104" i="16"/>
  <c r="K159" i="22"/>
  <c r="K159" i="16"/>
  <c r="F134" i="22"/>
  <c r="F134" i="16"/>
  <c r="G120" i="22"/>
  <c r="T120" i="22" s="1"/>
  <c r="G120" i="16"/>
  <c r="O131" i="22"/>
  <c r="T131" i="22" s="1"/>
  <c r="O131" i="16"/>
  <c r="N142" i="22"/>
  <c r="N142" i="16"/>
  <c r="D160" i="22"/>
  <c r="D160" i="16"/>
  <c r="N150" i="22"/>
  <c r="N150" i="16"/>
  <c r="J128" i="22"/>
  <c r="T128" i="22" s="1"/>
  <c r="J128" i="16"/>
  <c r="O81" i="22"/>
  <c r="O81" i="16"/>
  <c r="K111" i="22"/>
  <c r="T111" i="22" s="1"/>
  <c r="K111" i="16"/>
  <c r="F186" i="16"/>
  <c r="Q94" i="16"/>
  <c r="L248" i="22"/>
  <c r="L248" i="16"/>
  <c r="P142" i="22"/>
  <c r="P142" i="16"/>
  <c r="F98" i="22"/>
  <c r="F98" i="16"/>
  <c r="P178" i="16"/>
  <c r="H168" i="16"/>
  <c r="N230" i="16"/>
  <c r="U230" i="16" s="1"/>
  <c r="N230" i="22"/>
  <c r="P244" i="22"/>
  <c r="P244" i="16"/>
  <c r="S229" i="16"/>
  <c r="S229" i="22"/>
  <c r="L227" i="22"/>
  <c r="L227" i="16"/>
  <c r="E171" i="16"/>
  <c r="E171" i="22"/>
  <c r="P226" i="22"/>
  <c r="P226" i="16"/>
  <c r="D226" i="21" s="1"/>
  <c r="H226" i="21" s="1"/>
  <c r="K227" i="16"/>
  <c r="D227" i="21" s="1"/>
  <c r="H227" i="21" s="1"/>
  <c r="K227" i="22"/>
  <c r="N158" i="16"/>
  <c r="N158" i="22"/>
  <c r="Q182" i="16"/>
  <c r="Q182" i="22"/>
  <c r="S145" i="16"/>
  <c r="S145" i="22"/>
  <c r="P181" i="22"/>
  <c r="P181" i="16"/>
  <c r="D163" i="22"/>
  <c r="T163" i="22" s="1"/>
  <c r="D163" i="16"/>
  <c r="H114" i="22"/>
  <c r="T114" i="22" s="1"/>
  <c r="H114" i="16"/>
  <c r="G118" i="16"/>
  <c r="G118" i="22"/>
  <c r="H159" i="22"/>
  <c r="H159" i="16"/>
  <c r="H66" i="22"/>
  <c r="H66" i="16"/>
  <c r="H72" i="16"/>
  <c r="H72" i="22"/>
  <c r="S63" i="22"/>
  <c r="S63" i="16"/>
  <c r="S237" i="22"/>
  <c r="S237" i="16"/>
  <c r="M245" i="22"/>
  <c r="M245" i="16"/>
  <c r="M185" i="22"/>
  <c r="M185" i="16"/>
  <c r="F120" i="22"/>
  <c r="F120" i="16"/>
  <c r="P109" i="22"/>
  <c r="P109" i="16"/>
  <c r="J98" i="22"/>
  <c r="T98" i="22" s="1"/>
  <c r="J98" i="16"/>
  <c r="D98" i="21" s="1"/>
  <c r="H98" i="21" s="1"/>
  <c r="R163" i="16"/>
  <c r="R163" i="22"/>
  <c r="K96" i="22"/>
  <c r="K96" i="16"/>
  <c r="G155" i="22"/>
  <c r="G155" i="16"/>
  <c r="L150" i="22"/>
  <c r="L150" i="16"/>
  <c r="D146" i="22"/>
  <c r="D146" i="16"/>
  <c r="I141" i="16"/>
  <c r="I141" i="22"/>
  <c r="Q135" i="22"/>
  <c r="T135" i="22" s="1"/>
  <c r="Q135" i="16"/>
  <c r="H128" i="22"/>
  <c r="H128" i="16"/>
  <c r="S119" i="22"/>
  <c r="S119" i="16"/>
  <c r="H65" i="22"/>
  <c r="H65" i="16"/>
  <c r="U65" i="16" s="1"/>
  <c r="N161" i="22"/>
  <c r="N161" i="16"/>
  <c r="P147" i="22"/>
  <c r="P147" i="16"/>
  <c r="U147" i="16" s="1"/>
  <c r="F138" i="22"/>
  <c r="F138" i="16"/>
  <c r="K102" i="16"/>
  <c r="K102" i="22"/>
  <c r="I90" i="16"/>
  <c r="I90" i="22"/>
  <c r="I73" i="22"/>
  <c r="I73" i="16"/>
  <c r="P114" i="16"/>
  <c r="P114" i="22"/>
  <c r="K91" i="22"/>
  <c r="K91" i="16"/>
  <c r="L80" i="16"/>
  <c r="D80" i="21" s="1"/>
  <c r="H80" i="21" s="1"/>
  <c r="L80" i="22"/>
  <c r="F136" i="16"/>
  <c r="F136" i="22"/>
  <c r="M130" i="16"/>
  <c r="M130" i="22"/>
  <c r="N124" i="22"/>
  <c r="N124" i="16"/>
  <c r="H96" i="22"/>
  <c r="H96" i="16"/>
  <c r="S86" i="16"/>
  <c r="S86" i="22"/>
  <c r="M75" i="22"/>
  <c r="T75" i="22" s="1"/>
  <c r="M75" i="16"/>
  <c r="R138" i="16"/>
  <c r="R138" i="22"/>
  <c r="S133" i="22"/>
  <c r="S133" i="16"/>
  <c r="S115" i="22"/>
  <c r="S115" i="16"/>
  <c r="R64" i="22"/>
  <c r="P131" i="16"/>
  <c r="L257" i="16"/>
  <c r="P94" i="22"/>
  <c r="P94" i="16"/>
  <c r="G169" i="16"/>
  <c r="G111" i="16"/>
  <c r="E81" i="16"/>
  <c r="R248" i="22"/>
  <c r="R248" i="16"/>
  <c r="N258" i="16"/>
  <c r="N258" i="22"/>
  <c r="E253" i="22"/>
  <c r="E253" i="16"/>
  <c r="R237" i="16"/>
  <c r="D237" i="21" s="1"/>
  <c r="H237" i="21" s="1"/>
  <c r="R237" i="22"/>
  <c r="T237" i="22" s="1"/>
  <c r="D229" i="22"/>
  <c r="T229" i="22" s="1"/>
  <c r="D229" i="16"/>
  <c r="I242" i="22"/>
  <c r="I242" i="16"/>
  <c r="S232" i="22"/>
  <c r="S232" i="16"/>
  <c r="N176" i="22"/>
  <c r="N176" i="16"/>
  <c r="S228" i="22"/>
  <c r="S228" i="16"/>
  <c r="S211" i="22"/>
  <c r="T211" i="22" s="1"/>
  <c r="S211" i="16"/>
  <c r="D211" i="21" s="1"/>
  <c r="H211" i="21" s="1"/>
  <c r="M121" i="22"/>
  <c r="M121" i="16"/>
  <c r="O195" i="16"/>
  <c r="O195" i="22"/>
  <c r="P184" i="22"/>
  <c r="P184" i="16"/>
  <c r="I221" i="22"/>
  <c r="I221" i="16"/>
  <c r="M200" i="22"/>
  <c r="M200" i="16"/>
  <c r="U200" i="16" s="1"/>
  <c r="E190" i="22"/>
  <c r="T190" i="22" s="1"/>
  <c r="E190" i="16"/>
  <c r="U190" i="16" s="1"/>
  <c r="R196" i="22"/>
  <c r="R196" i="16"/>
  <c r="O161" i="22"/>
  <c r="O161" i="16"/>
  <c r="Q145" i="22"/>
  <c r="Q145" i="16"/>
  <c r="N130" i="22"/>
  <c r="N130" i="16"/>
  <c r="J149" i="22"/>
  <c r="J149" i="16"/>
  <c r="F94" i="22"/>
  <c r="T94" i="22" s="1"/>
  <c r="F94" i="16"/>
  <c r="U94" i="16" s="1"/>
  <c r="H109" i="22"/>
  <c r="H109" i="16"/>
  <c r="E141" i="16"/>
  <c r="E141" i="22"/>
  <c r="J97" i="22"/>
  <c r="J97" i="16"/>
  <c r="F154" i="22"/>
  <c r="F154" i="16"/>
  <c r="S144" i="22"/>
  <c r="S144" i="16"/>
  <c r="D144" i="21" s="1"/>
  <c r="H144" i="21" s="1"/>
  <c r="Q106" i="22"/>
  <c r="T106" i="22" s="1"/>
  <c r="Q106" i="16"/>
  <c r="D106" i="21" s="1"/>
  <c r="H106" i="21" s="1"/>
  <c r="F119" i="22"/>
  <c r="F119" i="16"/>
  <c r="R79" i="16"/>
  <c r="R79" i="22"/>
  <c r="O95" i="16"/>
  <c r="O95" i="22"/>
  <c r="P74" i="16"/>
  <c r="P74" i="22"/>
  <c r="M107" i="22"/>
  <c r="M107" i="16"/>
  <c r="D107" i="21" s="1"/>
  <c r="H107" i="21" s="1"/>
  <c r="F92" i="22"/>
  <c r="F92" i="16"/>
  <c r="U92" i="16" s="1"/>
  <c r="I81" i="22"/>
  <c r="I81" i="16"/>
  <c r="S117" i="22"/>
  <c r="S117" i="16"/>
  <c r="Q71" i="16"/>
  <c r="Q71" i="22"/>
  <c r="L119" i="16"/>
  <c r="L119" i="22"/>
  <c r="S104" i="22"/>
  <c r="S104" i="16"/>
  <c r="N94" i="22"/>
  <c r="N94" i="16"/>
  <c r="Q64" i="22"/>
  <c r="Q64" i="16"/>
  <c r="O127" i="22"/>
  <c r="O127" i="16"/>
  <c r="J86" i="22"/>
  <c r="J86" i="16"/>
  <c r="R123" i="22"/>
  <c r="R123" i="16"/>
  <c r="G72" i="22"/>
  <c r="G72" i="16"/>
  <c r="D72" i="21" s="1"/>
  <c r="H72" i="21" s="1"/>
  <c r="K65" i="16"/>
  <c r="K65" i="22"/>
  <c r="T65" i="22" s="1"/>
  <c r="Q90" i="22"/>
  <c r="Q90" i="16"/>
  <c r="N84" i="16"/>
  <c r="N84" i="22"/>
  <c r="F100" i="22"/>
  <c r="F100" i="16"/>
  <c r="K95" i="22"/>
  <c r="K95" i="16"/>
  <c r="H86" i="16"/>
  <c r="H86" i="22"/>
  <c r="E77" i="22"/>
  <c r="E77" i="16"/>
  <c r="J72" i="22"/>
  <c r="J72" i="16"/>
  <c r="O67" i="22"/>
  <c r="O67" i="16"/>
  <c r="L51" i="22"/>
  <c r="L51" i="16"/>
  <c r="F58" i="22"/>
  <c r="F58" i="16"/>
  <c r="M30" i="22"/>
  <c r="M30" i="16"/>
  <c r="O247" i="16"/>
  <c r="D247" i="21" s="1"/>
  <c r="H247" i="21" s="1"/>
  <c r="U238" i="16"/>
  <c r="Q222" i="16"/>
  <c r="I218" i="16"/>
  <c r="D169" i="16"/>
  <c r="F135" i="16"/>
  <c r="N131" i="16"/>
  <c r="J115" i="16"/>
  <c r="H106" i="16"/>
  <c r="P77" i="16"/>
  <c r="D166" i="22"/>
  <c r="D180" i="22"/>
  <c r="M184" i="22"/>
  <c r="T184" i="22" s="1"/>
  <c r="O64" i="22"/>
  <c r="T64" i="22" s="1"/>
  <c r="M231" i="22"/>
  <c r="M231" i="16"/>
  <c r="G251" i="22"/>
  <c r="G251" i="16"/>
  <c r="H260" i="22"/>
  <c r="H260" i="16"/>
  <c r="I247" i="22"/>
  <c r="I247" i="16"/>
  <c r="U247" i="16" s="1"/>
  <c r="E232" i="16"/>
  <c r="E232" i="22"/>
  <c r="I212" i="22"/>
  <c r="I212" i="16"/>
  <c r="E244" i="22"/>
  <c r="E244" i="16"/>
  <c r="L253" i="16"/>
  <c r="L253" i="22"/>
  <c r="O227" i="22"/>
  <c r="O227" i="16"/>
  <c r="S218" i="22"/>
  <c r="S218" i="16"/>
  <c r="J254" i="22"/>
  <c r="J254" i="16"/>
  <c r="D254" i="21" s="1"/>
  <c r="H254" i="21" s="1"/>
  <c r="D242" i="22"/>
  <c r="T242" i="22" s="1"/>
  <c r="D242" i="16"/>
  <c r="D242" i="21" s="1"/>
  <c r="H242" i="21" s="1"/>
  <c r="I225" i="22"/>
  <c r="I225" i="16"/>
  <c r="N220" i="22"/>
  <c r="N220" i="16"/>
  <c r="M160" i="22"/>
  <c r="M160" i="16"/>
  <c r="R205" i="22"/>
  <c r="R205" i="16"/>
  <c r="F117" i="22"/>
  <c r="F117" i="16"/>
  <c r="U117" i="16" s="1"/>
  <c r="E248" i="22"/>
  <c r="T248" i="22" s="1"/>
  <c r="E248" i="16"/>
  <c r="D248" i="21" s="1"/>
  <c r="H248" i="21" s="1"/>
  <c r="J243" i="22"/>
  <c r="J243" i="16"/>
  <c r="J231" i="22"/>
  <c r="J231" i="16"/>
  <c r="P192" i="22"/>
  <c r="P192" i="16"/>
  <c r="Q154" i="22"/>
  <c r="Q154" i="16"/>
  <c r="N153" i="22"/>
  <c r="N153" i="16"/>
  <c r="J178" i="16"/>
  <c r="U178" i="16" s="1"/>
  <c r="J178" i="22"/>
  <c r="E145" i="22"/>
  <c r="E145" i="16"/>
  <c r="N96" i="22"/>
  <c r="N96" i="16"/>
  <c r="J157" i="22"/>
  <c r="J157" i="16"/>
  <c r="H256" i="16"/>
  <c r="U256" i="16" s="1"/>
  <c r="M252" i="16"/>
  <c r="H147" i="16"/>
  <c r="S120" i="16"/>
  <c r="E87" i="16"/>
  <c r="D87" i="21" s="1"/>
  <c r="H87" i="21" s="1"/>
  <c r="S60" i="16"/>
  <c r="M156" i="22"/>
  <c r="N135" i="22"/>
  <c r="K75" i="22"/>
  <c r="K75" i="16"/>
  <c r="H94" i="22"/>
  <c r="H94" i="16"/>
  <c r="L87" i="22"/>
  <c r="L87" i="16"/>
  <c r="P93" i="22"/>
  <c r="P93" i="16"/>
  <c r="U93" i="16" s="1"/>
  <c r="O71" i="22"/>
  <c r="T71" i="22" s="1"/>
  <c r="O71" i="16"/>
  <c r="D71" i="21" s="1"/>
  <c r="H71" i="21" s="1"/>
  <c r="S128" i="22"/>
  <c r="S128" i="16"/>
  <c r="S109" i="22"/>
  <c r="S109" i="16"/>
  <c r="Q80" i="22"/>
  <c r="Q80" i="16"/>
  <c r="I69" i="22"/>
  <c r="T69" i="22" s="1"/>
  <c r="I69" i="16"/>
  <c r="U69" i="16" s="1"/>
  <c r="N59" i="22"/>
  <c r="N59" i="16"/>
  <c r="F79" i="22"/>
  <c r="F79" i="16"/>
  <c r="D79" i="21" s="1"/>
  <c r="H79" i="21" s="1"/>
  <c r="M85" i="22"/>
  <c r="M85" i="16"/>
  <c r="M90" i="22"/>
  <c r="M90" i="16"/>
  <c r="I68" i="22"/>
  <c r="I68" i="16"/>
  <c r="I40" i="16"/>
  <c r="I40" i="22"/>
  <c r="Q82" i="16"/>
  <c r="S247" i="22"/>
  <c r="S247" i="16"/>
  <c r="G245" i="22"/>
  <c r="G245" i="16"/>
  <c r="I255" i="22"/>
  <c r="I255" i="16"/>
  <c r="S248" i="22"/>
  <c r="S248" i="16"/>
  <c r="R247" i="22"/>
  <c r="R247" i="16"/>
  <c r="R234" i="22"/>
  <c r="R234" i="16"/>
  <c r="R244" i="22"/>
  <c r="R244" i="16"/>
  <c r="D244" i="21" s="1"/>
  <c r="H244" i="21" s="1"/>
  <c r="F249" i="22"/>
  <c r="F249" i="16"/>
  <c r="E212" i="22"/>
  <c r="E212" i="16"/>
  <c r="M203" i="22"/>
  <c r="M203" i="16"/>
  <c r="H244" i="22"/>
  <c r="H244" i="16"/>
  <c r="O205" i="22"/>
  <c r="O205" i="16"/>
  <c r="U205" i="16" s="1"/>
  <c r="H257" i="22"/>
  <c r="T257" i="22" s="1"/>
  <c r="H257" i="16"/>
  <c r="U257" i="16" s="1"/>
  <c r="H252" i="22"/>
  <c r="H252" i="16"/>
  <c r="P241" i="22"/>
  <c r="P241" i="16"/>
  <c r="Q208" i="22"/>
  <c r="Q208" i="16"/>
  <c r="G205" i="22"/>
  <c r="G205" i="16"/>
  <c r="H191" i="22"/>
  <c r="T191" i="22" s="1"/>
  <c r="H191" i="16"/>
  <c r="U191" i="16" s="1"/>
  <c r="M186" i="22"/>
  <c r="T186" i="22" s="1"/>
  <c r="M186" i="16"/>
  <c r="L166" i="22"/>
  <c r="L166" i="16"/>
  <c r="K140" i="22"/>
  <c r="K140" i="16"/>
  <c r="E164" i="22"/>
  <c r="E164" i="16"/>
  <c r="I211" i="22"/>
  <c r="I211" i="16"/>
  <c r="U211" i="16" s="1"/>
  <c r="G190" i="22"/>
  <c r="G190" i="16"/>
  <c r="L185" i="22"/>
  <c r="T185" i="22" s="1"/>
  <c r="L185" i="16"/>
  <c r="D181" i="22"/>
  <c r="D181" i="16"/>
  <c r="N141" i="22"/>
  <c r="N141" i="16"/>
  <c r="Q177" i="22"/>
  <c r="T177" i="22" s="1"/>
  <c r="Q177" i="16"/>
  <c r="O173" i="22"/>
  <c r="O173" i="16"/>
  <c r="K172" i="22"/>
  <c r="K172" i="16"/>
  <c r="S142" i="22"/>
  <c r="S142" i="16"/>
  <c r="O118" i="22"/>
  <c r="O118" i="16"/>
  <c r="N116" i="22"/>
  <c r="T116" i="22" s="1"/>
  <c r="N116" i="16"/>
  <c r="K152" i="16"/>
  <c r="K152" i="22"/>
  <c r="P155" i="22"/>
  <c r="P155" i="16"/>
  <c r="R141" i="22"/>
  <c r="R141" i="16"/>
  <c r="J136" i="22"/>
  <c r="J136" i="16"/>
  <c r="M110" i="22"/>
  <c r="M110" i="16"/>
  <c r="L85" i="22"/>
  <c r="L85" i="16"/>
  <c r="R67" i="16"/>
  <c r="R67" i="22"/>
  <c r="H150" i="22"/>
  <c r="H150" i="16"/>
  <c r="K149" i="22"/>
  <c r="K149" i="16"/>
  <c r="J95" i="22"/>
  <c r="T95" i="22" s="1"/>
  <c r="J95" i="16"/>
  <c r="E80" i="22"/>
  <c r="E80" i="16"/>
  <c r="R59" i="22"/>
  <c r="R59" i="16"/>
  <c r="O63" i="22"/>
  <c r="O63" i="16"/>
  <c r="H161" i="22"/>
  <c r="H161" i="16"/>
  <c r="O142" i="16"/>
  <c r="D142" i="21" s="1"/>
  <c r="H142" i="21" s="1"/>
  <c r="O142" i="22"/>
  <c r="T142" i="22" s="1"/>
  <c r="L101" i="22"/>
  <c r="T101" i="22" s="1"/>
  <c r="L101" i="16"/>
  <c r="P90" i="22"/>
  <c r="P90" i="16"/>
  <c r="U90" i="16" s="1"/>
  <c r="R93" i="22"/>
  <c r="R93" i="16"/>
  <c r="Q79" i="16"/>
  <c r="Q79" i="22"/>
  <c r="D115" i="22"/>
  <c r="D115" i="16"/>
  <c r="E79" i="16"/>
  <c r="U79" i="16" s="1"/>
  <c r="E79" i="22"/>
  <c r="T79" i="22" s="1"/>
  <c r="I104" i="22"/>
  <c r="I104" i="16"/>
  <c r="E64" i="22"/>
  <c r="E64" i="16"/>
  <c r="K72" i="22"/>
  <c r="K72" i="16"/>
  <c r="S66" i="16"/>
  <c r="S66" i="22"/>
  <c r="T66" i="22" s="1"/>
  <c r="J224" i="16"/>
  <c r="P211" i="16"/>
  <c r="H189" i="16"/>
  <c r="D189" i="21" s="1"/>
  <c r="H189" i="21" s="1"/>
  <c r="H172" i="16"/>
  <c r="D172" i="21" s="1"/>
  <c r="H172" i="21" s="1"/>
  <c r="R168" i="16"/>
  <c r="E120" i="16"/>
  <c r="S110" i="16"/>
  <c r="M95" i="16"/>
  <c r="I59" i="16"/>
  <c r="M81" i="22"/>
  <c r="D230" i="16"/>
  <c r="Q198" i="16"/>
  <c r="U198" i="16" s="1"/>
  <c r="Q169" i="16"/>
  <c r="E134" i="16"/>
  <c r="Q108" i="16"/>
  <c r="K79" i="16"/>
  <c r="M78" i="16"/>
  <c r="L234" i="22"/>
  <c r="K233" i="16"/>
  <c r="S206" i="16"/>
  <c r="N169" i="16"/>
  <c r="F165" i="16"/>
  <c r="S143" i="16"/>
  <c r="E142" i="16"/>
  <c r="M127" i="16"/>
  <c r="U127" i="16" s="1"/>
  <c r="G124" i="16"/>
  <c r="I103" i="16"/>
  <c r="Q99" i="16"/>
  <c r="H97" i="16"/>
  <c r="D97" i="21" s="1"/>
  <c r="H97" i="21" s="1"/>
  <c r="O62" i="16"/>
  <c r="E143" i="16"/>
  <c r="F95" i="16"/>
  <c r="I80" i="16"/>
  <c r="T19" i="22"/>
  <c r="L199" i="16"/>
  <c r="J228" i="16"/>
  <c r="O218" i="16"/>
  <c r="D216" i="16"/>
  <c r="F177" i="16"/>
  <c r="O172" i="16"/>
  <c r="G103" i="16"/>
  <c r="D103" i="21" s="1"/>
  <c r="H103" i="21" s="1"/>
  <c r="G91" i="16"/>
  <c r="P72" i="16"/>
  <c r="J108" i="22"/>
  <c r="J108" i="16"/>
  <c r="I82" i="22"/>
  <c r="I82" i="16"/>
  <c r="S46" i="16"/>
  <c r="S46" i="22"/>
  <c r="M124" i="22"/>
  <c r="M124" i="16"/>
  <c r="D124" i="21" s="1"/>
  <c r="H124" i="21" s="1"/>
  <c r="G105" i="22"/>
  <c r="T105" i="22" s="1"/>
  <c r="G105" i="16"/>
  <c r="D105" i="21" s="1"/>
  <c r="H105" i="21" s="1"/>
  <c r="S88" i="22"/>
  <c r="S88" i="16"/>
  <c r="K81" i="16"/>
  <c r="K81" i="22"/>
  <c r="L65" i="22"/>
  <c r="L65" i="16"/>
  <c r="R118" i="22"/>
  <c r="R118" i="16"/>
  <c r="E109" i="22"/>
  <c r="E109" i="16"/>
  <c r="D109" i="21" s="1"/>
  <c r="H109" i="21" s="1"/>
  <c r="M79" i="22"/>
  <c r="M79" i="16"/>
  <c r="L94" i="22"/>
  <c r="L94" i="16"/>
  <c r="D66" i="22"/>
  <c r="D66" i="16"/>
  <c r="E73" i="22"/>
  <c r="E73" i="16"/>
  <c r="R109" i="22"/>
  <c r="T109" i="22" s="1"/>
  <c r="R109" i="16"/>
  <c r="I91" i="22"/>
  <c r="I91" i="16"/>
  <c r="U91" i="16" s="1"/>
  <c r="N86" i="22"/>
  <c r="N86" i="16"/>
  <c r="U86" i="16" s="1"/>
  <c r="R58" i="22"/>
  <c r="R58" i="16"/>
  <c r="F78" i="22"/>
  <c r="F78" i="16"/>
  <c r="K73" i="22"/>
  <c r="K73" i="16"/>
  <c r="D226" i="16"/>
  <c r="N199" i="16"/>
  <c r="L176" i="16"/>
  <c r="Q157" i="16"/>
  <c r="D157" i="21" s="1"/>
  <c r="H157" i="21" s="1"/>
  <c r="U157" i="16"/>
  <c r="E133" i="16"/>
  <c r="E99" i="16"/>
  <c r="Q86" i="16"/>
  <c r="D74" i="22"/>
  <c r="M232" i="16"/>
  <c r="O226" i="16"/>
  <c r="M212" i="16"/>
  <c r="K160" i="16"/>
  <c r="R255" i="16"/>
  <c r="D255" i="21" s="1"/>
  <c r="H255" i="21" s="1"/>
  <c r="L231" i="16"/>
  <c r="P183" i="16"/>
  <c r="D183" i="21" s="1"/>
  <c r="H183" i="21" s="1"/>
  <c r="I118" i="16"/>
  <c r="U118" i="16" s="1"/>
  <c r="K110" i="16"/>
  <c r="D110" i="21" s="1"/>
  <c r="H110" i="21" s="1"/>
  <c r="P100" i="16"/>
  <c r="E234" i="16"/>
  <c r="G202" i="16"/>
  <c r="U202" i="16" s="1"/>
  <c r="P194" i="16"/>
  <c r="H175" i="16"/>
  <c r="E152" i="16"/>
  <c r="E150" i="16"/>
  <c r="M145" i="16"/>
  <c r="U139" i="16"/>
  <c r="Q104" i="16"/>
  <c r="R103" i="16"/>
  <c r="N99" i="16"/>
  <c r="P73" i="16"/>
  <c r="E67" i="16"/>
  <c r="I62" i="22"/>
  <c r="H126" i="22"/>
  <c r="T127" i="22"/>
  <c r="T103" i="22"/>
  <c r="U187" i="16"/>
  <c r="T55" i="22"/>
  <c r="T29" i="22"/>
  <c r="N260" i="22"/>
  <c r="T56" i="22"/>
  <c r="T137" i="22"/>
  <c r="T139" i="22"/>
  <c r="U223" i="16"/>
  <c r="U214" i="16"/>
  <c r="U148" i="16"/>
  <c r="U115" i="16"/>
  <c r="T240" i="22"/>
  <c r="S168" i="16"/>
  <c r="S132" i="16"/>
  <c r="U132" i="16" s="1"/>
  <c r="K128" i="16"/>
  <c r="S123" i="16"/>
  <c r="U123" i="16" s="1"/>
  <c r="O121" i="16"/>
  <c r="S114" i="16"/>
  <c r="D114" i="21" s="1"/>
  <c r="H114" i="21" s="1"/>
  <c r="S108" i="16"/>
  <c r="G96" i="16"/>
  <c r="U96" i="16" s="1"/>
  <c r="O91" i="16"/>
  <c r="O88" i="16"/>
  <c r="O85" i="16"/>
  <c r="O70" i="16"/>
  <c r="U70" i="16" s="1"/>
  <c r="K68" i="16"/>
  <c r="P63" i="16"/>
  <c r="T20" i="22"/>
  <c r="T32" i="22"/>
  <c r="T44" i="22"/>
  <c r="T80" i="22"/>
  <c r="T92" i="22"/>
  <c r="T104" i="22"/>
  <c r="T176" i="22"/>
  <c r="D212" i="22"/>
  <c r="T224" i="22"/>
  <c r="I130" i="22"/>
  <c r="G119" i="22"/>
  <c r="M169" i="22"/>
  <c r="M181" i="22"/>
  <c r="F73" i="22"/>
  <c r="T73" i="22" s="1"/>
  <c r="F169" i="22"/>
  <c r="Q123" i="22"/>
  <c r="Q248" i="22"/>
  <c r="R113" i="22"/>
  <c r="R173" i="22"/>
  <c r="R221" i="22"/>
  <c r="L241" i="22"/>
  <c r="O255" i="22"/>
  <c r="K216" i="22"/>
  <c r="T216" i="22" s="1"/>
  <c r="N195" i="22"/>
  <c r="T195" i="22" s="1"/>
  <c r="E249" i="22"/>
  <c r="AF7" i="13"/>
  <c r="AF252" i="13"/>
  <c r="AF190" i="13"/>
  <c r="AF191" i="13"/>
  <c r="AF201" i="13"/>
  <c r="AF199" i="13"/>
  <c r="AF172" i="13"/>
  <c r="AF140" i="13"/>
  <c r="AF160" i="13"/>
  <c r="AF146" i="13"/>
  <c r="AF44" i="13"/>
  <c r="AF66" i="13"/>
  <c r="AF49" i="13"/>
  <c r="AF27" i="13"/>
  <c r="AF53" i="13"/>
  <c r="AF47" i="13"/>
  <c r="AF11" i="13"/>
  <c r="U196" i="16"/>
  <c r="T31" i="22"/>
  <c r="T91" i="22"/>
  <c r="AF247" i="13"/>
  <c r="AF225" i="13"/>
  <c r="AF197" i="13"/>
  <c r="AF163" i="13"/>
  <c r="AF141" i="13"/>
  <c r="AF63" i="13"/>
  <c r="AF81" i="13"/>
  <c r="G150" i="16"/>
  <c r="R243" i="16"/>
  <c r="U243" i="16" s="1"/>
  <c r="F237" i="16"/>
  <c r="R216" i="16"/>
  <c r="U216" i="16" s="1"/>
  <c r="R207" i="16"/>
  <c r="N181" i="16"/>
  <c r="U181" i="16" s="1"/>
  <c r="R165" i="16"/>
  <c r="J146" i="16"/>
  <c r="J134" i="16"/>
  <c r="N133" i="16"/>
  <c r="F129" i="16"/>
  <c r="N121" i="16"/>
  <c r="R120" i="16"/>
  <c r="J104" i="16"/>
  <c r="R99" i="16"/>
  <c r="F99" i="16"/>
  <c r="R87" i="16"/>
  <c r="N76" i="16"/>
  <c r="D76" i="21" s="1"/>
  <c r="H76" i="21" s="1"/>
  <c r="N73" i="16"/>
  <c r="U73" i="16" s="1"/>
  <c r="T21" i="22"/>
  <c r="T33" i="22"/>
  <c r="T45" i="22"/>
  <c r="T57" i="22"/>
  <c r="D81" i="22"/>
  <c r="T93" i="22"/>
  <c r="T117" i="22"/>
  <c r="D141" i="22"/>
  <c r="T153" i="22"/>
  <c r="T165" i="22"/>
  <c r="T213" i="22"/>
  <c r="D225" i="22"/>
  <c r="I203" i="22"/>
  <c r="T203" i="22" s="1"/>
  <c r="H146" i="22"/>
  <c r="H218" i="22"/>
  <c r="M158" i="22"/>
  <c r="T158" i="22" s="1"/>
  <c r="M218" i="22"/>
  <c r="T218" i="22" s="1"/>
  <c r="F86" i="22"/>
  <c r="S259" i="22"/>
  <c r="Q76" i="22"/>
  <c r="P188" i="22"/>
  <c r="P200" i="22"/>
  <c r="P212" i="22"/>
  <c r="L201" i="22"/>
  <c r="O155" i="22"/>
  <c r="O191" i="22"/>
  <c r="O256" i="22"/>
  <c r="AF10" i="13"/>
  <c r="AF216" i="13"/>
  <c r="AF229" i="13"/>
  <c r="AF242" i="13"/>
  <c r="AF230" i="13"/>
  <c r="AF211" i="13"/>
  <c r="AF205" i="13"/>
  <c r="AF226" i="13"/>
  <c r="AF179" i="13"/>
  <c r="AF180" i="13"/>
  <c r="AF166" i="13"/>
  <c r="AF181" i="13"/>
  <c r="AF169" i="13"/>
  <c r="AF74" i="13"/>
  <c r="AF115" i="13"/>
  <c r="AF48" i="13"/>
  <c r="AF34" i="13"/>
  <c r="AF2" i="13"/>
  <c r="U235" i="16"/>
  <c r="U193" i="16"/>
  <c r="U184" i="16"/>
  <c r="AF129" i="13"/>
  <c r="AF119" i="13"/>
  <c r="AF97" i="13"/>
  <c r="M256" i="16"/>
  <c r="E246" i="16"/>
  <c r="Q213" i="16"/>
  <c r="M208" i="16"/>
  <c r="U208" i="16" s="1"/>
  <c r="E204" i="16"/>
  <c r="D204" i="21" s="1"/>
  <c r="H204" i="21" s="1"/>
  <c r="I197" i="16"/>
  <c r="Q180" i="16"/>
  <c r="E165" i="16"/>
  <c r="Q150" i="16"/>
  <c r="I146" i="16"/>
  <c r="U146" i="16" s="1"/>
  <c r="Q141" i="16"/>
  <c r="I134" i="16"/>
  <c r="U134" i="16" s="1"/>
  <c r="M118" i="16"/>
  <c r="D118" i="21" s="1"/>
  <c r="H118" i="21" s="1"/>
  <c r="I116" i="16"/>
  <c r="U116" i="16" s="1"/>
  <c r="M106" i="16"/>
  <c r="I101" i="16"/>
  <c r="U101" i="16" s="1"/>
  <c r="I92" i="16"/>
  <c r="Q61" i="16"/>
  <c r="K45" i="16"/>
  <c r="T22" i="22"/>
  <c r="T34" i="22"/>
  <c r="T46" i="22"/>
  <c r="T58" i="22"/>
  <c r="T70" i="22"/>
  <c r="T82" i="22"/>
  <c r="T118" i="22"/>
  <c r="D130" i="22"/>
  <c r="T154" i="22"/>
  <c r="T166" i="22"/>
  <c r="T243" i="22"/>
  <c r="T255" i="22"/>
  <c r="M183" i="22"/>
  <c r="M219" i="22"/>
  <c r="S100" i="22"/>
  <c r="Q77" i="22"/>
  <c r="Q161" i="22"/>
  <c r="R175" i="22"/>
  <c r="P242" i="22"/>
  <c r="J259" i="22"/>
  <c r="AF239" i="13"/>
  <c r="AF250" i="13"/>
  <c r="AF244" i="13"/>
  <c r="AF217" i="13"/>
  <c r="AF203" i="13"/>
  <c r="AF208" i="13"/>
  <c r="AF243" i="13"/>
  <c r="AF231" i="13"/>
  <c r="AF178" i="13"/>
  <c r="AF147" i="13"/>
  <c r="AF85" i="13"/>
  <c r="AF121" i="13"/>
  <c r="AF109" i="13"/>
  <c r="AF46" i="13"/>
  <c r="AF73" i="13"/>
  <c r="AF72" i="13"/>
  <c r="AF21" i="13"/>
  <c r="AF26" i="13"/>
  <c r="AF31" i="13"/>
  <c r="AF17" i="13"/>
  <c r="AF36" i="13"/>
  <c r="AF37" i="13"/>
  <c r="U253" i="16"/>
  <c r="U151" i="16"/>
  <c r="U142" i="16"/>
  <c r="U121" i="16"/>
  <c r="U109" i="16"/>
  <c r="T43" i="22"/>
  <c r="O196" i="16"/>
  <c r="U255" i="16"/>
  <c r="U240" i="16"/>
  <c r="U231" i="16"/>
  <c r="L229" i="16"/>
  <c r="D229" i="21" s="1"/>
  <c r="H229" i="21" s="1"/>
  <c r="P228" i="16"/>
  <c r="U228" i="16" s="1"/>
  <c r="U219" i="16"/>
  <c r="U213" i="16"/>
  <c r="U210" i="16"/>
  <c r="U201" i="16"/>
  <c r="U195" i="16"/>
  <c r="U192" i="16"/>
  <c r="H188" i="16"/>
  <c r="D188" i="21" s="1"/>
  <c r="H188" i="21" s="1"/>
  <c r="U186" i="16"/>
  <c r="U183" i="16"/>
  <c r="U174" i="16"/>
  <c r="H173" i="16"/>
  <c r="U173" i="16" s="1"/>
  <c r="U171" i="16"/>
  <c r="U162" i="16"/>
  <c r="U159" i="16"/>
  <c r="H152" i="16"/>
  <c r="L145" i="16"/>
  <c r="D145" i="21" s="1"/>
  <c r="H145" i="21" s="1"/>
  <c r="U144" i="16"/>
  <c r="D141" i="16"/>
  <c r="U141" i="16" s="1"/>
  <c r="D138" i="16"/>
  <c r="U138" i="16" s="1"/>
  <c r="H131" i="16"/>
  <c r="U131" i="16" s="1"/>
  <c r="D129" i="16"/>
  <c r="U126" i="16"/>
  <c r="H125" i="16"/>
  <c r="L112" i="16"/>
  <c r="U112" i="16" s="1"/>
  <c r="U111" i="16"/>
  <c r="P108" i="16"/>
  <c r="U108" i="16" s="1"/>
  <c r="U105" i="16"/>
  <c r="U102" i="16"/>
  <c r="L100" i="16"/>
  <c r="P87" i="16"/>
  <c r="U84" i="16"/>
  <c r="D81" i="16"/>
  <c r="D78" i="16"/>
  <c r="U75" i="16"/>
  <c r="U72" i="16"/>
  <c r="H71" i="16"/>
  <c r="U66" i="16"/>
  <c r="T23" i="22"/>
  <c r="T35" i="22"/>
  <c r="T47" i="22"/>
  <c r="T59" i="22"/>
  <c r="T83" i="22"/>
  <c r="T107" i="22"/>
  <c r="D119" i="22"/>
  <c r="T119" i="22" s="1"/>
  <c r="T167" i="22"/>
  <c r="T227" i="22"/>
  <c r="I97" i="22"/>
  <c r="I229" i="22"/>
  <c r="G110" i="22"/>
  <c r="T110" i="22" s="1"/>
  <c r="H88" i="22"/>
  <c r="H160" i="22"/>
  <c r="M249" i="22"/>
  <c r="F148" i="22"/>
  <c r="T148" i="22" s="1"/>
  <c r="F232" i="22"/>
  <c r="L256" i="22"/>
  <c r="K231" i="22"/>
  <c r="K259" i="22"/>
  <c r="J160" i="22"/>
  <c r="T160" i="22" s="1"/>
  <c r="E115" i="22"/>
  <c r="E151" i="22"/>
  <c r="T151" i="22" s="1"/>
  <c r="E175" i="22"/>
  <c r="AF215" i="13"/>
  <c r="AF233" i="13"/>
  <c r="AF198" i="13"/>
  <c r="AF188" i="13"/>
  <c r="AF196" i="13"/>
  <c r="AF185" i="13"/>
  <c r="AF113" i="13"/>
  <c r="AF194" i="13"/>
  <c r="AF174" i="13"/>
  <c r="AF192" i="13"/>
  <c r="AF183" i="13"/>
  <c r="AF131" i="13"/>
  <c r="AF164" i="13"/>
  <c r="AF156" i="13"/>
  <c r="AF155" i="13"/>
  <c r="AF83" i="13"/>
  <c r="AF134" i="13"/>
  <c r="AF80" i="13"/>
  <c r="AF114" i="13"/>
  <c r="AF123" i="13"/>
  <c r="AF102" i="13"/>
  <c r="AF104" i="13"/>
  <c r="AF87" i="13"/>
  <c r="AF79" i="13"/>
  <c r="AF59" i="13"/>
  <c r="AF67" i="13"/>
  <c r="AF77" i="13"/>
  <c r="AF16" i="13"/>
  <c r="G234" i="16"/>
  <c r="S222" i="16"/>
  <c r="G207" i="16"/>
  <c r="H254" i="16"/>
  <c r="U254" i="16" s="1"/>
  <c r="U252" i="16"/>
  <c r="U246" i="16"/>
  <c r="L232" i="16"/>
  <c r="U232" i="16" s="1"/>
  <c r="D225" i="16"/>
  <c r="H209" i="16"/>
  <c r="D209" i="21" s="1"/>
  <c r="H209" i="21" s="1"/>
  <c r="S227" i="16"/>
  <c r="G176" i="16"/>
  <c r="G173" i="16"/>
  <c r="D173" i="21" s="1"/>
  <c r="H173" i="21" s="1"/>
  <c r="K124" i="16"/>
  <c r="S107" i="16"/>
  <c r="G80" i="16"/>
  <c r="K67" i="16"/>
  <c r="U67" i="16" s="1"/>
  <c r="D14" i="22"/>
  <c r="T24" i="22"/>
  <c r="T36" i="22"/>
  <c r="T48" i="22"/>
  <c r="T60" i="22"/>
  <c r="T72" i="22"/>
  <c r="T84" i="22"/>
  <c r="T96" i="22"/>
  <c r="T108" i="22"/>
  <c r="T144" i="22"/>
  <c r="T180" i="22"/>
  <c r="T192" i="22"/>
  <c r="T204" i="22"/>
  <c r="T245" i="22"/>
  <c r="M221" i="22"/>
  <c r="F89" i="22"/>
  <c r="F250" i="22"/>
  <c r="Q67" i="22"/>
  <c r="R242" i="22"/>
  <c r="L132" i="22"/>
  <c r="T132" i="22" s="1"/>
  <c r="O158" i="22"/>
  <c r="O194" i="22"/>
  <c r="T194" i="22" s="1"/>
  <c r="N237" i="22"/>
  <c r="AF259" i="13"/>
  <c r="AF256" i="13"/>
  <c r="AF253" i="13"/>
  <c r="AF220" i="13"/>
  <c r="AF184" i="13"/>
  <c r="AF237" i="13"/>
  <c r="AF176" i="13"/>
  <c r="AF110" i="13"/>
  <c r="AF108" i="13"/>
  <c r="AF106" i="13"/>
  <c r="AF153" i="13"/>
  <c r="AF41" i="13"/>
  <c r="AF64" i="13"/>
  <c r="AF71" i="13"/>
  <c r="AF54" i="13"/>
  <c r="AF99" i="13"/>
  <c r="AF42" i="13"/>
  <c r="AF9" i="13"/>
  <c r="AF58" i="13"/>
  <c r="AF50" i="13"/>
  <c r="AF15" i="13"/>
  <c r="AF8" i="13"/>
  <c r="AF4" i="13"/>
  <c r="N225" i="16"/>
  <c r="F212" i="16"/>
  <c r="J199" i="16"/>
  <c r="R194" i="16"/>
  <c r="R179" i="16"/>
  <c r="N177" i="16"/>
  <c r="J166" i="16"/>
  <c r="U166" i="16" s="1"/>
  <c r="F152" i="16"/>
  <c r="U152" i="16" s="1"/>
  <c r="N129" i="16"/>
  <c r="N105" i="16"/>
  <c r="T25" i="22"/>
  <c r="T37" i="22"/>
  <c r="T49" i="22"/>
  <c r="T61" i="22"/>
  <c r="T85" i="22"/>
  <c r="D97" i="22"/>
  <c r="T133" i="22"/>
  <c r="T157" i="22"/>
  <c r="T169" i="22"/>
  <c r="T193" i="22"/>
  <c r="T258" i="22"/>
  <c r="G100" i="22"/>
  <c r="G136" i="22"/>
  <c r="T136" i="22" s="1"/>
  <c r="G220" i="22"/>
  <c r="M210" i="22"/>
  <c r="T210" i="22" s="1"/>
  <c r="S199" i="22"/>
  <c r="Q68" i="22"/>
  <c r="T68" i="22" s="1"/>
  <c r="Q152" i="22"/>
  <c r="T152" i="22" s="1"/>
  <c r="R202" i="22"/>
  <c r="T202" i="22" s="1"/>
  <c r="R214" i="22"/>
  <c r="N140" i="22"/>
  <c r="N200" i="22"/>
  <c r="T200" i="22" s="1"/>
  <c r="N212" i="22"/>
  <c r="E254" i="22"/>
  <c r="AF207" i="13"/>
  <c r="AF258" i="13"/>
  <c r="AF222" i="13"/>
  <c r="AF122" i="13"/>
  <c r="AF210" i="13"/>
  <c r="AF213" i="13"/>
  <c r="AF173" i="13"/>
  <c r="AF161" i="13"/>
  <c r="AF186" i="13"/>
  <c r="AF88" i="13"/>
  <c r="AF126" i="13"/>
  <c r="AF105" i="13"/>
  <c r="AF103" i="13"/>
  <c r="AF158" i="13"/>
  <c r="AF112" i="13"/>
  <c r="AF61" i="13"/>
  <c r="AF32" i="13"/>
  <c r="AF43" i="13"/>
  <c r="AF6" i="13"/>
  <c r="AF23" i="13"/>
  <c r="AF55" i="13"/>
  <c r="AF28" i="13"/>
  <c r="AF13" i="13"/>
  <c r="U85" i="16"/>
  <c r="T115" i="22"/>
  <c r="I220" i="16"/>
  <c r="U220" i="16" s="1"/>
  <c r="E215" i="16"/>
  <c r="D215" i="21" s="1"/>
  <c r="H215" i="21" s="1"/>
  <c r="E206" i="16"/>
  <c r="D206" i="21" s="1"/>
  <c r="H206" i="21" s="1"/>
  <c r="I163" i="16"/>
  <c r="D163" i="21" s="1"/>
  <c r="H163" i="21" s="1"/>
  <c r="I136" i="16"/>
  <c r="U136" i="16" s="1"/>
  <c r="Q131" i="16"/>
  <c r="Q119" i="16"/>
  <c r="E83" i="16"/>
  <c r="E74" i="16"/>
  <c r="D63" i="16"/>
  <c r="T26" i="22"/>
  <c r="T38" i="22"/>
  <c r="T50" i="22"/>
  <c r="T62" i="22"/>
  <c r="T74" i="22"/>
  <c r="T86" i="22"/>
  <c r="T122" i="22"/>
  <c r="T134" i="22"/>
  <c r="T170" i="22"/>
  <c r="T182" i="22"/>
  <c r="T206" i="22"/>
  <c r="D247" i="22"/>
  <c r="T247" i="22" s="1"/>
  <c r="D258" i="21"/>
  <c r="H258" i="21" s="1"/>
  <c r="U258" i="16"/>
  <c r="H115" i="22"/>
  <c r="H151" i="22"/>
  <c r="H223" i="22"/>
  <c r="T223" i="22" s="1"/>
  <c r="K174" i="22"/>
  <c r="T174" i="22" s="1"/>
  <c r="J252" i="22"/>
  <c r="T252" i="22" s="1"/>
  <c r="AF248" i="13"/>
  <c r="AF202" i="13"/>
  <c r="AF249" i="13"/>
  <c r="AF246" i="13"/>
  <c r="AF235" i="13"/>
  <c r="AF200" i="13"/>
  <c r="AF118" i="13"/>
  <c r="AF193" i="13"/>
  <c r="AF116" i="13"/>
  <c r="AF40" i="13"/>
  <c r="AF76" i="13"/>
  <c r="AF92" i="13"/>
  <c r="AF5" i="13"/>
  <c r="AF107" i="13"/>
  <c r="AF127" i="13"/>
  <c r="AF70" i="13"/>
  <c r="AF56" i="13"/>
  <c r="AF57" i="13"/>
  <c r="AF20" i="13"/>
  <c r="AF30" i="13"/>
  <c r="AF29" i="13"/>
  <c r="U130" i="16"/>
  <c r="U239" i="16"/>
  <c r="U233" i="16"/>
  <c r="U224" i="16"/>
  <c r="U185" i="16"/>
  <c r="U182" i="16"/>
  <c r="U179" i="16"/>
  <c r="U170" i="16"/>
  <c r="U167" i="16"/>
  <c r="P161" i="16"/>
  <c r="U161" i="16"/>
  <c r="U158" i="16"/>
  <c r="H154" i="16"/>
  <c r="L138" i="16"/>
  <c r="U137" i="16"/>
  <c r="U125" i="16"/>
  <c r="U122" i="16"/>
  <c r="D119" i="16"/>
  <c r="U119" i="16" s="1"/>
  <c r="U113" i="16"/>
  <c r="P110" i="16"/>
  <c r="U95" i="16"/>
  <c r="U89" i="16"/>
  <c r="U83" i="16"/>
  <c r="U77" i="16"/>
  <c r="U74" i="16"/>
  <c r="T27" i="22"/>
  <c r="T39" i="22"/>
  <c r="T51" i="22"/>
  <c r="D63" i="22"/>
  <c r="T87" i="22"/>
  <c r="T147" i="22"/>
  <c r="T159" i="22"/>
  <c r="T171" i="22"/>
  <c r="T207" i="22"/>
  <c r="T231" i="22"/>
  <c r="T259" i="22"/>
  <c r="F253" i="22"/>
  <c r="T253" i="22" s="1"/>
  <c r="Q142" i="22"/>
  <c r="Q214" i="22"/>
  <c r="T214" i="22" s="1"/>
  <c r="P230" i="22"/>
  <c r="T230" i="22" s="1"/>
  <c r="L183" i="22"/>
  <c r="T183" i="22" s="1"/>
  <c r="O209" i="22"/>
  <c r="AF177" i="13"/>
  <c r="AF224" i="13"/>
  <c r="AF241" i="13"/>
  <c r="AF234" i="13"/>
  <c r="AF209" i="13"/>
  <c r="AF255" i="13"/>
  <c r="AF189" i="13"/>
  <c r="AF128" i="13"/>
  <c r="AF187" i="13"/>
  <c r="AF151" i="13"/>
  <c r="AF157" i="13"/>
  <c r="AF149" i="13"/>
  <c r="AF162" i="13"/>
  <c r="AF154" i="13"/>
  <c r="AF148" i="13"/>
  <c r="AF91" i="13"/>
  <c r="AF159" i="13"/>
  <c r="AF133" i="13"/>
  <c r="AF90" i="13"/>
  <c r="AF52" i="13"/>
  <c r="AF35" i="13"/>
  <c r="AF93" i="13"/>
  <c r="AF45" i="13"/>
  <c r="AF18" i="13"/>
  <c r="AF84" i="13"/>
  <c r="AF33" i="13"/>
  <c r="AF38" i="13"/>
  <c r="U160" i="16"/>
  <c r="U145" i="16"/>
  <c r="U88" i="16"/>
  <c r="T187" i="22"/>
  <c r="U248" i="16"/>
  <c r="D212" i="16"/>
  <c r="D197" i="16"/>
  <c r="U197" i="16" s="1"/>
  <c r="S178" i="16"/>
  <c r="O128" i="16"/>
  <c r="D128" i="21" s="1"/>
  <c r="H128" i="21" s="1"/>
  <c r="T28" i="22"/>
  <c r="T40" i="22"/>
  <c r="T52" i="22"/>
  <c r="T76" i="22"/>
  <c r="T88" i="22"/>
  <c r="T100" i="22"/>
  <c r="T112" i="22"/>
  <c r="T124" i="22"/>
  <c r="T196" i="22"/>
  <c r="T208" i="22"/>
  <c r="T220" i="22"/>
  <c r="T232" i="22"/>
  <c r="D259" i="21"/>
  <c r="H259" i="21" s="1"/>
  <c r="U259" i="16"/>
  <c r="I198" i="22"/>
  <c r="T198" i="22" s="1"/>
  <c r="I234" i="22"/>
  <c r="R193" i="22"/>
  <c r="J201" i="22"/>
  <c r="N179" i="22"/>
  <c r="T179" i="22" s="1"/>
  <c r="N215" i="22"/>
  <c r="AF228" i="13"/>
  <c r="AF257" i="13"/>
  <c r="AF218" i="13"/>
  <c r="AF214" i="13"/>
  <c r="AF204" i="13"/>
  <c r="AF175" i="13"/>
  <c r="AF195" i="13"/>
  <c r="AF135" i="13"/>
  <c r="AF167" i="13"/>
  <c r="AF139" i="13"/>
  <c r="AF117" i="13"/>
  <c r="AF86" i="13"/>
  <c r="AF62" i="13"/>
  <c r="AF69" i="13"/>
  <c r="AF39" i="13"/>
  <c r="AF89" i="13"/>
  <c r="AF22" i="13"/>
  <c r="AF238" i="13"/>
  <c r="U250" i="16"/>
  <c r="T67" i="22"/>
  <c r="U251" i="16"/>
  <c r="U245" i="16"/>
  <c r="U236" i="16"/>
  <c r="U218" i="16"/>
  <c r="U203" i="16"/>
  <c r="F244" i="16"/>
  <c r="F82" i="16"/>
  <c r="U82" i="16" s="1"/>
  <c r="T17" i="22"/>
  <c r="T41" i="22"/>
  <c r="T89" i="22"/>
  <c r="T113" i="22"/>
  <c r="T125" i="22"/>
  <c r="D197" i="22"/>
  <c r="T197" i="22" s="1"/>
  <c r="T209" i="22"/>
  <c r="T233" i="22"/>
  <c r="T250" i="22"/>
  <c r="D260" i="22"/>
  <c r="T260" i="22" s="1"/>
  <c r="E193" i="22"/>
  <c r="E217" i="22"/>
  <c r="T217" i="22" s="1"/>
  <c r="AF236" i="13"/>
  <c r="AF223" i="13"/>
  <c r="AF206" i="13"/>
  <c r="AF254" i="13"/>
  <c r="AF251" i="13"/>
  <c r="AF219" i="13"/>
  <c r="AF168" i="13"/>
  <c r="AF137" i="13"/>
  <c r="AF171" i="13"/>
  <c r="AF124" i="13"/>
  <c r="AF150" i="13"/>
  <c r="AF142" i="13"/>
  <c r="AF165" i="13"/>
  <c r="AF94" i="13"/>
  <c r="AF95" i="13"/>
  <c r="AF132" i="13"/>
  <c r="AF12" i="13"/>
  <c r="AF120" i="13"/>
  <c r="AF101" i="13"/>
  <c r="AF75" i="13"/>
  <c r="AF111" i="13"/>
  <c r="AF60" i="13"/>
  <c r="AF19" i="13"/>
  <c r="AF24" i="13"/>
  <c r="AF25" i="13"/>
  <c r="AF3" i="13"/>
  <c r="M155" i="16"/>
  <c r="U155" i="16" s="1"/>
  <c r="T18" i="22"/>
  <c r="T30" i="22"/>
  <c r="T42" i="22"/>
  <c r="T54" i="22"/>
  <c r="D78" i="22"/>
  <c r="T78" i="22" s="1"/>
  <c r="T90" i="22"/>
  <c r="T102" i="22"/>
  <c r="T126" i="22"/>
  <c r="D138" i="22"/>
  <c r="T150" i="22"/>
  <c r="T162" i="22"/>
  <c r="T222" i="22"/>
  <c r="T234" i="22"/>
  <c r="D260" i="16"/>
  <c r="AF245" i="13"/>
  <c r="AF227" i="13"/>
  <c r="AF232" i="13"/>
  <c r="AF221" i="13"/>
  <c r="AF182" i="13"/>
  <c r="AF136" i="13"/>
  <c r="AF145" i="13"/>
  <c r="AF98" i="13"/>
  <c r="AF152" i="13"/>
  <c r="AF144" i="13"/>
  <c r="AF143" i="13"/>
  <c r="AF170" i="13"/>
  <c r="AF100" i="13"/>
  <c r="AF96" i="13"/>
  <c r="AF125" i="13"/>
  <c r="AF82" i="13"/>
  <c r="AF68" i="13"/>
  <c r="AF65" i="13"/>
  <c r="AF51" i="13"/>
  <c r="AF240" i="13"/>
  <c r="D257" i="21"/>
  <c r="H257" i="21" s="1"/>
  <c r="D253" i="21"/>
  <c r="H253" i="21" s="1"/>
  <c r="D252" i="21"/>
  <c r="H252" i="21" s="1"/>
  <c r="D251" i="21"/>
  <c r="H251" i="21" s="1"/>
  <c r="D250" i="21"/>
  <c r="H250" i="21" s="1"/>
  <c r="D246" i="21"/>
  <c r="H246" i="21" s="1"/>
  <c r="D245" i="21"/>
  <c r="H245" i="21" s="1"/>
  <c r="D240" i="21"/>
  <c r="H240" i="21" s="1"/>
  <c r="D239" i="21"/>
  <c r="H239" i="21" s="1"/>
  <c r="D238" i="21"/>
  <c r="H238" i="21" s="1"/>
  <c r="D236" i="21"/>
  <c r="H236" i="21" s="1"/>
  <c r="D235" i="21"/>
  <c r="H235" i="21" s="1"/>
  <c r="D233" i="21"/>
  <c r="H233" i="21" s="1"/>
  <c r="D232" i="21"/>
  <c r="H232" i="21" s="1"/>
  <c r="D231" i="21"/>
  <c r="H231" i="21" s="1"/>
  <c r="D224" i="21"/>
  <c r="H224" i="21" s="1"/>
  <c r="D223" i="21"/>
  <c r="H223" i="21" s="1"/>
  <c r="D220" i="21"/>
  <c r="H220" i="21" s="1"/>
  <c r="D219" i="21"/>
  <c r="H219" i="21" s="1"/>
  <c r="D218" i="21"/>
  <c r="H218" i="21" s="1"/>
  <c r="D214" i="21"/>
  <c r="H214" i="21" s="1"/>
  <c r="D213" i="21"/>
  <c r="H213" i="21" s="1"/>
  <c r="D210" i="21"/>
  <c r="H210" i="21" s="1"/>
  <c r="D208" i="21"/>
  <c r="H208" i="21" s="1"/>
  <c r="D205" i="21"/>
  <c r="H205" i="21" s="1"/>
  <c r="D203" i="21"/>
  <c r="H203" i="21" s="1"/>
  <c r="D202" i="21"/>
  <c r="H202" i="21" s="1"/>
  <c r="D201" i="21"/>
  <c r="H201" i="21" s="1"/>
  <c r="D198" i="21"/>
  <c r="H198" i="21" s="1"/>
  <c r="D197" i="21"/>
  <c r="H197" i="21" s="1"/>
  <c r="D196" i="21"/>
  <c r="H196" i="21" s="1"/>
  <c r="D195" i="21"/>
  <c r="H195" i="21" s="1"/>
  <c r="D193" i="21"/>
  <c r="H193" i="21" s="1"/>
  <c r="D192" i="21"/>
  <c r="H192" i="21" s="1"/>
  <c r="D191" i="21"/>
  <c r="H191" i="21" s="1"/>
  <c r="D190" i="21"/>
  <c r="H190" i="21" s="1"/>
  <c r="D187" i="21"/>
  <c r="H187" i="21" s="1"/>
  <c r="D186" i="21"/>
  <c r="H186" i="21" s="1"/>
  <c r="D185" i="21"/>
  <c r="H185" i="21" s="1"/>
  <c r="D184" i="21"/>
  <c r="H184" i="21" s="1"/>
  <c r="D182" i="21"/>
  <c r="H182" i="21" s="1"/>
  <c r="D179" i="21"/>
  <c r="H179" i="21" s="1"/>
  <c r="D178" i="21"/>
  <c r="H178" i="21" s="1"/>
  <c r="D175" i="21"/>
  <c r="H175" i="21" s="1"/>
  <c r="D174" i="21"/>
  <c r="H174" i="21" s="1"/>
  <c r="D171" i="21"/>
  <c r="H171" i="21" s="1"/>
  <c r="D170" i="21"/>
  <c r="H170" i="21" s="1"/>
  <c r="D167" i="21"/>
  <c r="H167" i="21" s="1"/>
  <c r="D166" i="21"/>
  <c r="H166" i="21" s="1"/>
  <c r="D162" i="21"/>
  <c r="H162" i="21" s="1"/>
  <c r="D161" i="21"/>
  <c r="H161" i="21" s="1"/>
  <c r="D160" i="21"/>
  <c r="H160" i="21" s="1"/>
  <c r="D159" i="21"/>
  <c r="H159" i="21" s="1"/>
  <c r="D158" i="21"/>
  <c r="H158" i="21" s="1"/>
  <c r="D154" i="21"/>
  <c r="H154" i="21" s="1"/>
  <c r="D152" i="21"/>
  <c r="H152" i="21" s="1"/>
  <c r="D151" i="21"/>
  <c r="H151" i="21" s="1"/>
  <c r="D148" i="21"/>
  <c r="H148" i="21" s="1"/>
  <c r="D147" i="21"/>
  <c r="H147" i="21" s="1"/>
  <c r="D146" i="21"/>
  <c r="H146" i="21" s="1"/>
  <c r="D139" i="21"/>
  <c r="H139" i="21" s="1"/>
  <c r="D137" i="21"/>
  <c r="H137" i="21" s="1"/>
  <c r="D136" i="21"/>
  <c r="H136" i="21" s="1"/>
  <c r="D135" i="21"/>
  <c r="H135" i="21" s="1"/>
  <c r="D134" i="21"/>
  <c r="H134" i="21" s="1"/>
  <c r="D133" i="21"/>
  <c r="H133" i="21" s="1"/>
  <c r="D132" i="21"/>
  <c r="H132" i="21" s="1"/>
  <c r="D130" i="21"/>
  <c r="H130" i="21" s="1"/>
  <c r="D127" i="21"/>
  <c r="H127" i="21" s="1"/>
  <c r="D126" i="21"/>
  <c r="H126" i="21" s="1"/>
  <c r="D125" i="21"/>
  <c r="H125" i="21" s="1"/>
  <c r="D123" i="21"/>
  <c r="H123" i="21" s="1"/>
  <c r="D122" i="21"/>
  <c r="H122" i="21" s="1"/>
  <c r="D121" i="21"/>
  <c r="H121" i="21" s="1"/>
  <c r="D117" i="21"/>
  <c r="H117" i="21" s="1"/>
  <c r="D116" i="21"/>
  <c r="H116" i="21" s="1"/>
  <c r="D115" i="21"/>
  <c r="H115" i="21" s="1"/>
  <c r="D113" i="21"/>
  <c r="H113" i="21" s="1"/>
  <c r="D112" i="21"/>
  <c r="H112" i="21" s="1"/>
  <c r="D111" i="21"/>
  <c r="H111" i="21" s="1"/>
  <c r="D104" i="21"/>
  <c r="H104" i="21" s="1"/>
  <c r="D102" i="21"/>
  <c r="H102" i="21" s="1"/>
  <c r="D101" i="21"/>
  <c r="H101" i="21" s="1"/>
  <c r="D100" i="21"/>
  <c r="H100" i="21" s="1"/>
  <c r="D95" i="21"/>
  <c r="H95" i="21" s="1"/>
  <c r="D93" i="21"/>
  <c r="H93" i="21" s="1"/>
  <c r="D91" i="21"/>
  <c r="H91" i="21" s="1"/>
  <c r="D90" i="21"/>
  <c r="H90" i="21" s="1"/>
  <c r="D89" i="21"/>
  <c r="H89" i="21" s="1"/>
  <c r="D88" i="21"/>
  <c r="H88" i="21" s="1"/>
  <c r="D85" i="21"/>
  <c r="H85" i="21" s="1"/>
  <c r="D84" i="21"/>
  <c r="H84" i="21" s="1"/>
  <c r="D83" i="21"/>
  <c r="H83" i="21" s="1"/>
  <c r="D77" i="21"/>
  <c r="H77" i="21" s="1"/>
  <c r="D75" i="21"/>
  <c r="H75" i="21" s="1"/>
  <c r="D74" i="21"/>
  <c r="H74" i="21" s="1"/>
  <c r="D70" i="21"/>
  <c r="H70" i="21" s="1"/>
  <c r="D69" i="21"/>
  <c r="H69" i="21" s="1"/>
  <c r="D67" i="21"/>
  <c r="H67" i="21" s="1"/>
  <c r="D66" i="21"/>
  <c r="H66" i="21" s="1"/>
  <c r="D65" i="21"/>
  <c r="H65" i="21" s="1"/>
  <c r="T14" i="22"/>
  <c r="T10" i="22"/>
  <c r="T2" i="22"/>
  <c r="T11" i="22"/>
  <c r="T7" i="22"/>
  <c r="T3" i="22"/>
  <c r="T8" i="22"/>
  <c r="T4" i="22"/>
  <c r="T5" i="22"/>
  <c r="T6" i="22"/>
  <c r="T9" i="22"/>
  <c r="T12" i="22"/>
  <c r="T13" i="22"/>
  <c r="T15" i="22"/>
  <c r="T16" i="22"/>
  <c r="I64" i="16"/>
  <c r="D64" i="21" s="1"/>
  <c r="H64" i="21" s="1"/>
  <c r="R63" i="16"/>
  <c r="N63" i="16"/>
  <c r="H63" i="16"/>
  <c r="Q62" i="16"/>
  <c r="M62" i="16"/>
  <c r="G62" i="16"/>
  <c r="F62" i="16"/>
  <c r="E62" i="16"/>
  <c r="P61" i="16"/>
  <c r="L61" i="16"/>
  <c r="K61" i="16"/>
  <c r="H61" i="16"/>
  <c r="F61" i="16"/>
  <c r="D61" i="16"/>
  <c r="Q60" i="16"/>
  <c r="L60" i="16"/>
  <c r="G60" i="16"/>
  <c r="P59" i="16"/>
  <c r="O58" i="16"/>
  <c r="N57" i="16"/>
  <c r="J57" i="16"/>
  <c r="E57" i="16"/>
  <c r="S56" i="16"/>
  <c r="M56" i="16"/>
  <c r="K56" i="16"/>
  <c r="I56" i="16"/>
  <c r="F56" i="16"/>
  <c r="L55" i="16"/>
  <c r="S53" i="16"/>
  <c r="R52" i="16"/>
  <c r="F52" i="16"/>
  <c r="Q51" i="16"/>
  <c r="K51" i="16"/>
  <c r="P50" i="16"/>
  <c r="L49" i="16"/>
  <c r="I48" i="16"/>
  <c r="I47" i="16"/>
  <c r="E46" i="16"/>
  <c r="E45" i="16"/>
  <c r="K43" i="16"/>
  <c r="Q41" i="16"/>
  <c r="E33" i="16"/>
  <c r="J24" i="16"/>
  <c r="D12" i="16"/>
  <c r="Q63" i="16"/>
  <c r="M63" i="16"/>
  <c r="G63" i="16"/>
  <c r="F63" i="16"/>
  <c r="E63" i="16"/>
  <c r="P62" i="16"/>
  <c r="L62" i="16"/>
  <c r="K62" i="16"/>
  <c r="J62" i="16"/>
  <c r="D62" i="16"/>
  <c r="S61" i="16"/>
  <c r="O61" i="16"/>
  <c r="G61" i="16"/>
  <c r="P60" i="16"/>
  <c r="O59" i="16"/>
  <c r="J59" i="16"/>
  <c r="S58" i="16"/>
  <c r="N58" i="16"/>
  <c r="I58" i="16"/>
  <c r="E58" i="16"/>
  <c r="R57" i="16"/>
  <c r="M57" i="16"/>
  <c r="K57" i="16"/>
  <c r="H57" i="16"/>
  <c r="F57" i="16"/>
  <c r="D57" i="16"/>
  <c r="Q56" i="16"/>
  <c r="L56" i="16"/>
  <c r="G56" i="16"/>
  <c r="K55" i="16"/>
  <c r="F55" i="16"/>
  <c r="S54" i="16"/>
  <c r="R53" i="16"/>
  <c r="Q52" i="16"/>
  <c r="P51" i="16"/>
  <c r="J51" i="16"/>
  <c r="E51" i="16"/>
  <c r="O50" i="16"/>
  <c r="F50" i="16"/>
  <c r="S48" i="16"/>
  <c r="D43" i="16"/>
  <c r="M41" i="16"/>
  <c r="D33" i="16"/>
  <c r="G29" i="16"/>
  <c r="G22" i="16"/>
  <c r="R14" i="16"/>
  <c r="O19" i="16"/>
  <c r="L24" i="16"/>
  <c r="J29" i="16"/>
  <c r="H34" i="16"/>
  <c r="P36" i="16"/>
  <c r="F41" i="16"/>
  <c r="I42" i="16"/>
  <c r="L44" i="16"/>
  <c r="J47" i="16"/>
  <c r="L48" i="16"/>
  <c r="F49" i="16"/>
  <c r="M49" i="16"/>
  <c r="L50" i="16"/>
  <c r="F51" i="16"/>
  <c r="M51" i="16"/>
  <c r="N52" i="16"/>
  <c r="O53" i="16"/>
  <c r="D54" i="16"/>
  <c r="K54" i="16"/>
  <c r="P54" i="16"/>
  <c r="E55" i="16"/>
  <c r="G55" i="16"/>
  <c r="Q55" i="16"/>
  <c r="H56" i="16"/>
  <c r="N56" i="16"/>
  <c r="R56" i="16"/>
  <c r="I57" i="16"/>
  <c r="O57" i="16"/>
  <c r="S57" i="16"/>
  <c r="D58" i="16"/>
  <c r="J58" i="16"/>
  <c r="K58" i="16"/>
  <c r="L58" i="16"/>
  <c r="P58" i="16"/>
  <c r="E59" i="16"/>
  <c r="F59" i="16"/>
  <c r="G59" i="16"/>
  <c r="M59" i="16"/>
  <c r="Q59" i="16"/>
  <c r="H60" i="16"/>
  <c r="N60" i="16"/>
  <c r="R60" i="16"/>
  <c r="I61" i="16"/>
  <c r="D56" i="16"/>
  <c r="S55" i="16"/>
  <c r="O55" i="16"/>
  <c r="I55" i="16"/>
  <c r="R54" i="16"/>
  <c r="N54" i="16"/>
  <c r="H54" i="16"/>
  <c r="Q53" i="16"/>
  <c r="M53" i="16"/>
  <c r="G53" i="16"/>
  <c r="F53" i="16"/>
  <c r="E53" i="16"/>
  <c r="P52" i="16"/>
  <c r="L52" i="16"/>
  <c r="K52" i="16"/>
  <c r="J52" i="16"/>
  <c r="D52" i="16"/>
  <c r="S51" i="16"/>
  <c r="O51" i="16"/>
  <c r="I51" i="16"/>
  <c r="R50" i="16"/>
  <c r="N50" i="16"/>
  <c r="H50" i="16"/>
  <c r="Q49" i="16"/>
  <c r="G49" i="16"/>
  <c r="E49" i="16"/>
  <c r="P48" i="16"/>
  <c r="K48" i="16"/>
  <c r="D48" i="16"/>
  <c r="N46" i="16"/>
  <c r="Q45" i="16"/>
  <c r="H45" i="16"/>
  <c r="S44" i="16"/>
  <c r="N42" i="16"/>
  <c r="S40" i="16"/>
  <c r="S39" i="16"/>
  <c r="R34" i="16"/>
  <c r="P33" i="16"/>
  <c r="E21" i="16"/>
  <c r="L10" i="16"/>
  <c r="R55" i="16"/>
  <c r="N55" i="16"/>
  <c r="H55" i="16"/>
  <c r="Q54" i="16"/>
  <c r="M54" i="16"/>
  <c r="G54" i="16"/>
  <c r="F54" i="16"/>
  <c r="E54" i="16"/>
  <c r="P53" i="16"/>
  <c r="L53" i="16"/>
  <c r="K53" i="16"/>
  <c r="J53" i="16"/>
  <c r="D53" i="16"/>
  <c r="S52" i="16"/>
  <c r="O52" i="16"/>
  <c r="I52" i="16"/>
  <c r="R51" i="16"/>
  <c r="N51" i="16"/>
  <c r="H51" i="16"/>
  <c r="Q50" i="16"/>
  <c r="M50" i="16"/>
  <c r="G50" i="16"/>
  <c r="E50" i="16"/>
  <c r="P49" i="16"/>
  <c r="K49" i="16"/>
  <c r="D49" i="16"/>
  <c r="O48" i="16"/>
  <c r="M46" i="16"/>
  <c r="N45" i="16"/>
  <c r="G45" i="16"/>
  <c r="Q44" i="16"/>
  <c r="I44" i="16"/>
  <c r="S43" i="16"/>
  <c r="E42" i="16"/>
  <c r="J41" i="16"/>
  <c r="O40" i="16"/>
  <c r="N39" i="16"/>
  <c r="F37" i="16"/>
  <c r="Q34" i="16"/>
  <c r="K33" i="16"/>
  <c r="J32" i="16"/>
  <c r="D28" i="16"/>
  <c r="M25" i="16"/>
  <c r="P20" i="16"/>
  <c r="K13" i="16"/>
  <c r="E10" i="16"/>
  <c r="K50" i="16"/>
  <c r="J50" i="16"/>
  <c r="D50" i="16"/>
  <c r="S49" i="16"/>
  <c r="O49" i="16"/>
  <c r="I49" i="16"/>
  <c r="R48" i="16"/>
  <c r="N48" i="16"/>
  <c r="H48" i="16"/>
  <c r="O47" i="16"/>
  <c r="K47" i="16"/>
  <c r="R46" i="16"/>
  <c r="I46" i="16"/>
  <c r="F46" i="16"/>
  <c r="M45" i="16"/>
  <c r="D45" i="16"/>
  <c r="P44" i="16"/>
  <c r="K44" i="16"/>
  <c r="G44" i="16"/>
  <c r="O43" i="16"/>
  <c r="R42" i="16"/>
  <c r="L41" i="16"/>
  <c r="H41" i="16"/>
  <c r="D41" i="16"/>
  <c r="H38" i="16"/>
  <c r="L37" i="16"/>
  <c r="K36" i="16"/>
  <c r="R35" i="16"/>
  <c r="N34" i="16"/>
  <c r="E34" i="16"/>
  <c r="P32" i="16"/>
  <c r="H30" i="16"/>
  <c r="M29" i="16"/>
  <c r="E29" i="16"/>
  <c r="O27" i="16"/>
  <c r="J25" i="16"/>
  <c r="S23" i="16"/>
  <c r="R22" i="16"/>
  <c r="P21" i="16"/>
  <c r="F18" i="16"/>
  <c r="L16" i="16"/>
  <c r="H14" i="16"/>
  <c r="D13" i="16"/>
  <c r="I50" i="16"/>
  <c r="R49" i="16"/>
  <c r="N49" i="16"/>
  <c r="H49" i="16"/>
  <c r="Q48" i="16"/>
  <c r="M48" i="16"/>
  <c r="G48" i="16"/>
  <c r="F48" i="16"/>
  <c r="E48" i="16"/>
  <c r="S47" i="16"/>
  <c r="N47" i="16"/>
  <c r="D47" i="16"/>
  <c r="O46" i="16"/>
  <c r="H46" i="16"/>
  <c r="R45" i="16"/>
  <c r="L45" i="16"/>
  <c r="J45" i="16"/>
  <c r="F45" i="16"/>
  <c r="M44" i="16"/>
  <c r="N43" i="16"/>
  <c r="J43" i="16"/>
  <c r="O42" i="16"/>
  <c r="F42" i="16"/>
  <c r="R41" i="16"/>
  <c r="K40" i="16"/>
  <c r="I39" i="16"/>
  <c r="R38" i="16"/>
  <c r="F38" i="16"/>
  <c r="O35" i="16"/>
  <c r="Q33" i="16"/>
  <c r="G33" i="16"/>
  <c r="L32" i="16"/>
  <c r="D32" i="16"/>
  <c r="N30" i="16"/>
  <c r="L29" i="16"/>
  <c r="K28" i="16"/>
  <c r="R23" i="16"/>
  <c r="L17" i="16"/>
  <c r="J16" i="16"/>
  <c r="I15" i="16"/>
  <c r="E14" i="16"/>
  <c r="P12" i="16"/>
  <c r="F11" i="16"/>
  <c r="K6" i="16"/>
  <c r="F3" i="16"/>
  <c r="L47" i="16"/>
  <c r="H47" i="16"/>
  <c r="Q46" i="16"/>
  <c r="G46" i="16"/>
  <c r="P45" i="16"/>
  <c r="O44" i="16"/>
  <c r="J44" i="16"/>
  <c r="E44" i="16"/>
  <c r="P43" i="16"/>
  <c r="I43" i="16"/>
  <c r="S42" i="16"/>
  <c r="M42" i="16"/>
  <c r="N41" i="16"/>
  <c r="K41" i="16"/>
  <c r="G41" i="16"/>
  <c r="E41" i="16"/>
  <c r="P40" i="16"/>
  <c r="D40" i="16"/>
  <c r="M38" i="16"/>
  <c r="Q37" i="16"/>
  <c r="G37" i="16"/>
  <c r="S36" i="16"/>
  <c r="J36" i="16"/>
  <c r="S35" i="16"/>
  <c r="M33" i="16"/>
  <c r="F33" i="16"/>
  <c r="O32" i="16"/>
  <c r="O31" i="16"/>
  <c r="I31" i="16"/>
  <c r="P28" i="16"/>
  <c r="F25" i="16"/>
  <c r="I24" i="16"/>
  <c r="H23" i="16"/>
  <c r="H22" i="16"/>
  <c r="K20" i="16"/>
  <c r="N19" i="16"/>
  <c r="N18" i="16"/>
  <c r="M17" i="16"/>
  <c r="G13" i="16"/>
  <c r="E7" i="16"/>
  <c r="D44" i="16"/>
  <c r="R43" i="16"/>
  <c r="L43" i="16"/>
  <c r="H43" i="16"/>
  <c r="Q42" i="16"/>
  <c r="G42" i="16"/>
  <c r="P41" i="16"/>
  <c r="L40" i="16"/>
  <c r="J40" i="16"/>
  <c r="O39" i="16"/>
  <c r="N38" i="16"/>
  <c r="M37" i="16"/>
  <c r="J37" i="16"/>
  <c r="E37" i="16"/>
  <c r="L36" i="16"/>
  <c r="I36" i="16"/>
  <c r="D36" i="16"/>
  <c r="H35" i="16"/>
  <c r="G34" i="16"/>
  <c r="K32" i="16"/>
  <c r="S31" i="16"/>
  <c r="R30" i="16"/>
  <c r="F30" i="16"/>
  <c r="Q29" i="16"/>
  <c r="D29" i="16"/>
  <c r="S24" i="16"/>
  <c r="I23" i="16"/>
  <c r="Q22" i="16"/>
  <c r="G21" i="16"/>
  <c r="O20" i="16"/>
  <c r="D20" i="16"/>
  <c r="M18" i="16"/>
  <c r="F17" i="16"/>
  <c r="S15" i="16"/>
  <c r="Q13" i="16"/>
  <c r="E13" i="16"/>
  <c r="M11" i="16"/>
  <c r="D9" i="16"/>
  <c r="D6" i="16"/>
  <c r="S4" i="16"/>
  <c r="R39" i="16"/>
  <c r="H39" i="16"/>
  <c r="Q38" i="16"/>
  <c r="G38" i="16"/>
  <c r="E38" i="16"/>
  <c r="P37" i="16"/>
  <c r="K37" i="16"/>
  <c r="D37" i="16"/>
  <c r="O36" i="16"/>
  <c r="N35" i="16"/>
  <c r="M34" i="16"/>
  <c r="F34" i="16"/>
  <c r="L33" i="16"/>
  <c r="J33" i="16"/>
  <c r="S32" i="16"/>
  <c r="I32" i="16"/>
  <c r="R31" i="16"/>
  <c r="H31" i="16"/>
  <c r="Q30" i="16"/>
  <c r="G30" i="16"/>
  <c r="E30" i="16"/>
  <c r="P29" i="16"/>
  <c r="K29" i="16"/>
  <c r="O28" i="16"/>
  <c r="N27" i="16"/>
  <c r="M26" i="16"/>
  <c r="F26" i="16"/>
  <c r="L25" i="16"/>
  <c r="E22" i="16"/>
  <c r="K21" i="16"/>
  <c r="D21" i="16"/>
  <c r="J17" i="16"/>
  <c r="S16" i="16"/>
  <c r="I16" i="16"/>
  <c r="R15" i="16"/>
  <c r="H15" i="16"/>
  <c r="Q14" i="16"/>
  <c r="G14" i="16"/>
  <c r="P13" i="16"/>
  <c r="O12" i="16"/>
  <c r="K9" i="16"/>
  <c r="J5" i="16"/>
  <c r="E2" i="16"/>
  <c r="F29" i="16"/>
  <c r="L28" i="16"/>
  <c r="J28" i="16"/>
  <c r="S27" i="16"/>
  <c r="I27" i="16"/>
  <c r="R26" i="16"/>
  <c r="H26" i="16"/>
  <c r="Q25" i="16"/>
  <c r="G25" i="16"/>
  <c r="E25" i="16"/>
  <c r="P24" i="16"/>
  <c r="K24" i="16"/>
  <c r="D24" i="16"/>
  <c r="O23" i="16"/>
  <c r="N22" i="16"/>
  <c r="M21" i="16"/>
  <c r="F21" i="16"/>
  <c r="L20" i="16"/>
  <c r="J20" i="16"/>
  <c r="S19" i="16"/>
  <c r="I19" i="16"/>
  <c r="R18" i="16"/>
  <c r="H18" i="16"/>
  <c r="Q17" i="16"/>
  <c r="G17" i="16"/>
  <c r="E17" i="16"/>
  <c r="P16" i="16"/>
  <c r="K16" i="16"/>
  <c r="D16" i="16"/>
  <c r="O15" i="16"/>
  <c r="N14" i="16"/>
  <c r="M13" i="16"/>
  <c r="F13" i="16"/>
  <c r="L12" i="16"/>
  <c r="J12" i="16"/>
  <c r="S11" i="16"/>
  <c r="J10" i="16"/>
  <c r="S9" i="16"/>
  <c r="I9" i="16"/>
  <c r="R8" i="16"/>
  <c r="H8" i="16"/>
  <c r="Q7" i="16"/>
  <c r="G7" i="16"/>
  <c r="P6" i="16"/>
  <c r="O5" i="16"/>
  <c r="N4" i="16"/>
  <c r="M3" i="16"/>
  <c r="L2" i="16"/>
  <c r="S28" i="16"/>
  <c r="I28" i="16"/>
  <c r="R27" i="16"/>
  <c r="H27" i="16"/>
  <c r="Q26" i="16"/>
  <c r="G26" i="16"/>
  <c r="E26" i="16"/>
  <c r="P25" i="16"/>
  <c r="K25" i="16"/>
  <c r="D25" i="16"/>
  <c r="O24" i="16"/>
  <c r="N23" i="16"/>
  <c r="M22" i="16"/>
  <c r="F22" i="16"/>
  <c r="L21" i="16"/>
  <c r="J21" i="16"/>
  <c r="S20" i="16"/>
  <c r="I20" i="16"/>
  <c r="R19" i="16"/>
  <c r="H19" i="16"/>
  <c r="Q18" i="16"/>
  <c r="G18" i="16"/>
  <c r="E18" i="16"/>
  <c r="P17" i="16"/>
  <c r="K17" i="16"/>
  <c r="D17" i="16"/>
  <c r="O16" i="16"/>
  <c r="N15" i="16"/>
  <c r="M14" i="16"/>
  <c r="F14" i="16"/>
  <c r="L13" i="16"/>
  <c r="J13" i="16"/>
  <c r="S12" i="16"/>
  <c r="I12" i="16"/>
  <c r="R11" i="16"/>
  <c r="H11" i="16"/>
  <c r="Q10" i="16"/>
  <c r="G10" i="16"/>
  <c r="P9" i="16"/>
  <c r="O8" i="16"/>
  <c r="N7" i="16"/>
  <c r="M6" i="16"/>
  <c r="F6" i="16"/>
  <c r="L5" i="16"/>
  <c r="F2" i="16"/>
  <c r="M2" i="16"/>
  <c r="N3" i="16"/>
  <c r="D2" i="16"/>
  <c r="K2" i="16"/>
  <c r="P2" i="16"/>
  <c r="E3" i="16"/>
  <c r="G3" i="16"/>
  <c r="Q3" i="16"/>
  <c r="H4" i="16"/>
  <c r="Q47" i="16"/>
  <c r="M47" i="16"/>
  <c r="G47" i="16"/>
  <c r="F47" i="16"/>
  <c r="E47" i="16"/>
  <c r="P46" i="16"/>
  <c r="L46" i="16"/>
  <c r="K46" i="16"/>
  <c r="J46" i="16"/>
  <c r="D46" i="16"/>
  <c r="S45" i="16"/>
  <c r="O45" i="16"/>
  <c r="I45" i="16"/>
  <c r="R44" i="16"/>
  <c r="N44" i="16"/>
  <c r="H44" i="16"/>
  <c r="Q43" i="16"/>
  <c r="M43" i="16"/>
  <c r="G43" i="16"/>
  <c r="F43" i="16"/>
  <c r="E43" i="16"/>
  <c r="P42" i="16"/>
  <c r="L42" i="16"/>
  <c r="K42" i="16"/>
  <c r="J42" i="16"/>
  <c r="D42" i="16"/>
  <c r="S41" i="16"/>
  <c r="O41" i="16"/>
  <c r="I41" i="16"/>
  <c r="R40" i="16"/>
  <c r="N40" i="16"/>
  <c r="H40" i="16"/>
  <c r="Q39" i="16"/>
  <c r="M39" i="16"/>
  <c r="G39" i="16"/>
  <c r="F39" i="16"/>
  <c r="E39" i="16"/>
  <c r="P38" i="16"/>
  <c r="L38" i="16"/>
  <c r="K38" i="16"/>
  <c r="J38" i="16"/>
  <c r="D38" i="16"/>
  <c r="S37" i="16"/>
  <c r="O37" i="16"/>
  <c r="I37" i="16"/>
  <c r="R36" i="16"/>
  <c r="N36" i="16"/>
  <c r="H36" i="16"/>
  <c r="Q35" i="16"/>
  <c r="M35" i="16"/>
  <c r="G35" i="16"/>
  <c r="F35" i="16"/>
  <c r="E35" i="16"/>
  <c r="P34" i="16"/>
  <c r="L34" i="16"/>
  <c r="K34" i="16"/>
  <c r="J34" i="16"/>
  <c r="D34" i="16"/>
  <c r="S33" i="16"/>
  <c r="O33" i="16"/>
  <c r="I33" i="16"/>
  <c r="R32" i="16"/>
  <c r="N32" i="16"/>
  <c r="H32" i="16"/>
  <c r="Q31" i="16"/>
  <c r="M31" i="16"/>
  <c r="G31" i="16"/>
  <c r="F31" i="16"/>
  <c r="E31" i="16"/>
  <c r="P30" i="16"/>
  <c r="L30" i="16"/>
  <c r="K30" i="16"/>
  <c r="J30" i="16"/>
  <c r="D30" i="16"/>
  <c r="S29" i="16"/>
  <c r="O29" i="16"/>
  <c r="I29" i="16"/>
  <c r="R28" i="16"/>
  <c r="N28" i="16"/>
  <c r="H28" i="16"/>
  <c r="Q27" i="16"/>
  <c r="M27" i="16"/>
  <c r="G27" i="16"/>
  <c r="F27" i="16"/>
  <c r="E27" i="16"/>
  <c r="P26" i="16"/>
  <c r="L26" i="16"/>
  <c r="K26" i="16"/>
  <c r="J26" i="16"/>
  <c r="D26" i="16"/>
  <c r="S25" i="16"/>
  <c r="O25" i="16"/>
  <c r="I25" i="16"/>
  <c r="R24" i="16"/>
  <c r="N24" i="16"/>
  <c r="H24" i="16"/>
  <c r="Q23" i="16"/>
  <c r="M23" i="16"/>
  <c r="G23" i="16"/>
  <c r="F23" i="16"/>
  <c r="E23" i="16"/>
  <c r="P22" i="16"/>
  <c r="L22" i="16"/>
  <c r="K22" i="16"/>
  <c r="J22" i="16"/>
  <c r="D22" i="16"/>
  <c r="S21" i="16"/>
  <c r="O21" i="16"/>
  <c r="I21" i="16"/>
  <c r="R20" i="16"/>
  <c r="N20" i="16"/>
  <c r="H20" i="16"/>
  <c r="Q19" i="16"/>
  <c r="M19" i="16"/>
  <c r="G19" i="16"/>
  <c r="F19" i="16"/>
  <c r="E19" i="16"/>
  <c r="P18" i="16"/>
  <c r="L18" i="16"/>
  <c r="K18" i="16"/>
  <c r="J18" i="16"/>
  <c r="D18" i="16"/>
  <c r="S17" i="16"/>
  <c r="O17" i="16"/>
  <c r="I17" i="16"/>
  <c r="R16" i="16"/>
  <c r="N16" i="16"/>
  <c r="H16" i="16"/>
  <c r="Q15" i="16"/>
  <c r="M15" i="16"/>
  <c r="G15" i="16"/>
  <c r="F15" i="16"/>
  <c r="E15" i="16"/>
  <c r="P14" i="16"/>
  <c r="L14" i="16"/>
  <c r="K14" i="16"/>
  <c r="J14" i="16"/>
  <c r="D14" i="16"/>
  <c r="S13" i="16"/>
  <c r="O13" i="16"/>
  <c r="I13" i="16"/>
  <c r="R12" i="16"/>
  <c r="N12" i="16"/>
  <c r="H12" i="16"/>
  <c r="Q11" i="16"/>
  <c r="G11" i="16"/>
  <c r="E11" i="16"/>
  <c r="P10" i="16"/>
  <c r="K10" i="16"/>
  <c r="D10" i="16"/>
  <c r="O9" i="16"/>
  <c r="N8" i="16"/>
  <c r="M7" i="16"/>
  <c r="F7" i="16"/>
  <c r="L6" i="16"/>
  <c r="J6" i="16"/>
  <c r="S5" i="16"/>
  <c r="I5" i="16"/>
  <c r="R4" i="16"/>
  <c r="J2" i="16"/>
  <c r="Q40" i="16"/>
  <c r="M40" i="16"/>
  <c r="G40" i="16"/>
  <c r="F40" i="16"/>
  <c r="E40" i="16"/>
  <c r="P39" i="16"/>
  <c r="L39" i="16"/>
  <c r="K39" i="16"/>
  <c r="J39" i="16"/>
  <c r="D39" i="16"/>
  <c r="S38" i="16"/>
  <c r="O38" i="16"/>
  <c r="I38" i="16"/>
  <c r="R37" i="16"/>
  <c r="N37" i="16"/>
  <c r="H37" i="16"/>
  <c r="Q36" i="16"/>
  <c r="M36" i="16"/>
  <c r="G36" i="16"/>
  <c r="F36" i="16"/>
  <c r="E36" i="16"/>
  <c r="P35" i="16"/>
  <c r="L35" i="16"/>
  <c r="K35" i="16"/>
  <c r="J35" i="16"/>
  <c r="D35" i="16"/>
  <c r="S34" i="16"/>
  <c r="O34" i="16"/>
  <c r="I34" i="16"/>
  <c r="R33" i="16"/>
  <c r="N33" i="16"/>
  <c r="H33" i="16"/>
  <c r="Q32" i="16"/>
  <c r="M32" i="16"/>
  <c r="G32" i="16"/>
  <c r="F32" i="16"/>
  <c r="E32" i="16"/>
  <c r="P31" i="16"/>
  <c r="L31" i="16"/>
  <c r="K31" i="16"/>
  <c r="J31" i="16"/>
  <c r="D31" i="16"/>
  <c r="S30" i="16"/>
  <c r="O30" i="16"/>
  <c r="I30" i="16"/>
  <c r="R29" i="16"/>
  <c r="N29" i="16"/>
  <c r="H29" i="16"/>
  <c r="Q28" i="16"/>
  <c r="M28" i="16"/>
  <c r="G28" i="16"/>
  <c r="F28" i="16"/>
  <c r="E28" i="16"/>
  <c r="P27" i="16"/>
  <c r="L27" i="16"/>
  <c r="K27" i="16"/>
  <c r="J27" i="16"/>
  <c r="D27" i="16"/>
  <c r="S26" i="16"/>
  <c r="O26" i="16"/>
  <c r="I26" i="16"/>
  <c r="R25" i="16"/>
  <c r="N25" i="16"/>
  <c r="H25" i="16"/>
  <c r="Q24" i="16"/>
  <c r="M24" i="16"/>
  <c r="G24" i="16"/>
  <c r="F24" i="16"/>
  <c r="E24" i="16"/>
  <c r="P23" i="16"/>
  <c r="L23" i="16"/>
  <c r="K23" i="16"/>
  <c r="J23" i="16"/>
  <c r="D23" i="16"/>
  <c r="S22" i="16"/>
  <c r="O22" i="16"/>
  <c r="I22" i="16"/>
  <c r="R21" i="16"/>
  <c r="N21" i="16"/>
  <c r="H21" i="16"/>
  <c r="Q20" i="16"/>
  <c r="M20" i="16"/>
  <c r="G20" i="16"/>
  <c r="F20" i="16"/>
  <c r="E20" i="16"/>
  <c r="P19" i="16"/>
  <c r="L19" i="16"/>
  <c r="K19" i="16"/>
  <c r="J19" i="16"/>
  <c r="D19" i="16"/>
  <c r="S18" i="16"/>
  <c r="O18" i="16"/>
  <c r="I18" i="16"/>
  <c r="R17" i="16"/>
  <c r="N17" i="16"/>
  <c r="H17" i="16"/>
  <c r="Q16" i="16"/>
  <c r="M16" i="16"/>
  <c r="G16" i="16"/>
  <c r="F16" i="16"/>
  <c r="E16" i="16"/>
  <c r="P15" i="16"/>
  <c r="L15" i="16"/>
  <c r="K15" i="16"/>
  <c r="J15" i="16"/>
  <c r="D15" i="16"/>
  <c r="S14" i="16"/>
  <c r="O14" i="16"/>
  <c r="I14" i="16"/>
  <c r="R13" i="16"/>
  <c r="N13" i="16"/>
  <c r="H13" i="16"/>
  <c r="Q12" i="16"/>
  <c r="M12" i="16"/>
  <c r="G12" i="16"/>
  <c r="F12" i="16"/>
  <c r="E12" i="16"/>
  <c r="N11" i="16"/>
  <c r="M10" i="16"/>
  <c r="F10" i="16"/>
  <c r="L9" i="16"/>
  <c r="J9" i="16"/>
  <c r="S8" i="16"/>
  <c r="I8" i="16"/>
  <c r="R7" i="16"/>
  <c r="H7" i="16"/>
  <c r="Q6" i="16"/>
  <c r="G6" i="16"/>
  <c r="E6" i="16"/>
  <c r="P5" i="16"/>
  <c r="K5" i="16"/>
  <c r="D5" i="16"/>
  <c r="O4" i="16"/>
  <c r="I4" i="16"/>
  <c r="R3" i="16"/>
  <c r="H3" i="16"/>
  <c r="Q2" i="16"/>
  <c r="G2" i="16"/>
  <c r="P11" i="16"/>
  <c r="L11" i="16"/>
  <c r="K11" i="16"/>
  <c r="J11" i="16"/>
  <c r="D11" i="16"/>
  <c r="S10" i="16"/>
  <c r="O10" i="16"/>
  <c r="I10" i="16"/>
  <c r="R9" i="16"/>
  <c r="N9" i="16"/>
  <c r="H9" i="16"/>
  <c r="Q8" i="16"/>
  <c r="M8" i="16"/>
  <c r="G8" i="16"/>
  <c r="F8" i="16"/>
  <c r="E8" i="16"/>
  <c r="P7" i="16"/>
  <c r="L7" i="16"/>
  <c r="K7" i="16"/>
  <c r="J7" i="16"/>
  <c r="D7" i="16"/>
  <c r="S6" i="16"/>
  <c r="O6" i="16"/>
  <c r="I6" i="16"/>
  <c r="R5" i="16"/>
  <c r="N5" i="16"/>
  <c r="H5" i="16"/>
  <c r="Q4" i="16"/>
  <c r="M4" i="16"/>
  <c r="G4" i="16"/>
  <c r="F4" i="16"/>
  <c r="E4" i="16"/>
  <c r="P3" i="16"/>
  <c r="L3" i="16"/>
  <c r="K3" i="16"/>
  <c r="J3" i="16"/>
  <c r="D3" i="16"/>
  <c r="S2" i="16"/>
  <c r="O2" i="16"/>
  <c r="I2" i="16"/>
  <c r="O11" i="16"/>
  <c r="I11" i="16"/>
  <c r="R10" i="16"/>
  <c r="N10" i="16"/>
  <c r="H10" i="16"/>
  <c r="Q9" i="16"/>
  <c r="M9" i="16"/>
  <c r="G9" i="16"/>
  <c r="F9" i="16"/>
  <c r="E9" i="16"/>
  <c r="P8" i="16"/>
  <c r="L8" i="16"/>
  <c r="K8" i="16"/>
  <c r="J8" i="16"/>
  <c r="D8" i="16"/>
  <c r="S7" i="16"/>
  <c r="O7" i="16"/>
  <c r="I7" i="16"/>
  <c r="R6" i="16"/>
  <c r="N6" i="16"/>
  <c r="H6" i="16"/>
  <c r="Q5" i="16"/>
  <c r="M5" i="16"/>
  <c r="G5" i="16"/>
  <c r="F5" i="16"/>
  <c r="E5" i="16"/>
  <c r="P4" i="16"/>
  <c r="L4" i="16"/>
  <c r="K4" i="16"/>
  <c r="J4" i="16"/>
  <c r="D4" i="16"/>
  <c r="S3" i="16"/>
  <c r="O3" i="16"/>
  <c r="I3" i="16"/>
  <c r="R2" i="16"/>
  <c r="N2" i="16"/>
  <c r="H2" i="16"/>
  <c r="D149" i="21" l="1"/>
  <c r="H149" i="21" s="1"/>
  <c r="U78" i="16"/>
  <c r="T141" i="22"/>
  <c r="D82" i="21"/>
  <c r="H82" i="21" s="1"/>
  <c r="D164" i="21"/>
  <c r="H164" i="21" s="1"/>
  <c r="D221" i="21"/>
  <c r="H221" i="21" s="1"/>
  <c r="U244" i="16"/>
  <c r="U97" i="16"/>
  <c r="U76" i="16"/>
  <c r="T199" i="22"/>
  <c r="U81" i="16"/>
  <c r="U99" i="16"/>
  <c r="U172" i="16"/>
  <c r="U60" i="16"/>
  <c r="D96" i="21"/>
  <c r="H96" i="21" s="1"/>
  <c r="D249" i="21"/>
  <c r="H249" i="21" s="1"/>
  <c r="T138" i="22"/>
  <c r="U206" i="16"/>
  <c r="U114" i="16"/>
  <c r="T146" i="22"/>
  <c r="U237" i="16"/>
  <c r="U225" i="16"/>
  <c r="D153" i="21"/>
  <c r="H153" i="21" s="1"/>
  <c r="U215" i="16"/>
  <c r="U140" i="16"/>
  <c r="U87" i="16"/>
  <c r="U189" i="16"/>
  <c r="D165" i="21"/>
  <c r="H165" i="21" s="1"/>
  <c r="T155" i="22"/>
  <c r="U104" i="16"/>
  <c r="U226" i="16"/>
  <c r="D94" i="21"/>
  <c r="H94" i="21" s="1"/>
  <c r="U242" i="16"/>
  <c r="U241" i="16"/>
  <c r="T63" i="22"/>
  <c r="U98" i="16"/>
  <c r="U143" i="16"/>
  <c r="U169" i="16"/>
  <c r="D177" i="21"/>
  <c r="H177" i="21" s="1"/>
  <c r="U80" i="16"/>
  <c r="U207" i="16"/>
  <c r="T175" i="22"/>
  <c r="D180" i="21"/>
  <c r="H180" i="21" s="1"/>
  <c r="T81" i="22"/>
  <c r="D120" i="21"/>
  <c r="H120" i="21" s="1"/>
  <c r="U150" i="16"/>
  <c r="U103" i="16"/>
  <c r="U55" i="16"/>
  <c r="D86" i="21"/>
  <c r="H86" i="21" s="1"/>
  <c r="D155" i="21"/>
  <c r="H155" i="21" s="1"/>
  <c r="T201" i="22"/>
  <c r="U110" i="16"/>
  <c r="U107" i="16"/>
  <c r="U222" i="16"/>
  <c r="T256" i="22"/>
  <c r="U156" i="16"/>
  <c r="T161" i="22"/>
  <c r="T173" i="22"/>
  <c r="D68" i="21"/>
  <c r="H68" i="21" s="1"/>
  <c r="U168" i="16"/>
  <c r="D73" i="21"/>
  <c r="H73" i="21" s="1"/>
  <c r="D228" i="21"/>
  <c r="H228" i="21" s="1"/>
  <c r="U229" i="16"/>
  <c r="T97" i="22"/>
  <c r="U194" i="16"/>
  <c r="U124" i="16"/>
  <c r="U234" i="16"/>
  <c r="U129" i="16"/>
  <c r="T77" i="22"/>
  <c r="T130" i="22"/>
  <c r="D92" i="21"/>
  <c r="H92" i="21" s="1"/>
  <c r="T225" i="22"/>
  <c r="D200" i="21"/>
  <c r="H200" i="21" s="1"/>
  <c r="U217" i="16"/>
  <c r="U133" i="16"/>
  <c r="U58" i="16"/>
  <c r="U59" i="16"/>
  <c r="D212" i="21"/>
  <c r="H212" i="21" s="1"/>
  <c r="U199" i="16"/>
  <c r="U24" i="16"/>
  <c r="D131" i="21"/>
  <c r="H131" i="21" s="1"/>
  <c r="D216" i="21"/>
  <c r="H216" i="21" s="1"/>
  <c r="D230" i="21"/>
  <c r="H230" i="21" s="1"/>
  <c r="D243" i="21"/>
  <c r="H243" i="21" s="1"/>
  <c r="U154" i="16"/>
  <c r="T140" i="22"/>
  <c r="U176" i="16"/>
  <c r="T249" i="22"/>
  <c r="U100" i="16"/>
  <c r="U165" i="16"/>
  <c r="T219" i="22"/>
  <c r="U106" i="16"/>
  <c r="T123" i="22"/>
  <c r="U51" i="16"/>
  <c r="U227" i="16"/>
  <c r="U71" i="16"/>
  <c r="U128" i="16"/>
  <c r="U63" i="16"/>
  <c r="U7" i="16"/>
  <c r="U5" i="16"/>
  <c r="U25" i="16"/>
  <c r="U11" i="16"/>
  <c r="U32" i="16"/>
  <c r="U45" i="16"/>
  <c r="U49" i="16"/>
  <c r="D78" i="21"/>
  <c r="H78" i="21" s="1"/>
  <c r="D138" i="21"/>
  <c r="H138" i="21" s="1"/>
  <c r="D150" i="21"/>
  <c r="H150" i="21" s="1"/>
  <c r="D222" i="21"/>
  <c r="H222" i="21" s="1"/>
  <c r="D234" i="21"/>
  <c r="H234" i="21" s="1"/>
  <c r="U209" i="16"/>
  <c r="U163" i="16"/>
  <c r="U204" i="16"/>
  <c r="D15" i="21"/>
  <c r="H15" i="21" s="1"/>
  <c r="U15" i="16"/>
  <c r="D27" i="21"/>
  <c r="H27" i="21" s="1"/>
  <c r="U27" i="16"/>
  <c r="D39" i="21"/>
  <c r="H39" i="21" s="1"/>
  <c r="U39" i="16"/>
  <c r="U18" i="16"/>
  <c r="U30" i="16"/>
  <c r="D42" i="21"/>
  <c r="H42" i="21" s="1"/>
  <c r="U42" i="16"/>
  <c r="U20" i="16"/>
  <c r="U50" i="16"/>
  <c r="D53" i="21"/>
  <c r="H53" i="21" s="1"/>
  <c r="U53" i="16"/>
  <c r="U48" i="16"/>
  <c r="U52" i="16"/>
  <c r="D62" i="21"/>
  <c r="H62" i="21" s="1"/>
  <c r="U62" i="16"/>
  <c r="D199" i="21"/>
  <c r="H199" i="21" s="1"/>
  <c r="U120" i="16"/>
  <c r="U177" i="16"/>
  <c r="U12" i="16"/>
  <c r="U68" i="16"/>
  <c r="U180" i="16"/>
  <c r="D8" i="21"/>
  <c r="H8" i="21" s="1"/>
  <c r="U8" i="16"/>
  <c r="D176" i="21"/>
  <c r="H176" i="21" s="1"/>
  <c r="U36" i="16"/>
  <c r="D81" i="21"/>
  <c r="H81" i="21" s="1"/>
  <c r="D129" i="21"/>
  <c r="H129" i="21" s="1"/>
  <c r="D141" i="21"/>
  <c r="H141" i="21" s="1"/>
  <c r="D225" i="21"/>
  <c r="H225" i="21" s="1"/>
  <c r="U3" i="16"/>
  <c r="U16" i="16"/>
  <c r="U41" i="16"/>
  <c r="U33" i="16"/>
  <c r="D31" i="21"/>
  <c r="H31" i="21" s="1"/>
  <c r="U31" i="16"/>
  <c r="U34" i="16"/>
  <c r="D46" i="21"/>
  <c r="H46" i="21" s="1"/>
  <c r="U46" i="16"/>
  <c r="U6" i="16"/>
  <c r="D56" i="21"/>
  <c r="H56" i="21" s="1"/>
  <c r="U56" i="16"/>
  <c r="U61" i="16"/>
  <c r="D119" i="21"/>
  <c r="H119" i="21" s="1"/>
  <c r="U64" i="16"/>
  <c r="D19" i="21"/>
  <c r="H19" i="21" s="1"/>
  <c r="U19" i="16"/>
  <c r="U22" i="16"/>
  <c r="D4" i="21"/>
  <c r="H4" i="21" s="1"/>
  <c r="U4" i="16"/>
  <c r="U9" i="16"/>
  <c r="U40" i="16"/>
  <c r="U43" i="16"/>
  <c r="D63" i="21"/>
  <c r="H63" i="21" s="1"/>
  <c r="D108" i="21"/>
  <c r="H108" i="21" s="1"/>
  <c r="D168" i="21"/>
  <c r="H168" i="21" s="1"/>
  <c r="T212" i="22"/>
  <c r="U17" i="16"/>
  <c r="U29" i="16"/>
  <c r="U44" i="16"/>
  <c r="U54" i="16"/>
  <c r="U212" i="16"/>
  <c r="U28" i="16"/>
  <c r="D260" i="21"/>
  <c r="H260" i="21" s="1"/>
  <c r="U260" i="16"/>
  <c r="U37" i="16"/>
  <c r="D23" i="21"/>
  <c r="H23" i="21" s="1"/>
  <c r="U23" i="16"/>
  <c r="D35" i="21"/>
  <c r="H35" i="21" s="1"/>
  <c r="U35" i="16"/>
  <c r="U10" i="16"/>
  <c r="U14" i="16"/>
  <c r="U26" i="16"/>
  <c r="U38" i="16"/>
  <c r="U2" i="16"/>
  <c r="U21" i="16"/>
  <c r="U47" i="16"/>
  <c r="U13" i="16"/>
  <c r="U57" i="16"/>
  <c r="D3" i="21"/>
  <c r="H3" i="21" s="1"/>
  <c r="D7" i="21"/>
  <c r="H7" i="21" s="1"/>
  <c r="D11" i="21"/>
  <c r="H11" i="21" s="1"/>
  <c r="D5" i="21"/>
  <c r="H5" i="21" s="1"/>
  <c r="D10" i="21"/>
  <c r="H10" i="21" s="1"/>
  <c r="D14" i="21"/>
  <c r="H14" i="21" s="1"/>
  <c r="D18" i="21"/>
  <c r="H18" i="21" s="1"/>
  <c r="D22" i="21"/>
  <c r="H22" i="21" s="1"/>
  <c r="D26" i="21"/>
  <c r="H26" i="21" s="1"/>
  <c r="D30" i="21"/>
  <c r="H30" i="21" s="1"/>
  <c r="D34" i="21"/>
  <c r="H34" i="21" s="1"/>
  <c r="D38" i="21"/>
  <c r="H38" i="21" s="1"/>
  <c r="D2" i="21"/>
  <c r="H2" i="21" s="1"/>
  <c r="D17" i="21"/>
  <c r="H17" i="21" s="1"/>
  <c r="D25" i="21"/>
  <c r="H25" i="21" s="1"/>
  <c r="D16" i="21"/>
  <c r="H16" i="21" s="1"/>
  <c r="D24" i="21"/>
  <c r="H24" i="21" s="1"/>
  <c r="D21" i="21"/>
  <c r="H21" i="21" s="1"/>
  <c r="D37" i="21"/>
  <c r="H37" i="21" s="1"/>
  <c r="D6" i="21"/>
  <c r="H6" i="21" s="1"/>
  <c r="D9" i="21"/>
  <c r="H9" i="21" s="1"/>
  <c r="D20" i="21"/>
  <c r="H20" i="21" s="1"/>
  <c r="D29" i="21"/>
  <c r="H29" i="21" s="1"/>
  <c r="D36" i="21"/>
  <c r="H36" i="21" s="1"/>
  <c r="D44" i="21"/>
  <c r="H44" i="21" s="1"/>
  <c r="D40" i="21"/>
  <c r="H40" i="21" s="1"/>
  <c r="D32" i="21"/>
  <c r="H32" i="21" s="1"/>
  <c r="D47" i="21"/>
  <c r="H47" i="21" s="1"/>
  <c r="D13" i="21"/>
  <c r="H13" i="21" s="1"/>
  <c r="D41" i="21"/>
  <c r="H41" i="21" s="1"/>
  <c r="D45" i="21"/>
  <c r="H45" i="21" s="1"/>
  <c r="D50" i="21"/>
  <c r="H50" i="21" s="1"/>
  <c r="D28" i="21"/>
  <c r="H28" i="21" s="1"/>
  <c r="D49" i="21"/>
  <c r="H49" i="21" s="1"/>
  <c r="D48" i="21"/>
  <c r="H48" i="21" s="1"/>
  <c r="D52" i="21"/>
  <c r="H52" i="21" s="1"/>
  <c r="D59" i="21"/>
  <c r="H59" i="21" s="1"/>
  <c r="D58" i="21"/>
  <c r="H58" i="21" s="1"/>
  <c r="D55" i="21"/>
  <c r="H55" i="21" s="1"/>
  <c r="D54" i="21"/>
  <c r="H54" i="21" s="1"/>
  <c r="D33" i="21"/>
  <c r="H33" i="21" s="1"/>
  <c r="D43" i="21"/>
  <c r="H43" i="21" s="1"/>
  <c r="D51" i="21"/>
  <c r="H51" i="21" s="1"/>
  <c r="D57" i="21"/>
  <c r="H57" i="21" s="1"/>
  <c r="D12" i="21"/>
  <c r="H12" i="21" s="1"/>
  <c r="D60" i="21"/>
  <c r="H60" i="21" s="1"/>
  <c r="D61" i="21"/>
  <c r="H61" i="21" s="1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JA66" i="1"/>
  <c r="JA40" i="1"/>
  <c r="JA41" i="1"/>
  <c r="JA42" i="1"/>
  <c r="JA43" i="1"/>
  <c r="JA44" i="1"/>
  <c r="JA45" i="1"/>
  <c r="JA46" i="1"/>
  <c r="JA47" i="1"/>
  <c r="JA48" i="1"/>
  <c r="JA49" i="1"/>
  <c r="JA50" i="1"/>
  <c r="JA51" i="1"/>
  <c r="JA52" i="1"/>
  <c r="JA53" i="1"/>
  <c r="JA54" i="1"/>
  <c r="JA55" i="1"/>
  <c r="JA56" i="1"/>
  <c r="JA57" i="1"/>
  <c r="JA58" i="1"/>
  <c r="JA59" i="1"/>
  <c r="JA60" i="1"/>
  <c r="JA61" i="1"/>
  <c r="JA62" i="1"/>
  <c r="JA63" i="1"/>
  <c r="JA64" i="1"/>
  <c r="JA65" i="1"/>
  <c r="JA39" i="1"/>
</calcChain>
</file>

<file path=xl/sharedStrings.xml><?xml version="1.0" encoding="utf-8"?>
<sst xmlns="http://schemas.openxmlformats.org/spreadsheetml/2006/main" count="5432" uniqueCount="278">
  <si>
    <t>Type</t>
  </si>
  <si>
    <t>Sous-ensemble</t>
  </si>
  <si>
    <t>IFE</t>
  </si>
  <si>
    <t>Site assemblage</t>
  </si>
  <si>
    <t>Livraison</t>
  </si>
  <si>
    <t>Utilisation 1 an</t>
  </si>
  <si>
    <t>Utilisation 7 ans</t>
  </si>
  <si>
    <t>Fin de vie</t>
  </si>
  <si>
    <t>Système</t>
  </si>
  <si>
    <t>Brackets set</t>
  </si>
  <si>
    <t>Ceinture de sécurité</t>
  </si>
  <si>
    <t>Commande actionnement ECU</t>
  </si>
  <si>
    <t>Ecran</t>
  </si>
  <si>
    <t>lightning</t>
  </si>
  <si>
    <t>Padding</t>
  </si>
  <si>
    <t>Powerbox</t>
  </si>
  <si>
    <t>Remote extender unit</t>
  </si>
  <si>
    <t>SFCU</t>
  </si>
  <si>
    <t>Support clamps</t>
  </si>
  <si>
    <t>System IFE</t>
  </si>
  <si>
    <t>Accoudoir allée</t>
  </si>
  <si>
    <t>Bumper version porte</t>
  </si>
  <si>
    <t>Capot NFC</t>
  </si>
  <si>
    <t>Coussin ottoman</t>
  </si>
  <si>
    <t>Coussin têtière</t>
  </si>
  <si>
    <t>Ens. Coussin assise</t>
  </si>
  <si>
    <t>Ens.coussin dossier version têtière</t>
  </si>
  <si>
    <t>Ens. Coussin dossier</t>
  </si>
  <si>
    <t>Ens. Stowage latéral</t>
  </si>
  <si>
    <t>Ens. Coque</t>
  </si>
  <si>
    <t>Ens. Equipements latéraux</t>
  </si>
  <si>
    <t>Ens. Palette optimisée</t>
  </si>
  <si>
    <t>Ensemble porte</t>
  </si>
  <si>
    <t>Ens. Structure fauteuil</t>
  </si>
  <si>
    <t>Ens. Structure porte</t>
  </si>
  <si>
    <t>Ens. Structure fixe</t>
  </si>
  <si>
    <t>Ens. Tablette cocktail</t>
  </si>
  <si>
    <t>Ens. Tablette repas</t>
  </si>
  <si>
    <t>Ens. Têtière</t>
  </si>
  <si>
    <t>Habillage sous fauteuil</t>
  </si>
  <si>
    <t>Manchette acc. Mobile</t>
  </si>
  <si>
    <t>Manchette équipée</t>
  </si>
  <si>
    <t>Renfort tubulaire</t>
  </si>
  <si>
    <t>Stowage assemblé avec porte</t>
  </si>
  <si>
    <t>Structure ottoman horizontale</t>
  </si>
  <si>
    <t>Support écran</t>
  </si>
  <si>
    <t>Support équipé</t>
  </si>
  <si>
    <t>Support manchette équipée</t>
  </si>
  <si>
    <t>Support NFC</t>
  </si>
  <si>
    <t>Livraison à Hambourg</t>
  </si>
  <si>
    <t>Consommation passive</t>
  </si>
  <si>
    <t>Entretien</t>
  </si>
  <si>
    <t>Enfouissement</t>
  </si>
  <si>
    <t>Recyclage</t>
  </si>
  <si>
    <t>Composant</t>
  </si>
  <si>
    <t>cables</t>
  </si>
  <si>
    <t>packaging</t>
  </si>
  <si>
    <t>Transport</t>
  </si>
  <si>
    <t>acier</t>
  </si>
  <si>
    <t>nylon</t>
  </si>
  <si>
    <t>powerbox</t>
  </si>
  <si>
    <t>télécommande</t>
  </si>
  <si>
    <t>Clavier</t>
  </si>
  <si>
    <t>System IFE boitier</t>
  </si>
  <si>
    <t>élec atelier</t>
  </si>
  <si>
    <t>élec bureaux</t>
  </si>
  <si>
    <t>gaz atelier</t>
  </si>
  <si>
    <t>gaz bureaux</t>
  </si>
  <si>
    <t>papierassemblage</t>
  </si>
  <si>
    <t>30NCD6</t>
  </si>
  <si>
    <t>A2017</t>
  </si>
  <si>
    <t>A2024</t>
  </si>
  <si>
    <t>A5086</t>
  </si>
  <si>
    <t>Alu</t>
  </si>
  <si>
    <t>Ertalon</t>
  </si>
  <si>
    <t>inox</t>
  </si>
  <si>
    <t>alliage Cu</t>
  </si>
  <si>
    <t>Copolymere Lexan FST</t>
  </si>
  <si>
    <t>kydex</t>
  </si>
  <si>
    <t>FRMC55</t>
  </si>
  <si>
    <t>tissu</t>
  </si>
  <si>
    <t>velours</t>
  </si>
  <si>
    <t>velcro</t>
  </si>
  <si>
    <t>15CDV6</t>
  </si>
  <si>
    <t>cuir</t>
  </si>
  <si>
    <t>NIDA</t>
  </si>
  <si>
    <t>Résine BR623</t>
  </si>
  <si>
    <t>35NC6</t>
  </si>
  <si>
    <t>Polychloroprene</t>
  </si>
  <si>
    <t>AER film</t>
  </si>
  <si>
    <t>Z10CNT18</t>
  </si>
  <si>
    <t>caoutchouc</t>
  </si>
  <si>
    <t>A2075</t>
  </si>
  <si>
    <t>Silicone50 shore</t>
  </si>
  <si>
    <t>A6060</t>
  </si>
  <si>
    <t>Silicone</t>
  </si>
  <si>
    <t>EU-28: Kerosene / Jet A1 at refinery Sphera</t>
  </si>
  <si>
    <t>GLO: Cargo plane, 65 t payload Sphera &lt;u-so&gt;</t>
  </si>
  <si>
    <t>Nettoyage et désinfection</t>
  </si>
  <si>
    <t>Landfill Acier (11,54 kg)</t>
  </si>
  <si>
    <t>Landfill Aluminium (69,53 kg)</t>
  </si>
  <si>
    <t>Landfill DEEE (9,55 kg)</t>
  </si>
  <si>
    <t>landfill plastique (21,36 kg)</t>
  </si>
  <si>
    <t>landfill textile (2,34 kg)</t>
  </si>
  <si>
    <t>Credit Recyclage Acier</t>
  </si>
  <si>
    <t>Credit Recyclage Aluminium</t>
  </si>
  <si>
    <t>Credit Recyclage DEEE</t>
  </si>
  <si>
    <t>Credit Recyclage plastiques</t>
  </si>
  <si>
    <t>incinération Covers</t>
  </si>
  <si>
    <t>Incineration plastiques</t>
  </si>
  <si>
    <t>Mise en décharche Acier</t>
  </si>
  <si>
    <t>Mise en décharge Aluminium</t>
  </si>
  <si>
    <t>Mise en décharge DEEE</t>
  </si>
  <si>
    <t>Mise en décharge Plastiques</t>
  </si>
  <si>
    <t>Mise en décharge Textile</t>
  </si>
  <si>
    <t>Process recyclage Acier</t>
  </si>
  <si>
    <t>Process recyclage Alu</t>
  </si>
  <si>
    <t>Process recyclage DEEE</t>
  </si>
  <si>
    <t>Process recyclage Plastiques</t>
  </si>
  <si>
    <t>EF 3.0 Acidification [Mole of H+ eq.]</t>
  </si>
  <si>
    <t>EF 3.0 Climate Change - total [kg CO2 eq.]</t>
  </si>
  <si>
    <t>EF 3.0 Climate Change, biogenic [kg CO2 eq.]</t>
  </si>
  <si>
    <t>EF 3.0 Climate Change, fossil [kg CO2 eq.]</t>
  </si>
  <si>
    <t>EF 3.0 Climate Change, land use and land use change [kg CO2 eq.]</t>
  </si>
  <si>
    <t>EF 3.0 Ecotoxicity, freshwater - total [CTUe]</t>
  </si>
  <si>
    <t>EF 3.0 Ecotoxicity, freshwater inorganics [CTUe]</t>
  </si>
  <si>
    <t>EF 3.0 Ecotoxicity, freshwater metals [CTUe]</t>
  </si>
  <si>
    <t>EF 3.0 Ecotoxicity, freshwater organics [CTUe]</t>
  </si>
  <si>
    <t>EF 3.0 Eutrophication, freshwater [kg P eq.]</t>
  </si>
  <si>
    <t>EF 3.0 Eutrophication, marine [kg N eq.]</t>
  </si>
  <si>
    <t>EF 3.0 Eutrophication, terrestrial [Mole of N eq.]</t>
  </si>
  <si>
    <t>EF 3.0 Human toxicity, cancer - total [CTUh]</t>
  </si>
  <si>
    <t>EF 3.0 Human toxicity, cancer inorganics [CTUh]</t>
  </si>
  <si>
    <t>EF 3.0 Human toxicity, cancer metals [CTUh]</t>
  </si>
  <si>
    <t>EF 3.0 Human toxicity, cancer organics [CTUh]</t>
  </si>
  <si>
    <t>EF 3.0 Human toxicity, non-cancer - total [CTUh]</t>
  </si>
  <si>
    <t>EF 3.0 Human toxicity, non-cancer inorganics [CTUh]</t>
  </si>
  <si>
    <t>EF 3.0 Human toxicity, non-cancer metals [CTUh]</t>
  </si>
  <si>
    <t>EF 3.0 Human toxicity, non-cancer organics [CTUh]</t>
  </si>
  <si>
    <t>EF 3.0 Ionising radiation, human health [kBq U235 eq.]</t>
  </si>
  <si>
    <t>EF 3.0 Land Use [Pt]</t>
  </si>
  <si>
    <t>EF 3.0 Ozone depletion [kg CFC-11 eq.]</t>
  </si>
  <si>
    <t>EF 3.0 Particulate matter [Disease incidences]</t>
  </si>
  <si>
    <t>EF 3.0 Photochemical ozone formation, human health [kg NMVOC eq.]</t>
  </si>
  <si>
    <t>EF 3.0 Resource use, fossils [MJ]</t>
  </si>
  <si>
    <t>EF 3.0 Resource use, mineral and metals [kg Sb eq.]</t>
  </si>
  <si>
    <t>EF 3.0 Water use [m³ world equiv.]</t>
  </si>
  <si>
    <t>Utilisation</t>
  </si>
  <si>
    <t>EF 3.0 Acidification</t>
  </si>
  <si>
    <t>EF 3.0 Climate Change - total</t>
  </si>
  <si>
    <t>EF 3.0 Climate Change, biogenic</t>
  </si>
  <si>
    <t>EF 3.0 Climate Change, fossil</t>
  </si>
  <si>
    <t>EF 3.0 Climate Change, land use and land use change</t>
  </si>
  <si>
    <t>EF 3.0 Ecotoxicity, freshwater - total</t>
  </si>
  <si>
    <t>EF 3.0 Ecotoxicity, freshwater inorganics</t>
  </si>
  <si>
    <t>EF 3.0 Ecotoxicity, freshwater metals</t>
  </si>
  <si>
    <t>EF 3.0 Ecotoxicity, freshwater organics</t>
  </si>
  <si>
    <t>EF 3.0 Eutrophication, freshwater</t>
  </si>
  <si>
    <t>EF 3.0 Eutrophication, marine</t>
  </si>
  <si>
    <t>EF 3.0 Eutrophication, terrestrial</t>
  </si>
  <si>
    <t>EF 3.0 Human toxicity, cancer - total</t>
  </si>
  <si>
    <t>EF 3.0 Human toxicity, cancer inorganics</t>
  </si>
  <si>
    <t>EF 3.0 Human toxicity, cancer metals</t>
  </si>
  <si>
    <t>EF 3.0 Human toxicity, cancer organics</t>
  </si>
  <si>
    <t>EF 3.0 Human toxicity, non-cancer - total</t>
  </si>
  <si>
    <t>EF 3.0 Human toxicity, non-cancer inorganics</t>
  </si>
  <si>
    <t>EF 3.0 Human toxicity, non-cancer metals</t>
  </si>
  <si>
    <t>EF 3.0 Human toxicity, non-cancer organics</t>
  </si>
  <si>
    <t>EF 3.0 Ionising radiation, human health</t>
  </si>
  <si>
    <t>EF 3.0 Land Use</t>
  </si>
  <si>
    <t>EF 3.0 Ozone depletion</t>
  </si>
  <si>
    <t>EF 3.0 Particulate matter</t>
  </si>
  <si>
    <t>EF 3.0 Photochemical ozone formation, human health</t>
  </si>
  <si>
    <t>EF 3.0 Resource use, fossils</t>
  </si>
  <si>
    <t>EF 3.0 Resource use, mineral and metals</t>
  </si>
  <si>
    <t>EF 3.0 Water use</t>
  </si>
  <si>
    <t>Sans pondération</t>
  </si>
  <si>
    <t>EF3.0</t>
  </si>
  <si>
    <t>Facteur</t>
  </si>
  <si>
    <t>Climate change</t>
  </si>
  <si>
    <t>Ozone</t>
  </si>
  <si>
    <t>Cancer</t>
  </si>
  <si>
    <t>Non cancer</t>
  </si>
  <si>
    <t>Particulate</t>
  </si>
  <si>
    <t>Ionising</t>
  </si>
  <si>
    <t>Photochemical</t>
  </si>
  <si>
    <t>Minerals and metal</t>
  </si>
  <si>
    <t>Energy carrier ressource</t>
  </si>
  <si>
    <t>Water</t>
  </si>
  <si>
    <t>Freshwater ecotox</t>
  </si>
  <si>
    <t>Land use</t>
  </si>
  <si>
    <t>Marine Eutroph</t>
  </si>
  <si>
    <t>Freshwater Eutroph</t>
  </si>
  <si>
    <t>Terrestrial Eutroph</t>
  </si>
  <si>
    <t>Acidification</t>
  </si>
  <si>
    <t>Étiquettes de lignes</t>
  </si>
  <si>
    <t>Somme de EF 3.0 Climate Change - total</t>
  </si>
  <si>
    <t>Total général</t>
  </si>
  <si>
    <t>Score</t>
  </si>
  <si>
    <t>Scenario tout FR</t>
  </si>
  <si>
    <t>Scenario sans IFE Powerbox et Ecran</t>
  </si>
  <si>
    <t>Scenario 1kg de moins</t>
  </si>
  <si>
    <t>(Plusieurs éléments)</t>
  </si>
  <si>
    <t>Somme de Score</t>
  </si>
  <si>
    <t>Somme de Scenario 1kg de moins</t>
  </si>
  <si>
    <t>Somme de Scenario sans IFE Powerbox et Ecran</t>
  </si>
  <si>
    <t>Somme de EF 3.0 Resource use, fossils</t>
  </si>
  <si>
    <t>Somme de EF 3.0 Acidification</t>
  </si>
  <si>
    <t>NORMALISE</t>
  </si>
  <si>
    <t>PONDERE</t>
  </si>
  <si>
    <t>Impact total</t>
  </si>
  <si>
    <t>Impact sans phase d'utilisation</t>
  </si>
  <si>
    <t>Impact de la phase d'utilisation</t>
  </si>
  <si>
    <t>Ecotoxicity, freshwater - total</t>
  </si>
  <si>
    <t>Eutrophication, freshwater</t>
  </si>
  <si>
    <t>Human toxicity, cancer - total</t>
  </si>
  <si>
    <t>Human toxicity, non-cancer - total</t>
  </si>
  <si>
    <t>Resource use, fossils</t>
  </si>
  <si>
    <t>Resource use, mineral and metals</t>
  </si>
  <si>
    <t>Water use</t>
  </si>
  <si>
    <t>Contribution au changement climatique</t>
  </si>
  <si>
    <t>Sous-ensembles</t>
  </si>
  <si>
    <t>Lightning - Diodes</t>
  </si>
  <si>
    <t>Ens. porte</t>
  </si>
  <si>
    <t>Par cabine</t>
  </si>
  <si>
    <t>Total</t>
  </si>
  <si>
    <t>Fin de vie - recyclage</t>
  </si>
  <si>
    <t>Réduction d'impact</t>
  </si>
  <si>
    <t>Landfill</t>
  </si>
  <si>
    <t>Energies fossiles</t>
  </si>
  <si>
    <t>Matériau</t>
  </si>
  <si>
    <t>Impact par kg</t>
  </si>
  <si>
    <t>Nylon (dont plastique)</t>
  </si>
  <si>
    <t>Aluminium non défini</t>
  </si>
  <si>
    <t>ERTALON</t>
  </si>
  <si>
    <t>CAOUTCHOUC</t>
  </si>
  <si>
    <t>INOX</t>
  </si>
  <si>
    <t>COPOLIMER LEXAN FST 9705</t>
  </si>
  <si>
    <t>ACIER</t>
  </si>
  <si>
    <t>4140 (UNS G41400)</t>
  </si>
  <si>
    <t>POLYCHLOROPRENE</t>
  </si>
  <si>
    <t>KYDEX 5555</t>
  </si>
  <si>
    <t>PANNEAU_NIDA/LAMINA_EP12,7</t>
  </si>
  <si>
    <t>FILM DECOR AERFILM - Ep0.33 714g-m2</t>
  </si>
  <si>
    <t>Sous-système</t>
  </si>
  <si>
    <t>Composante</t>
  </si>
  <si>
    <t>Impact</t>
  </si>
  <si>
    <t>Lightning</t>
  </si>
  <si>
    <t>Masse</t>
  </si>
  <si>
    <t>Ratio</t>
  </si>
  <si>
    <t>Sans IFE</t>
  </si>
  <si>
    <t>109,967 kg</t>
  </si>
  <si>
    <t>Réduction d'impact - changement climatique</t>
  </si>
  <si>
    <t>Réduction d'impact relatif - changement climatique</t>
  </si>
  <si>
    <t>Climate change pondéré</t>
  </si>
  <si>
    <t>Sans IFE (-5,378kg)</t>
  </si>
  <si>
    <t>Landfill DEEE (4,172kg)</t>
  </si>
  <si>
    <t>Ecart</t>
  </si>
  <si>
    <t>ipad</t>
  </si>
  <si>
    <t>0,73kg</t>
  </si>
  <si>
    <t>Impact clim prod seule</t>
  </si>
  <si>
    <t>Tout en FR</t>
  </si>
  <si>
    <t>Réduction d'impact - changement climatique production seule</t>
  </si>
  <si>
    <t>Somme de EF 3.0 Ecotoxicity, freshwater - total</t>
  </si>
  <si>
    <t>Somme de EF 3.0 Eutrophication, freshwater</t>
  </si>
  <si>
    <t>Somme de EF 3.0 Eutrophication, marine</t>
  </si>
  <si>
    <t>Somme de EF 3.0 Eutrophication, terrestrial</t>
  </si>
  <si>
    <t>Somme de EF 3.0 Human toxicity, cancer - total</t>
  </si>
  <si>
    <t>Somme de EF 3.0 Ionising radiation, human health</t>
  </si>
  <si>
    <t>Somme de EF 3.0 Land Use</t>
  </si>
  <si>
    <t>Somme de EF 3.0 Ozone depletion</t>
  </si>
  <si>
    <t>Somme de EF 3.0 Particulate matter</t>
  </si>
  <si>
    <t>Somme de EF 3.0 Photochemical ozone formation, human health</t>
  </si>
  <si>
    <t>Somme de EF 3.0 Resource use, mineral and metals</t>
  </si>
  <si>
    <t>Somme de EF 3.0 Water use</t>
  </si>
  <si>
    <t>Somme de EF 3.0 Human toxicity, non-cancer - total</t>
  </si>
  <si>
    <t>Somme de Scenario tout FR</t>
  </si>
  <si>
    <t>(Tous)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</si>
</sst>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4" fontId="0" fillId="0" borderId="0" xfId="0" applyNumberFormat="1"/>
    <xf numFmtId="11" fontId="0" fillId="0" borderId="0" xfId="0" applyNumberForma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9" fontId="0" fillId="0" borderId="0" xfId="0" applyNumberFormat="1"/>
    <xf numFmtId="0" fontId="0" fillId="4" borderId="0" xfId="0" applyFill="1"/>
    <xf numFmtId="164" fontId="1" fillId="2" borderId="1" xfId="0" applyNumberFormat="1" applyFont="1" applyFill="1" applyBorder="1"/>
    <xf numFmtId="1" fontId="1" fillId="2" borderId="1" xfId="0" applyNumberFormat="1" applyFont="1" applyFill="1" applyBorder="1"/>
    <xf numFmtId="9" fontId="0" fillId="0" borderId="0" xfId="1" applyFont="1"/>
    <xf numFmtId="165" fontId="0" fillId="0" borderId="0" xfId="1" applyNumberFormat="1" applyFont="1"/>
    <xf numFmtId="0" fontId="4" fillId="0" borderId="0" xfId="0" applyFont="1"/>
    <xf numFmtId="165" fontId="0" fillId="0" borderId="0" xfId="0" applyNumberFormat="1"/>
    <xf numFmtId="0" fontId="0" fillId="0" borderId="0" xfId="0" applyAlignment="1">
      <alignment horizontal="left" indent="1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1" fontId="0" fillId="0" borderId="0" xfId="0" applyNumberFormat="1"/>
    <xf numFmtId="43" fontId="0" fillId="0" borderId="0" xfId="2" applyFont="1"/>
    <xf numFmtId="0" fontId="2" fillId="3" borderId="0" xfId="0" applyFont="1" applyFill="1" applyAlignment="1">
      <alignment horizontal="center" vertical="center"/>
    </xf>
  </cellXfs>
  <cellStyles count="3">
    <cellStyle name="Milliers" xfId="2" builtinId="3"/>
    <cellStyle name="Normal" xfId="0" builtinId="0"/>
    <cellStyle name="Pourcentag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[STELIA LCA SEATS v14022022v2.xlsx]Analyse perseq!Tableau croisé dynamique1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73776863911947E-2"/>
          <c:y val="0.16872026044681138"/>
          <c:w val="0.97072457803605783"/>
          <c:h val="0.775724791476537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'Analyse perseq'!$B$4</c:f>
              <c:strCache>
                <c:ptCount val="1"/>
                <c:pt idx="0">
                  <c:v>Somme de EF 3.0 Climate Change -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perseq'!$B$5:$B$120</c:f>
              <c:numCache>
                <c:formatCode>General</c:formatCode>
                <c:ptCount val="71"/>
                <c:pt idx="0">
                  <c:v>49.77</c:v>
                </c:pt>
                <c:pt idx="1">
                  <c:v>7.1800000000000003E-2</c:v>
                </c:pt>
                <c:pt idx="2">
                  <c:v>1.9900000000000001E-2</c:v>
                </c:pt>
                <c:pt idx="3">
                  <c:v>1.9516793986747601E-2</c:v>
                </c:pt>
                <c:pt idx="4">
                  <c:v>8.0700000000000008E-3</c:v>
                </c:pt>
                <c:pt idx="5">
                  <c:v>3.5900000000000001E-2</c:v>
                </c:pt>
                <c:pt idx="6">
                  <c:v>2.6599999999999999E-2</c:v>
                </c:pt>
                <c:pt idx="7">
                  <c:v>2.1499999999999998E-2</c:v>
                </c:pt>
                <c:pt idx="8">
                  <c:v>0.02</c:v>
                </c:pt>
                <c:pt idx="9">
                  <c:v>1.9599999999999999E-2</c:v>
                </c:pt>
                <c:pt idx="10">
                  <c:v>9.0319912222121997E-3</c:v>
                </c:pt>
                <c:pt idx="11">
                  <c:v>3.0752072211265502E-3</c:v>
                </c:pt>
                <c:pt idx="12">
                  <c:v>1.001E-2</c:v>
                </c:pt>
                <c:pt idx="13">
                  <c:v>7.4276758703553302E-3</c:v>
                </c:pt>
                <c:pt idx="14">
                  <c:v>1.97994501823319E-3</c:v>
                </c:pt>
                <c:pt idx="15">
                  <c:v>7.9000000000000008E-3</c:v>
                </c:pt>
                <c:pt idx="16">
                  <c:v>5.4000000000000003E-3</c:v>
                </c:pt>
                <c:pt idx="17">
                  <c:v>5.0299999999999997E-3</c:v>
                </c:pt>
                <c:pt idx="18">
                  <c:v>2.4202481897135399E-3</c:v>
                </c:pt>
                <c:pt idx="19">
                  <c:v>2.39470609212099E-3</c:v>
                </c:pt>
                <c:pt idx="20">
                  <c:v>4.5500000000000002E-3</c:v>
                </c:pt>
                <c:pt idx="21">
                  <c:v>2.7000000000000001E-3</c:v>
                </c:pt>
                <c:pt idx="22">
                  <c:v>1.72E-3</c:v>
                </c:pt>
                <c:pt idx="23">
                  <c:v>3.5400000000000002E-3</c:v>
                </c:pt>
                <c:pt idx="24">
                  <c:v>3.9399999999999998E-4</c:v>
                </c:pt>
                <c:pt idx="25">
                  <c:v>2.7100000000000002E-3</c:v>
                </c:pt>
                <c:pt idx="26">
                  <c:v>7.4200000000000004E-4</c:v>
                </c:pt>
                <c:pt idx="27">
                  <c:v>1.6900000000000001E-3</c:v>
                </c:pt>
                <c:pt idx="28">
                  <c:v>1.2999999999999999E-3</c:v>
                </c:pt>
                <c:pt idx="29">
                  <c:v>2.89948301390327E-3</c:v>
                </c:pt>
                <c:pt idx="30">
                  <c:v>2.0699999999999998E-3</c:v>
                </c:pt>
                <c:pt idx="31">
                  <c:v>4.9469494086293796E-4</c:v>
                </c:pt>
                <c:pt idx="32">
                  <c:v>2.4099999999999998E-3</c:v>
                </c:pt>
                <c:pt idx="33">
                  <c:v>2.3600000000000001E-3</c:v>
                </c:pt>
                <c:pt idx="34">
                  <c:v>2.1199999999999999E-3</c:v>
                </c:pt>
                <c:pt idx="35">
                  <c:v>1.64E-3</c:v>
                </c:pt>
                <c:pt idx="36">
                  <c:v>1.16E-3</c:v>
                </c:pt>
                <c:pt idx="37">
                  <c:v>4.6299999999999998E-4</c:v>
                </c:pt>
                <c:pt idx="38">
                  <c:v>1.1299999999999999E-3</c:v>
                </c:pt>
                <c:pt idx="39">
                  <c:v>4.6999999999999999E-4</c:v>
                </c:pt>
                <c:pt idx="40">
                  <c:v>1.14E-3</c:v>
                </c:pt>
                <c:pt idx="41">
                  <c:v>3.9500000000000001E-4</c:v>
                </c:pt>
                <c:pt idx="42">
                  <c:v>8.8099999999999995E-4</c:v>
                </c:pt>
                <c:pt idx="43">
                  <c:v>4.5600000000000003E-4</c:v>
                </c:pt>
                <c:pt idx="44">
                  <c:v>6.7699999999999998E-4</c:v>
                </c:pt>
                <c:pt idx="45">
                  <c:v>4.8799999999999999E-4</c:v>
                </c:pt>
                <c:pt idx="46">
                  <c:v>6.6399999999999999E-4</c:v>
                </c:pt>
                <c:pt idx="47">
                  <c:v>2.6699999999999998E-4</c:v>
                </c:pt>
                <c:pt idx="48">
                  <c:v>2.0799999999999999E-4</c:v>
                </c:pt>
                <c:pt idx="49">
                  <c:v>5.2305182511992005E-4</c:v>
                </c:pt>
                <c:pt idx="50">
                  <c:v>4.9299999999999995E-4</c:v>
                </c:pt>
                <c:pt idx="51">
                  <c:v>3.3991604932999799E-4</c:v>
                </c:pt>
                <c:pt idx="52">
                  <c:v>2.7E-4</c:v>
                </c:pt>
                <c:pt idx="53">
                  <c:v>1.73E-4</c:v>
                </c:pt>
                <c:pt idx="54">
                  <c:v>5.2825269635641795E-4</c:v>
                </c:pt>
                <c:pt idx="55">
                  <c:v>2.1499999999999999E-4</c:v>
                </c:pt>
                <c:pt idx="56">
                  <c:v>4.6538776175541699E-4</c:v>
                </c:pt>
                <c:pt idx="57">
                  <c:v>1.3300000000000001E-4</c:v>
                </c:pt>
                <c:pt idx="58">
                  <c:v>4.9100000000000001E-4</c:v>
                </c:pt>
                <c:pt idx="59">
                  <c:v>9.1199999999999994E-5</c:v>
                </c:pt>
                <c:pt idx="60">
                  <c:v>5.2300000000000003E-4</c:v>
                </c:pt>
                <c:pt idx="61">
                  <c:v>4.7472979754445898E-4</c:v>
                </c:pt>
                <c:pt idx="62">
                  <c:v>1.46E-4</c:v>
                </c:pt>
                <c:pt idx="63">
                  <c:v>7.2999999999999999E-5</c:v>
                </c:pt>
                <c:pt idx="64">
                  <c:v>3.0000000000000001E-5</c:v>
                </c:pt>
                <c:pt idx="65">
                  <c:v>2.69E-5</c:v>
                </c:pt>
                <c:pt idx="66">
                  <c:v>1.2400000000000001E-4</c:v>
                </c:pt>
                <c:pt idx="67">
                  <c:v>2.02E-5</c:v>
                </c:pt>
                <c:pt idx="68">
                  <c:v>1.08E-5</c:v>
                </c:pt>
                <c:pt idx="69">
                  <c:v>1.2500000000000001E-5</c:v>
                </c:pt>
                <c:pt idx="70">
                  <c:v>1.08E-5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7E-4683-8C52-7DBAF6E012CC}"/>
            </c:ext>
          </c:extLst>
        </c:ser>
        <c:ser>
          <c:idx val="1"/>
          <c:order val="1"/>
          <c:tx>
            <c:strRef>
              <c:f>'Analyse perseq'!$C$4</c:f>
              <c:strCache>
                <c:ptCount val="1"/>
                <c:pt idx="0">
                  <c:v>Somme de EF 3.0 Acidification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perseq'!$C$5:$C$120</c:f>
              <c:numCache>
                <c:formatCode>General</c:formatCode>
                <c:ptCount val="71"/>
                <c:pt idx="0">
                  <c:v>29.610000000000003</c:v>
                </c:pt>
                <c:pt idx="1">
                  <c:v>2.2599999999999999E-2</c:v>
                </c:pt>
                <c:pt idx="2">
                  <c:v>1.4E-2</c:v>
                </c:pt>
                <c:pt idx="3">
                  <c:v>1.1376388876175699E-2</c:v>
                </c:pt>
                <c:pt idx="4">
                  <c:v>5.7299999999999999E-3</c:v>
                </c:pt>
                <c:pt idx="5">
                  <c:v>3.8300000000000001E-2</c:v>
                </c:pt>
                <c:pt idx="6">
                  <c:v>2.2599999999999999E-2</c:v>
                </c:pt>
                <c:pt idx="7">
                  <c:v>2.3900000000000001E-2</c:v>
                </c:pt>
                <c:pt idx="8">
                  <c:v>1.3599999999999999E-2</c:v>
                </c:pt>
                <c:pt idx="9">
                  <c:v>1.2800000000000001E-2</c:v>
                </c:pt>
                <c:pt idx="10">
                  <c:v>5.4346719461876103E-3</c:v>
                </c:pt>
                <c:pt idx="11">
                  <c:v>1.9809641217232001E-3</c:v>
                </c:pt>
                <c:pt idx="12">
                  <c:v>8.1899999999999994E-3</c:v>
                </c:pt>
                <c:pt idx="13">
                  <c:v>4.7983342173839403E-3</c:v>
                </c:pt>
                <c:pt idx="14">
                  <c:v>1.37620093710562E-3</c:v>
                </c:pt>
                <c:pt idx="15">
                  <c:v>5.64E-3</c:v>
                </c:pt>
                <c:pt idx="16">
                  <c:v>5.6800000000000002E-3</c:v>
                </c:pt>
                <c:pt idx="17">
                  <c:v>3.3700000000000002E-3</c:v>
                </c:pt>
                <c:pt idx="18">
                  <c:v>2.1078160836920001E-3</c:v>
                </c:pt>
                <c:pt idx="19">
                  <c:v>1.4514848173658001E-3</c:v>
                </c:pt>
                <c:pt idx="20">
                  <c:v>2.9299999999999999E-3</c:v>
                </c:pt>
                <c:pt idx="21">
                  <c:v>3.0500000000000002E-3</c:v>
                </c:pt>
                <c:pt idx="22">
                  <c:v>1E-3</c:v>
                </c:pt>
                <c:pt idx="23">
                  <c:v>2.3700000000000001E-3</c:v>
                </c:pt>
                <c:pt idx="24">
                  <c:v>2.5399999999999999E-4</c:v>
                </c:pt>
                <c:pt idx="25">
                  <c:v>1.0300000000000001E-3</c:v>
                </c:pt>
                <c:pt idx="26">
                  <c:v>3.97E-4</c:v>
                </c:pt>
                <c:pt idx="27">
                  <c:v>1.66E-4</c:v>
                </c:pt>
                <c:pt idx="28">
                  <c:v>4.44E-4</c:v>
                </c:pt>
                <c:pt idx="29">
                  <c:v>1.8084672803348001E-3</c:v>
                </c:pt>
                <c:pt idx="30">
                  <c:v>7.43E-3</c:v>
                </c:pt>
                <c:pt idx="31">
                  <c:v>1.8032929712351401E-4</c:v>
                </c:pt>
                <c:pt idx="32">
                  <c:v>1.5499999999999999E-3</c:v>
                </c:pt>
                <c:pt idx="33">
                  <c:v>9.3899999999999995E-4</c:v>
                </c:pt>
                <c:pt idx="34">
                  <c:v>7.6400000000000001E-3</c:v>
                </c:pt>
                <c:pt idx="35">
                  <c:v>9.2400000000000002E-4</c:v>
                </c:pt>
                <c:pt idx="36">
                  <c:v>7.5000000000000002E-4</c:v>
                </c:pt>
                <c:pt idx="37">
                  <c:v>2.4800000000000001E-4</c:v>
                </c:pt>
                <c:pt idx="38">
                  <c:v>3.9300000000000001E-4</c:v>
                </c:pt>
                <c:pt idx="39">
                  <c:v>1.8100000000000001E-4</c:v>
                </c:pt>
                <c:pt idx="40">
                  <c:v>4.1099999999999999E-3</c:v>
                </c:pt>
                <c:pt idx="41">
                  <c:v>1.44E-4</c:v>
                </c:pt>
                <c:pt idx="42">
                  <c:v>3.1700000000000001E-3</c:v>
                </c:pt>
                <c:pt idx="43">
                  <c:v>1.66E-4</c:v>
                </c:pt>
                <c:pt idx="44">
                  <c:v>6.2799999999999998E-4</c:v>
                </c:pt>
                <c:pt idx="45">
                  <c:v>2.8400000000000002E-4</c:v>
                </c:pt>
                <c:pt idx="46">
                  <c:v>3.8699999999999997E-4</c:v>
                </c:pt>
                <c:pt idx="47">
                  <c:v>1.02E-4</c:v>
                </c:pt>
                <c:pt idx="48">
                  <c:v>5.3699999999999997E-5</c:v>
                </c:pt>
                <c:pt idx="49">
                  <c:v>1.8814845050659299E-3</c:v>
                </c:pt>
                <c:pt idx="50">
                  <c:v>3.5399999999999999E-4</c:v>
                </c:pt>
                <c:pt idx="51">
                  <c:v>1.3107124527670099E-4</c:v>
                </c:pt>
                <c:pt idx="52">
                  <c:v>1.74E-4</c:v>
                </c:pt>
                <c:pt idx="53">
                  <c:v>1.12E-4</c:v>
                </c:pt>
                <c:pt idx="54">
                  <c:v>3.1000018300124301E-4</c:v>
                </c:pt>
                <c:pt idx="55">
                  <c:v>1.4200000000000001E-4</c:v>
                </c:pt>
                <c:pt idx="56">
                  <c:v>2.7335605265985802E-4</c:v>
                </c:pt>
                <c:pt idx="57">
                  <c:v>8.7700000000000004E-5</c:v>
                </c:pt>
                <c:pt idx="58">
                  <c:v>5.1400000000000003E-4</c:v>
                </c:pt>
                <c:pt idx="59">
                  <c:v>7.6600000000000005E-5</c:v>
                </c:pt>
                <c:pt idx="60">
                  <c:v>1.8799999999999999E-3</c:v>
                </c:pt>
                <c:pt idx="61">
                  <c:v>4.6060482663319699E-4</c:v>
                </c:pt>
                <c:pt idx="62">
                  <c:v>9.4199999999999999E-5</c:v>
                </c:pt>
                <c:pt idx="63">
                  <c:v>2.0299999999999999E-5</c:v>
                </c:pt>
                <c:pt idx="64">
                  <c:v>1.9400000000000001E-5</c:v>
                </c:pt>
                <c:pt idx="65">
                  <c:v>2.34E-5</c:v>
                </c:pt>
                <c:pt idx="66">
                  <c:v>7.9699999999999999E-5</c:v>
                </c:pt>
                <c:pt idx="67">
                  <c:v>7.79E-6</c:v>
                </c:pt>
                <c:pt idx="68">
                  <c:v>9.1700000000000003E-6</c:v>
                </c:pt>
                <c:pt idx="69">
                  <c:v>8.0499999999999992E-6</c:v>
                </c:pt>
                <c:pt idx="70">
                  <c:v>9.1700000000000003E-6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B-4EE3-AAE4-AC679CEB31D2}"/>
            </c:ext>
          </c:extLst>
        </c:ser>
        <c:ser>
          <c:idx val="2"/>
          <c:order val="2"/>
          <c:tx>
            <c:strRef>
              <c:f>'Analyse perseq'!$D$4</c:f>
              <c:strCache>
                <c:ptCount val="1"/>
                <c:pt idx="0">
                  <c:v>Somme de EF 3.0 Ecotoxicity, freshwater -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perseq'!$D$5:$D$120</c:f>
              <c:numCache>
                <c:formatCode>General</c:formatCode>
                <c:ptCount val="71"/>
                <c:pt idx="0">
                  <c:v>2.4570000000000002E-2</c:v>
                </c:pt>
                <c:pt idx="1">
                  <c:v>1.92</c:v>
                </c:pt>
                <c:pt idx="2">
                  <c:v>1.6400000000000001E-2</c:v>
                </c:pt>
                <c:pt idx="3">
                  <c:v>3.6414670740132299E-2</c:v>
                </c:pt>
                <c:pt idx="4">
                  <c:v>7.0099999999999997E-3</c:v>
                </c:pt>
                <c:pt idx="5">
                  <c:v>0.96199999999999997</c:v>
                </c:pt>
                <c:pt idx="6">
                  <c:v>0.13700000000000001</c:v>
                </c:pt>
                <c:pt idx="7">
                  <c:v>0.13500000000000001</c:v>
                </c:pt>
                <c:pt idx="8">
                  <c:v>1.6799999999999999E-2</c:v>
                </c:pt>
                <c:pt idx="9">
                  <c:v>1.6899999999999998E-2</c:v>
                </c:pt>
                <c:pt idx="10">
                  <c:v>7.1205287464126202E-3</c:v>
                </c:pt>
                <c:pt idx="11">
                  <c:v>2.3752714877276998E-3</c:v>
                </c:pt>
                <c:pt idx="12">
                  <c:v>3.8289999999999998E-2</c:v>
                </c:pt>
                <c:pt idx="13">
                  <c:v>6.1295105198592801E-3</c:v>
                </c:pt>
                <c:pt idx="14">
                  <c:v>1.67874976879762E-3</c:v>
                </c:pt>
                <c:pt idx="15">
                  <c:v>6.9699999999999996E-3</c:v>
                </c:pt>
                <c:pt idx="16">
                  <c:v>0.14899999999999999</c:v>
                </c:pt>
                <c:pt idx="17">
                  <c:v>4.2399999999999998E-3</c:v>
                </c:pt>
                <c:pt idx="18">
                  <c:v>4.5296966655507202E-3</c:v>
                </c:pt>
                <c:pt idx="19">
                  <c:v>4.2796098176475202E-3</c:v>
                </c:pt>
                <c:pt idx="20">
                  <c:v>3.5200000000000001E-3</c:v>
                </c:pt>
                <c:pt idx="21">
                  <c:v>1.92</c:v>
                </c:pt>
                <c:pt idx="22">
                  <c:v>3.2100000000000002E-3</c:v>
                </c:pt>
                <c:pt idx="23">
                  <c:v>3.0899999999999999E-3</c:v>
                </c:pt>
                <c:pt idx="24">
                  <c:v>3.0200000000000002E-4</c:v>
                </c:pt>
                <c:pt idx="25">
                  <c:v>1.4800000000000001E-2</c:v>
                </c:pt>
                <c:pt idx="26">
                  <c:v>1.1999999999999999E-3</c:v>
                </c:pt>
                <c:pt idx="27">
                  <c:v>3.9199999999999997E-5</c:v>
                </c:pt>
                <c:pt idx="28">
                  <c:v>9.5999999999999992E-3</c:v>
                </c:pt>
                <c:pt idx="29">
                  <c:v>2.6079665697598198E-3</c:v>
                </c:pt>
                <c:pt idx="30">
                  <c:v>2.4199999999999998E-3</c:v>
                </c:pt>
                <c:pt idx="31">
                  <c:v>2.20816922084095E-3</c:v>
                </c:pt>
                <c:pt idx="32">
                  <c:v>1.8400000000000001E-3</c:v>
                </c:pt>
                <c:pt idx="33">
                  <c:v>4.1000000000000003E-3</c:v>
                </c:pt>
                <c:pt idx="34">
                  <c:v>2.48E-3</c:v>
                </c:pt>
                <c:pt idx="35">
                  <c:v>2.0899999999999998E-3</c:v>
                </c:pt>
                <c:pt idx="36">
                  <c:v>8.8999999999999995E-4</c:v>
                </c:pt>
                <c:pt idx="37">
                  <c:v>4.1399999999999998E-4</c:v>
                </c:pt>
                <c:pt idx="38">
                  <c:v>2.2200000000000001E-2</c:v>
                </c:pt>
                <c:pt idx="39">
                  <c:v>1.5200000000000001E-4</c:v>
                </c:pt>
                <c:pt idx="40">
                  <c:v>1.33E-3</c:v>
                </c:pt>
                <c:pt idx="41">
                  <c:v>1.7600000000000001E-3</c:v>
                </c:pt>
                <c:pt idx="42">
                  <c:v>1.0300000000000001E-3</c:v>
                </c:pt>
                <c:pt idx="43">
                  <c:v>2.0300000000000001E-3</c:v>
                </c:pt>
                <c:pt idx="44">
                  <c:v>0.01</c:v>
                </c:pt>
                <c:pt idx="45">
                  <c:v>9.1E-4</c:v>
                </c:pt>
                <c:pt idx="46">
                  <c:v>1.24E-3</c:v>
                </c:pt>
                <c:pt idx="47">
                  <c:v>8.3200000000000003E-5</c:v>
                </c:pt>
                <c:pt idx="48">
                  <c:v>3.4499999999999998E-4</c:v>
                </c:pt>
                <c:pt idx="49">
                  <c:v>6.1158557635909E-4</c:v>
                </c:pt>
                <c:pt idx="50">
                  <c:v>4.15E-4</c:v>
                </c:pt>
                <c:pt idx="51">
                  <c:v>7.68905504984407E-4</c:v>
                </c:pt>
                <c:pt idx="52">
                  <c:v>2.0599999999999999E-4</c:v>
                </c:pt>
                <c:pt idx="53">
                  <c:v>1.4899999999999999E-4</c:v>
                </c:pt>
                <c:pt idx="54">
                  <c:v>9.8566197101033494E-4</c:v>
                </c:pt>
                <c:pt idx="55">
                  <c:v>1.6200000000000001E-4</c:v>
                </c:pt>
                <c:pt idx="56">
                  <c:v>8.6836781418571395E-4</c:v>
                </c:pt>
                <c:pt idx="57">
                  <c:v>1E-4</c:v>
                </c:pt>
                <c:pt idx="58">
                  <c:v>4.4200000000000001E-4</c:v>
                </c:pt>
                <c:pt idx="59">
                  <c:v>1.7899999999999999E-4</c:v>
                </c:pt>
                <c:pt idx="60">
                  <c:v>6.1200000000000002E-4</c:v>
                </c:pt>
                <c:pt idx="61">
                  <c:v>5.4613708845507099E-4</c:v>
                </c:pt>
                <c:pt idx="62">
                  <c:v>1.12E-4</c:v>
                </c:pt>
                <c:pt idx="63">
                  <c:v>1.6899999999999999E-4</c:v>
                </c:pt>
                <c:pt idx="64">
                  <c:v>2.3200000000000001E-5</c:v>
                </c:pt>
                <c:pt idx="65">
                  <c:v>5.0300000000000003E-5</c:v>
                </c:pt>
                <c:pt idx="66">
                  <c:v>9.4599999999999996E-5</c:v>
                </c:pt>
                <c:pt idx="67">
                  <c:v>4.57E-5</c:v>
                </c:pt>
                <c:pt idx="68">
                  <c:v>2.1699999999999999E-5</c:v>
                </c:pt>
                <c:pt idx="69">
                  <c:v>9.5599999999999999E-6</c:v>
                </c:pt>
                <c:pt idx="70">
                  <c:v>2.1699999999999999E-5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5B-4EE3-AAE4-AC679CEB31D2}"/>
            </c:ext>
          </c:extLst>
        </c:ser>
        <c:ser>
          <c:idx val="3"/>
          <c:order val="3"/>
          <c:tx>
            <c:strRef>
              <c:f>'Analyse perseq'!$E$4</c:f>
              <c:strCache>
                <c:ptCount val="1"/>
                <c:pt idx="0">
                  <c:v>Somme de EF 3.0 Eutrophication, freshwater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perseq'!$E$5:$E$120</c:f>
              <c:numCache>
                <c:formatCode>General</c:formatCode>
                <c:ptCount val="71"/>
                <c:pt idx="0">
                  <c:v>0</c:v>
                </c:pt>
                <c:pt idx="1">
                  <c:v>0.753</c:v>
                </c:pt>
                <c:pt idx="2">
                  <c:v>3.0699999999999998E-4</c:v>
                </c:pt>
                <c:pt idx="3">
                  <c:v>1.5908496775473301E-5</c:v>
                </c:pt>
                <c:pt idx="4">
                  <c:v>1.76E-4</c:v>
                </c:pt>
                <c:pt idx="5">
                  <c:v>0.376</c:v>
                </c:pt>
                <c:pt idx="6">
                  <c:v>7.3800000000000004E-2</c:v>
                </c:pt>
                <c:pt idx="7">
                  <c:v>0.13700000000000001</c:v>
                </c:pt>
                <c:pt idx="8">
                  <c:v>1.73E-4</c:v>
                </c:pt>
                <c:pt idx="9">
                  <c:v>3.6699999999999998E-4</c:v>
                </c:pt>
                <c:pt idx="10">
                  <c:v>8.2949805272972498E-5</c:v>
                </c:pt>
                <c:pt idx="11">
                  <c:v>6.5968168793732502E-6</c:v>
                </c:pt>
                <c:pt idx="12">
                  <c:v>4.3119999999999999E-2</c:v>
                </c:pt>
                <c:pt idx="13">
                  <c:v>8.0584504583261106E-5</c:v>
                </c:pt>
                <c:pt idx="14">
                  <c:v>1.62664138760845E-5</c:v>
                </c:pt>
                <c:pt idx="15">
                  <c:v>1.06E-4</c:v>
                </c:pt>
                <c:pt idx="16">
                  <c:v>5.79E-2</c:v>
                </c:pt>
                <c:pt idx="17">
                  <c:v>5.5999999999999999E-5</c:v>
                </c:pt>
                <c:pt idx="18">
                  <c:v>3.6165342157901699E-5</c:v>
                </c:pt>
                <c:pt idx="19">
                  <c:v>1.9492218365760601E-3</c:v>
                </c:pt>
                <c:pt idx="20">
                  <c:v>9.7599999999999997E-6</c:v>
                </c:pt>
                <c:pt idx="21">
                  <c:v>1.7299999999999999E-2</c:v>
                </c:pt>
                <c:pt idx="22">
                  <c:v>1.3999999999999999E-6</c:v>
                </c:pt>
                <c:pt idx="23">
                  <c:v>6.6299999999999999E-5</c:v>
                </c:pt>
                <c:pt idx="24">
                  <c:v>8.4E-7</c:v>
                </c:pt>
                <c:pt idx="25">
                  <c:v>9.01E-4</c:v>
                </c:pt>
                <c:pt idx="26">
                  <c:v>2.0100000000000001E-3</c:v>
                </c:pt>
                <c:pt idx="27">
                  <c:v>3.4499999999999998E-7</c:v>
                </c:pt>
                <c:pt idx="28">
                  <c:v>2.23E-5</c:v>
                </c:pt>
                <c:pt idx="29">
                  <c:v>9.5306980985787094E-5</c:v>
                </c:pt>
                <c:pt idx="30">
                  <c:v>2.5600000000000002E-3</c:v>
                </c:pt>
                <c:pt idx="31">
                  <c:v>1.6667157773702101E-5</c:v>
                </c:pt>
                <c:pt idx="32">
                  <c:v>5.13E-6</c:v>
                </c:pt>
                <c:pt idx="33">
                  <c:v>1.9400000000000001E-5</c:v>
                </c:pt>
                <c:pt idx="34">
                  <c:v>2.64E-3</c:v>
                </c:pt>
                <c:pt idx="35">
                  <c:v>5.4399999999999996E-6</c:v>
                </c:pt>
                <c:pt idx="36">
                  <c:v>2.48E-6</c:v>
                </c:pt>
                <c:pt idx="37">
                  <c:v>8.1699999999999997E-7</c:v>
                </c:pt>
                <c:pt idx="38">
                  <c:v>2.0000000000000001E-4</c:v>
                </c:pt>
                <c:pt idx="39">
                  <c:v>9.7699999999999992E-7</c:v>
                </c:pt>
                <c:pt idx="40">
                  <c:v>1.42E-3</c:v>
                </c:pt>
                <c:pt idx="41">
                  <c:v>1.33E-5</c:v>
                </c:pt>
                <c:pt idx="42">
                  <c:v>1.09E-3</c:v>
                </c:pt>
                <c:pt idx="43">
                  <c:v>1.5400000000000002E-5</c:v>
                </c:pt>
                <c:pt idx="44">
                  <c:v>3.8E-3</c:v>
                </c:pt>
                <c:pt idx="45">
                  <c:v>3.9700000000000002E-7</c:v>
                </c:pt>
                <c:pt idx="46">
                  <c:v>5.4099999999999999E-7</c:v>
                </c:pt>
                <c:pt idx="47">
                  <c:v>5.4700000000000001E-7</c:v>
                </c:pt>
                <c:pt idx="48">
                  <c:v>1.28E-6</c:v>
                </c:pt>
                <c:pt idx="49">
                  <c:v>6.49225870031607E-4</c:v>
                </c:pt>
                <c:pt idx="50">
                  <c:v>1.19E-6</c:v>
                </c:pt>
                <c:pt idx="51">
                  <c:v>8.42447014142636E-5</c:v>
                </c:pt>
                <c:pt idx="52">
                  <c:v>5.7400000000000003E-7</c:v>
                </c:pt>
                <c:pt idx="53">
                  <c:v>3.3699999999999999E-6</c:v>
                </c:pt>
                <c:pt idx="54">
                  <c:v>5.3263636400450196E-7</c:v>
                </c:pt>
                <c:pt idx="55">
                  <c:v>5.2399999999999998E-7</c:v>
                </c:pt>
                <c:pt idx="56">
                  <c:v>4.8139400267869003E-7</c:v>
                </c:pt>
                <c:pt idx="57">
                  <c:v>3.2300000000000002E-7</c:v>
                </c:pt>
                <c:pt idx="58">
                  <c:v>2.7399999999999999E-5</c:v>
                </c:pt>
                <c:pt idx="59">
                  <c:v>1.84E-4</c:v>
                </c:pt>
                <c:pt idx="60">
                  <c:v>6.4899999999999995E-4</c:v>
                </c:pt>
                <c:pt idx="61">
                  <c:v>3.3312838065919601E-6</c:v>
                </c:pt>
                <c:pt idx="62">
                  <c:v>3.1100000000000002E-7</c:v>
                </c:pt>
                <c:pt idx="63">
                  <c:v>6.46E-6</c:v>
                </c:pt>
                <c:pt idx="64">
                  <c:v>6.4399999999999994E-8</c:v>
                </c:pt>
                <c:pt idx="65">
                  <c:v>4.0200000000000003E-7</c:v>
                </c:pt>
                <c:pt idx="66">
                  <c:v>2.6300000000000001E-7</c:v>
                </c:pt>
                <c:pt idx="67">
                  <c:v>5.0100000000000003E-6</c:v>
                </c:pt>
                <c:pt idx="68">
                  <c:v>2.5599999999999999E-5</c:v>
                </c:pt>
                <c:pt idx="69">
                  <c:v>2.66E-8</c:v>
                </c:pt>
                <c:pt idx="70">
                  <c:v>2.5599999999999999E-5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5B-4EE3-AAE4-AC679CEB31D2}"/>
            </c:ext>
          </c:extLst>
        </c:ser>
        <c:ser>
          <c:idx val="4"/>
          <c:order val="4"/>
          <c:tx>
            <c:strRef>
              <c:f>'Analyse perseq'!$F$4</c:f>
              <c:strCache>
                <c:ptCount val="1"/>
                <c:pt idx="0">
                  <c:v>Somme de EF 3.0 Eutrophication, marine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perseq'!$F$5:$F$120</c:f>
              <c:numCache>
                <c:formatCode>General</c:formatCode>
                <c:ptCount val="71"/>
                <c:pt idx="0">
                  <c:v>40.74</c:v>
                </c:pt>
                <c:pt idx="1">
                  <c:v>5.0599999999999999E-2</c:v>
                </c:pt>
                <c:pt idx="2">
                  <c:v>5.9300000000000004E-3</c:v>
                </c:pt>
                <c:pt idx="3">
                  <c:v>1.46132846252875E-2</c:v>
                </c:pt>
                <c:pt idx="4">
                  <c:v>2.4099999999999998E-3</c:v>
                </c:pt>
                <c:pt idx="5">
                  <c:v>2.53E-2</c:v>
                </c:pt>
                <c:pt idx="6">
                  <c:v>1.32E-2</c:v>
                </c:pt>
                <c:pt idx="7">
                  <c:v>3.7499999999999999E-2</c:v>
                </c:pt>
                <c:pt idx="8">
                  <c:v>5.6100000000000004E-3</c:v>
                </c:pt>
                <c:pt idx="9">
                  <c:v>5.6800000000000002E-3</c:v>
                </c:pt>
                <c:pt idx="10">
                  <c:v>2.6123338687467999E-3</c:v>
                </c:pt>
                <c:pt idx="11">
                  <c:v>8.0896983148313797E-4</c:v>
                </c:pt>
                <c:pt idx="12">
                  <c:v>4.7949999999999998E-3</c:v>
                </c:pt>
                <c:pt idx="13">
                  <c:v>2.11895114823047E-3</c:v>
                </c:pt>
                <c:pt idx="14">
                  <c:v>5.5094908473922401E-4</c:v>
                </c:pt>
                <c:pt idx="15">
                  <c:v>2.2100000000000002E-3</c:v>
                </c:pt>
                <c:pt idx="16">
                  <c:v>3.8300000000000001E-3</c:v>
                </c:pt>
                <c:pt idx="17">
                  <c:v>1.42E-3</c:v>
                </c:pt>
                <c:pt idx="18">
                  <c:v>2.92837861855839E-3</c:v>
                </c:pt>
                <c:pt idx="19">
                  <c:v>1.3098192786805999E-3</c:v>
                </c:pt>
                <c:pt idx="20">
                  <c:v>1.1999999999999999E-3</c:v>
                </c:pt>
                <c:pt idx="21">
                  <c:v>1.1999999999999999E-3</c:v>
                </c:pt>
                <c:pt idx="22">
                  <c:v>1.2899999999999999E-3</c:v>
                </c:pt>
                <c:pt idx="23">
                  <c:v>1.0200000000000001E-3</c:v>
                </c:pt>
                <c:pt idx="24">
                  <c:v>1.0399999999999999E-4</c:v>
                </c:pt>
                <c:pt idx="25">
                  <c:v>8.5599999999999999E-4</c:v>
                </c:pt>
                <c:pt idx="26">
                  <c:v>9.8300000000000004E-5</c:v>
                </c:pt>
                <c:pt idx="27">
                  <c:v>2.14E-4</c:v>
                </c:pt>
                <c:pt idx="28">
                  <c:v>3.7399999999999998E-4</c:v>
                </c:pt>
                <c:pt idx="29">
                  <c:v>8.7190950011598305E-4</c:v>
                </c:pt>
                <c:pt idx="30">
                  <c:v>4.2100000000000002E-3</c:v>
                </c:pt>
                <c:pt idx="31">
                  <c:v>1.3585358475305499E-4</c:v>
                </c:pt>
                <c:pt idx="32">
                  <c:v>6.3299999999999999E-4</c:v>
                </c:pt>
                <c:pt idx="33">
                  <c:v>4.0299999999999998E-4</c:v>
                </c:pt>
                <c:pt idx="34">
                  <c:v>4.3299999999999996E-3</c:v>
                </c:pt>
                <c:pt idx="35">
                  <c:v>4.1599999999999997E-4</c:v>
                </c:pt>
                <c:pt idx="36">
                  <c:v>3.0600000000000001E-4</c:v>
                </c:pt>
                <c:pt idx="37">
                  <c:v>1.2E-4</c:v>
                </c:pt>
                <c:pt idx="38">
                  <c:v>3.4200000000000002E-4</c:v>
                </c:pt>
                <c:pt idx="39">
                  <c:v>1.18E-4</c:v>
                </c:pt>
                <c:pt idx="40">
                  <c:v>2.33E-3</c:v>
                </c:pt>
                <c:pt idx="41">
                  <c:v>1.08E-4</c:v>
                </c:pt>
                <c:pt idx="42">
                  <c:v>1.8E-3</c:v>
                </c:pt>
                <c:pt idx="43">
                  <c:v>1.25E-4</c:v>
                </c:pt>
                <c:pt idx="44">
                  <c:v>3.57E-4</c:v>
                </c:pt>
                <c:pt idx="45">
                  <c:v>3.6499999999999998E-4</c:v>
                </c:pt>
                <c:pt idx="46">
                  <c:v>4.9700000000000005E-4</c:v>
                </c:pt>
                <c:pt idx="47">
                  <c:v>6.6500000000000004E-5</c:v>
                </c:pt>
                <c:pt idx="48">
                  <c:v>5.5899999999999997E-5</c:v>
                </c:pt>
                <c:pt idx="49">
                  <c:v>1.06608081959485E-3</c:v>
                </c:pt>
                <c:pt idx="50">
                  <c:v>1.34E-4</c:v>
                </c:pt>
                <c:pt idx="51">
                  <c:v>8.83376967170679E-5</c:v>
                </c:pt>
                <c:pt idx="52">
                  <c:v>7.1000000000000005E-5</c:v>
                </c:pt>
                <c:pt idx="53">
                  <c:v>5.0399999999999999E-5</c:v>
                </c:pt>
                <c:pt idx="54">
                  <c:v>3.9886283835597898E-4</c:v>
                </c:pt>
                <c:pt idx="55">
                  <c:v>5.77E-5</c:v>
                </c:pt>
                <c:pt idx="56">
                  <c:v>3.5179244437127499E-4</c:v>
                </c:pt>
                <c:pt idx="57">
                  <c:v>3.5599999999999998E-5</c:v>
                </c:pt>
                <c:pt idx="58">
                  <c:v>1.8900000000000001E-4</c:v>
                </c:pt>
                <c:pt idx="59">
                  <c:v>4.7899999999999999E-5</c:v>
                </c:pt>
                <c:pt idx="60">
                  <c:v>1.07E-3</c:v>
                </c:pt>
                <c:pt idx="61">
                  <c:v>2.2598709520592499E-4</c:v>
                </c:pt>
                <c:pt idx="62">
                  <c:v>3.8399999999999998E-5</c:v>
                </c:pt>
                <c:pt idx="63">
                  <c:v>1.56E-5</c:v>
                </c:pt>
                <c:pt idx="64">
                  <c:v>7.9000000000000006E-6</c:v>
                </c:pt>
                <c:pt idx="65">
                  <c:v>3.2499999999999997E-5</c:v>
                </c:pt>
                <c:pt idx="66">
                  <c:v>3.2499999999999997E-5</c:v>
                </c:pt>
                <c:pt idx="67">
                  <c:v>5.2499999999999997E-6</c:v>
                </c:pt>
                <c:pt idx="68">
                  <c:v>5.9399999999999999E-6</c:v>
                </c:pt>
                <c:pt idx="69">
                  <c:v>3.2799999999999999E-6</c:v>
                </c:pt>
                <c:pt idx="70">
                  <c:v>5.9399999999999999E-6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5B-4EE3-AAE4-AC679CEB31D2}"/>
            </c:ext>
          </c:extLst>
        </c:ser>
        <c:ser>
          <c:idx val="5"/>
          <c:order val="5"/>
          <c:tx>
            <c:strRef>
              <c:f>'Analyse perseq'!$G$4</c:f>
              <c:strCache>
                <c:ptCount val="1"/>
                <c:pt idx="0">
                  <c:v>Somme de EF 3.0 Eutrophication, terrestrial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perseq'!$G$5:$G$120</c:f>
              <c:numCache>
                <c:formatCode>General</c:formatCode>
                <c:ptCount val="71"/>
                <c:pt idx="0">
                  <c:v>49.35</c:v>
                </c:pt>
                <c:pt idx="1">
                  <c:v>6.0999999999999999E-2</c:v>
                </c:pt>
                <c:pt idx="2">
                  <c:v>7.1500000000000001E-3</c:v>
                </c:pt>
                <c:pt idx="3">
                  <c:v>1.7697782760590801E-2</c:v>
                </c:pt>
                <c:pt idx="4">
                  <c:v>2.8999999999999998E-3</c:v>
                </c:pt>
                <c:pt idx="5">
                  <c:v>3.0499999999999999E-2</c:v>
                </c:pt>
                <c:pt idx="6">
                  <c:v>1.43E-2</c:v>
                </c:pt>
                <c:pt idx="7">
                  <c:v>1.5299999999999999E-2</c:v>
                </c:pt>
                <c:pt idx="8">
                  <c:v>6.7499999999999999E-3</c:v>
                </c:pt>
                <c:pt idx="9">
                  <c:v>6.8399999999999997E-3</c:v>
                </c:pt>
                <c:pt idx="10">
                  <c:v>3.1447407462523299E-3</c:v>
                </c:pt>
                <c:pt idx="11">
                  <c:v>9.7461772726216303E-4</c:v>
                </c:pt>
                <c:pt idx="12">
                  <c:v>4.4170000000000008E-3</c:v>
                </c:pt>
                <c:pt idx="13">
                  <c:v>2.55027178232813E-3</c:v>
                </c:pt>
                <c:pt idx="14">
                  <c:v>6.6291504620188599E-4</c:v>
                </c:pt>
                <c:pt idx="15">
                  <c:v>2.65E-3</c:v>
                </c:pt>
                <c:pt idx="16">
                  <c:v>4.6299999999999996E-3</c:v>
                </c:pt>
                <c:pt idx="17">
                  <c:v>1.7099999999999999E-3</c:v>
                </c:pt>
                <c:pt idx="18">
                  <c:v>3.5835799481722902E-3</c:v>
                </c:pt>
                <c:pt idx="19">
                  <c:v>1.42383843842543E-3</c:v>
                </c:pt>
                <c:pt idx="20">
                  <c:v>1.4400000000000001E-3</c:v>
                </c:pt>
                <c:pt idx="21">
                  <c:v>1.32E-3</c:v>
                </c:pt>
                <c:pt idx="22">
                  <c:v>1.56E-3</c:v>
                </c:pt>
                <c:pt idx="23">
                  <c:v>1.23E-3</c:v>
                </c:pt>
                <c:pt idx="24">
                  <c:v>1.25E-4</c:v>
                </c:pt>
                <c:pt idx="25">
                  <c:v>9.1399999999999999E-4</c:v>
                </c:pt>
                <c:pt idx="26">
                  <c:v>1.35E-4</c:v>
                </c:pt>
                <c:pt idx="27">
                  <c:v>2.61E-4</c:v>
                </c:pt>
                <c:pt idx="28">
                  <c:v>4.1300000000000001E-4</c:v>
                </c:pt>
                <c:pt idx="29">
                  <c:v>1.0496640622557E-3</c:v>
                </c:pt>
                <c:pt idx="30">
                  <c:v>1.03E-2</c:v>
                </c:pt>
                <c:pt idx="31">
                  <c:v>1.51818879501617E-4</c:v>
                </c:pt>
                <c:pt idx="32">
                  <c:v>7.6300000000000001E-4</c:v>
                </c:pt>
                <c:pt idx="33">
                  <c:v>4.8899999999999996E-4</c:v>
                </c:pt>
                <c:pt idx="34">
                  <c:v>1.06E-2</c:v>
                </c:pt>
                <c:pt idx="35">
                  <c:v>4.9299999999999995E-4</c:v>
                </c:pt>
                <c:pt idx="36">
                  <c:v>3.6900000000000002E-4</c:v>
                </c:pt>
                <c:pt idx="37">
                  <c:v>1.44E-4</c:v>
                </c:pt>
                <c:pt idx="38">
                  <c:v>3.3E-4</c:v>
                </c:pt>
                <c:pt idx="39">
                  <c:v>1.37E-4</c:v>
                </c:pt>
                <c:pt idx="40">
                  <c:v>5.7200000000000003E-3</c:v>
                </c:pt>
                <c:pt idx="41">
                  <c:v>1.21E-4</c:v>
                </c:pt>
                <c:pt idx="42">
                  <c:v>4.4099999999999999E-3</c:v>
                </c:pt>
                <c:pt idx="43">
                  <c:v>1.3999999999999999E-4</c:v>
                </c:pt>
                <c:pt idx="44">
                  <c:v>4.3100000000000001E-4</c:v>
                </c:pt>
                <c:pt idx="45">
                  <c:v>4.4200000000000001E-4</c:v>
                </c:pt>
                <c:pt idx="46">
                  <c:v>6.02E-4</c:v>
                </c:pt>
                <c:pt idx="47">
                  <c:v>7.75E-5</c:v>
                </c:pt>
                <c:pt idx="48">
                  <c:v>6.2899999999999997E-5</c:v>
                </c:pt>
                <c:pt idx="49">
                  <c:v>2.6189716084736199E-3</c:v>
                </c:pt>
                <c:pt idx="50">
                  <c:v>1.6200000000000001E-4</c:v>
                </c:pt>
                <c:pt idx="51">
                  <c:v>9.7807083532675399E-5</c:v>
                </c:pt>
                <c:pt idx="52">
                  <c:v>8.5500000000000005E-5</c:v>
                </c:pt>
                <c:pt idx="53">
                  <c:v>6.0600000000000003E-5</c:v>
                </c:pt>
                <c:pt idx="54">
                  <c:v>4.8316349421066002E-4</c:v>
                </c:pt>
                <c:pt idx="55">
                  <c:v>6.9499999999999995E-5</c:v>
                </c:pt>
                <c:pt idx="56">
                  <c:v>4.2615771976928799E-4</c:v>
                </c:pt>
                <c:pt idx="57">
                  <c:v>4.3000000000000002E-5</c:v>
                </c:pt>
                <c:pt idx="58">
                  <c:v>2.2499999999999999E-4</c:v>
                </c:pt>
                <c:pt idx="59">
                  <c:v>4.9299999999999999E-5</c:v>
                </c:pt>
                <c:pt idx="60">
                  <c:v>2.6199999999999999E-3</c:v>
                </c:pt>
                <c:pt idx="61">
                  <c:v>2.7149931501001701E-4</c:v>
                </c:pt>
                <c:pt idx="62">
                  <c:v>4.6300000000000001E-5</c:v>
                </c:pt>
                <c:pt idx="63">
                  <c:v>1.77E-5</c:v>
                </c:pt>
                <c:pt idx="64">
                  <c:v>9.5200000000000003E-6</c:v>
                </c:pt>
                <c:pt idx="65">
                  <c:v>3.9799999999999998E-5</c:v>
                </c:pt>
                <c:pt idx="66">
                  <c:v>3.9199999999999997E-5</c:v>
                </c:pt>
                <c:pt idx="67">
                  <c:v>5.8100000000000003E-6</c:v>
                </c:pt>
                <c:pt idx="68">
                  <c:v>6.1399999999999997E-6</c:v>
                </c:pt>
                <c:pt idx="69">
                  <c:v>3.9600000000000002E-6</c:v>
                </c:pt>
                <c:pt idx="70">
                  <c:v>6.1399999999999997E-6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5B-4EE3-AAE4-AC679CEB31D2}"/>
            </c:ext>
          </c:extLst>
        </c:ser>
        <c:ser>
          <c:idx val="6"/>
          <c:order val="6"/>
          <c:tx>
            <c:strRef>
              <c:f>'Analyse perseq'!$H$4</c:f>
              <c:strCache>
                <c:ptCount val="1"/>
                <c:pt idx="0">
                  <c:v>Somme de EF 3.0 Human toxicity, cancer - 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perseq'!$H$5:$H$120</c:f>
              <c:numCache>
                <c:formatCode>General</c:formatCode>
                <c:ptCount val="71"/>
                <c:pt idx="0">
                  <c:v>0</c:v>
                </c:pt>
                <c:pt idx="1">
                  <c:v>5.1299999999999998E-2</c:v>
                </c:pt>
                <c:pt idx="2">
                  <c:v>4.4200000000000003E-3</c:v>
                </c:pt>
                <c:pt idx="3">
                  <c:v>1.70496700340001E-3</c:v>
                </c:pt>
                <c:pt idx="4">
                  <c:v>1.8699999999999999E-3</c:v>
                </c:pt>
                <c:pt idx="5">
                  <c:v>2.5600000000000001E-2</c:v>
                </c:pt>
                <c:pt idx="6">
                  <c:v>5.6800000000000002E-3</c:v>
                </c:pt>
                <c:pt idx="7">
                  <c:v>7.9500000000000005E-3</c:v>
                </c:pt>
                <c:pt idx="8">
                  <c:v>4.6499999999999996E-3</c:v>
                </c:pt>
                <c:pt idx="9">
                  <c:v>4.3E-3</c:v>
                </c:pt>
                <c:pt idx="10">
                  <c:v>1.6889764554992299E-3</c:v>
                </c:pt>
                <c:pt idx="11">
                  <c:v>7.1585827102054898E-4</c:v>
                </c:pt>
                <c:pt idx="12">
                  <c:v>2.3869999999999998E-3</c:v>
                </c:pt>
                <c:pt idx="13">
                  <c:v>1.5815659845421499E-3</c:v>
                </c:pt>
                <c:pt idx="14">
                  <c:v>4.7650531374228102E-4</c:v>
                </c:pt>
                <c:pt idx="15">
                  <c:v>2E-3</c:v>
                </c:pt>
                <c:pt idx="16">
                  <c:v>3.8700000000000002E-3</c:v>
                </c:pt>
                <c:pt idx="17">
                  <c:v>1.14E-3</c:v>
                </c:pt>
                <c:pt idx="18">
                  <c:v>2.3147214514141501E-4</c:v>
                </c:pt>
                <c:pt idx="19">
                  <c:v>4.63626353459799E-4</c:v>
                </c:pt>
                <c:pt idx="20">
                  <c:v>1.06E-3</c:v>
                </c:pt>
                <c:pt idx="21">
                  <c:v>1.24E-3</c:v>
                </c:pt>
                <c:pt idx="22">
                  <c:v>1.4999999999999999E-4</c:v>
                </c:pt>
                <c:pt idx="23">
                  <c:v>8.0599999999999997E-4</c:v>
                </c:pt>
                <c:pt idx="24">
                  <c:v>9.1899999999999998E-5</c:v>
                </c:pt>
                <c:pt idx="25">
                  <c:v>4.7699999999999999E-4</c:v>
                </c:pt>
                <c:pt idx="26">
                  <c:v>5.0699999999999996E-4</c:v>
                </c:pt>
                <c:pt idx="27">
                  <c:v>8.1799999999999996E-5</c:v>
                </c:pt>
                <c:pt idx="28">
                  <c:v>2.5799999999999998E-4</c:v>
                </c:pt>
                <c:pt idx="29">
                  <c:v>5.9411842892046201E-4</c:v>
                </c:pt>
                <c:pt idx="30">
                  <c:v>1.15E-4</c:v>
                </c:pt>
                <c:pt idx="31">
                  <c:v>9.1911690091351205E-5</c:v>
                </c:pt>
                <c:pt idx="32">
                  <c:v>5.6099999999999998E-4</c:v>
                </c:pt>
                <c:pt idx="33">
                  <c:v>2.7799999999999998E-4</c:v>
                </c:pt>
                <c:pt idx="34">
                  <c:v>1.18E-4</c:v>
                </c:pt>
                <c:pt idx="35">
                  <c:v>3.5E-4</c:v>
                </c:pt>
                <c:pt idx="36">
                  <c:v>2.7099999999999997E-4</c:v>
                </c:pt>
                <c:pt idx="37">
                  <c:v>8.6399999999999999E-5</c:v>
                </c:pt>
                <c:pt idx="38">
                  <c:v>7.6999999999999996E-4</c:v>
                </c:pt>
                <c:pt idx="39">
                  <c:v>1.9400000000000001E-5</c:v>
                </c:pt>
                <c:pt idx="40">
                  <c:v>6.3600000000000001E-5</c:v>
                </c:pt>
                <c:pt idx="41">
                  <c:v>7.3399999999999995E-5</c:v>
                </c:pt>
                <c:pt idx="42">
                  <c:v>4.9100000000000001E-5</c:v>
                </c:pt>
                <c:pt idx="43">
                  <c:v>8.4699999999999999E-5</c:v>
                </c:pt>
                <c:pt idx="44">
                  <c:v>6.1399999999999996E-4</c:v>
                </c:pt>
                <c:pt idx="45">
                  <c:v>4.2599999999999999E-5</c:v>
                </c:pt>
                <c:pt idx="46">
                  <c:v>5.8E-5</c:v>
                </c:pt>
                <c:pt idx="47">
                  <c:v>1.0900000000000001E-5</c:v>
                </c:pt>
                <c:pt idx="48">
                  <c:v>2.23E-5</c:v>
                </c:pt>
                <c:pt idx="49">
                  <c:v>2.9165519352580601E-5</c:v>
                </c:pt>
                <c:pt idx="50">
                  <c:v>1.25E-4</c:v>
                </c:pt>
                <c:pt idx="51">
                  <c:v>6.1912707962748903E-5</c:v>
                </c:pt>
                <c:pt idx="52">
                  <c:v>6.2799999999999995E-5</c:v>
                </c:pt>
                <c:pt idx="53">
                  <c:v>3.7200000000000003E-5</c:v>
                </c:pt>
                <c:pt idx="54">
                  <c:v>4.6207425753465001E-5</c:v>
                </c:pt>
                <c:pt idx="55">
                  <c:v>4.9799999999999998E-5</c:v>
                </c:pt>
                <c:pt idx="56">
                  <c:v>4.0715609872312298E-5</c:v>
                </c:pt>
                <c:pt idx="57">
                  <c:v>3.0800000000000003E-5</c:v>
                </c:pt>
                <c:pt idx="58">
                  <c:v>7.1900000000000006E-2</c:v>
                </c:pt>
                <c:pt idx="59">
                  <c:v>1.59E-5</c:v>
                </c:pt>
                <c:pt idx="60">
                  <c:v>2.9200000000000002E-5</c:v>
                </c:pt>
                <c:pt idx="61">
                  <c:v>1.6556272019584199E-2</c:v>
                </c:pt>
                <c:pt idx="62">
                  <c:v>3.4E-5</c:v>
                </c:pt>
                <c:pt idx="63">
                  <c:v>2.5700000000000001E-5</c:v>
                </c:pt>
                <c:pt idx="64">
                  <c:v>6.99E-6</c:v>
                </c:pt>
                <c:pt idx="65">
                  <c:v>2.57E-6</c:v>
                </c:pt>
                <c:pt idx="66">
                  <c:v>2.8799999999999999E-5</c:v>
                </c:pt>
                <c:pt idx="67">
                  <c:v>3.6799999999999999E-6</c:v>
                </c:pt>
                <c:pt idx="68">
                  <c:v>1.9599999999999999E-6</c:v>
                </c:pt>
                <c:pt idx="69">
                  <c:v>2.9100000000000001E-6</c:v>
                </c:pt>
                <c:pt idx="70">
                  <c:v>1.9599999999999999E-6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5B-4EE3-AAE4-AC679CEB31D2}"/>
            </c:ext>
          </c:extLst>
        </c:ser>
        <c:ser>
          <c:idx val="7"/>
          <c:order val="7"/>
          <c:tx>
            <c:strRef>
              <c:f>'Analyse perseq'!$I$4</c:f>
              <c:strCache>
                <c:ptCount val="1"/>
                <c:pt idx="0">
                  <c:v>Somme de EF 3.0 Ionising radiation, human health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perseq'!$I$5:$I$120</c:f>
              <c:numCache>
                <c:formatCode>General</c:formatCode>
                <c:ptCount val="71"/>
                <c:pt idx="0">
                  <c:v>0</c:v>
                </c:pt>
                <c:pt idx="1">
                  <c:v>1.8441109428809301E-2</c:v>
                </c:pt>
                <c:pt idx="2">
                  <c:v>4.9538360518767404E-3</c:v>
                </c:pt>
                <c:pt idx="3">
                  <c:v>5.62256635734687E-5</c:v>
                </c:pt>
                <c:pt idx="4">
                  <c:v>2.0352879625466398E-3</c:v>
                </c:pt>
                <c:pt idx="5">
                  <c:v>9.2205547132198501E-3</c:v>
                </c:pt>
                <c:pt idx="6">
                  <c:v>6.2511745104175198E-3</c:v>
                </c:pt>
                <c:pt idx="7">
                  <c:v>1.0820115374394699E-2</c:v>
                </c:pt>
                <c:pt idx="8">
                  <c:v>6.0346766411061197E-3</c:v>
                </c:pt>
                <c:pt idx="9">
                  <c:v>6.1040439285536896E-3</c:v>
                </c:pt>
                <c:pt idx="10">
                  <c:v>3.1105859320342301E-3</c:v>
                </c:pt>
                <c:pt idx="11">
                  <c:v>8.2478958675919097E-4</c:v>
                </c:pt>
                <c:pt idx="12">
                  <c:v>8.539999999999999E-3</c:v>
                </c:pt>
                <c:pt idx="13">
                  <c:v>2.3698374060011299E-3</c:v>
                </c:pt>
                <c:pt idx="14">
                  <c:v>5.8124352013382897E-4</c:v>
                </c:pt>
                <c:pt idx="15">
                  <c:v>2.2122504705443902E-3</c:v>
                </c:pt>
                <c:pt idx="16">
                  <c:v>1.41280381048417E-3</c:v>
                </c:pt>
                <c:pt idx="17">
                  <c:v>1.53548095460157E-3</c:v>
                </c:pt>
                <c:pt idx="18">
                  <c:v>1.6399999999999999E-5</c:v>
                </c:pt>
                <c:pt idx="19">
                  <c:v>-1.48E-3</c:v>
                </c:pt>
                <c:pt idx="20">
                  <c:v>1.2205693501535901E-3</c:v>
                </c:pt>
                <c:pt idx="21">
                  <c:v>2.4106939362307398E-3</c:v>
                </c:pt>
                <c:pt idx="22">
                  <c:v>4.9620246261077801E-6</c:v>
                </c:pt>
                <c:pt idx="23">
                  <c:v>1.0714830056642399E-3</c:v>
                </c:pt>
                <c:pt idx="24">
                  <c:v>1.0599437158582E-4</c:v>
                </c:pt>
                <c:pt idx="25">
                  <c:v>1.54758703902777E-3</c:v>
                </c:pt>
                <c:pt idx="26">
                  <c:v>-7.9028418478319898E-4</c:v>
                </c:pt>
                <c:pt idx="27">
                  <c:v>7.9237430857528102E-6</c:v>
                </c:pt>
                <c:pt idx="28">
                  <c:v>1.64796342052075E-2</c:v>
                </c:pt>
                <c:pt idx="29">
                  <c:v>9.2387573167723898E-4</c:v>
                </c:pt>
                <c:pt idx="30">
                  <c:v>7.5293016030172306E-5</c:v>
                </c:pt>
                <c:pt idx="31">
                  <c:v>4.0970949439484202E-5</c:v>
                </c:pt>
                <c:pt idx="32">
                  <c:v>6.4669983676411702E-4</c:v>
                </c:pt>
                <c:pt idx="33">
                  <c:v>1.3226414116439099E-4</c:v>
                </c:pt>
                <c:pt idx="34">
                  <c:v>7.7399114380666595E-5</c:v>
                </c:pt>
                <c:pt idx="35">
                  <c:v>3.7272849255165399E-4</c:v>
                </c:pt>
                <c:pt idx="36">
                  <c:v>3.1228088590632401E-4</c:v>
                </c:pt>
                <c:pt idx="37">
                  <c:v>1.9550512883425799E-4</c:v>
                </c:pt>
                <c:pt idx="38">
                  <c:v>5.6434080910387297E-4</c:v>
                </c:pt>
                <c:pt idx="39">
                  <c:v>2.9904269138007799E-5</c:v>
                </c:pt>
                <c:pt idx="40">
                  <c:v>4.1600000000000002E-5</c:v>
                </c:pt>
                <c:pt idx="41">
                  <c:v>3.2700000000000002E-5</c:v>
                </c:pt>
                <c:pt idx="42">
                  <c:v>3.21179998450385E-5</c:v>
                </c:pt>
                <c:pt idx="43">
                  <c:v>3.7741342059286498E-5</c:v>
                </c:pt>
                <c:pt idx="44">
                  <c:v>1.3491189735019901E-4</c:v>
                </c:pt>
                <c:pt idx="45">
                  <c:v>1.40449950554538E-6</c:v>
                </c:pt>
                <c:pt idx="46">
                  <c:v>1.9118921929962699E-6</c:v>
                </c:pt>
                <c:pt idx="47">
                  <c:v>8.0112033327005507E-6</c:v>
                </c:pt>
                <c:pt idx="48">
                  <c:v>1.87094820399915E-5</c:v>
                </c:pt>
                <c:pt idx="49">
                  <c:v>1.9060190071973701E-5</c:v>
                </c:pt>
                <c:pt idx="50">
                  <c:v>1.4012889602697299E-4</c:v>
                </c:pt>
                <c:pt idx="51">
                  <c:v>2.3997893211804899E-4</c:v>
                </c:pt>
                <c:pt idx="52">
                  <c:v>7.2451848932079501E-5</c:v>
                </c:pt>
                <c:pt idx="53">
                  <c:v>5.4569365191645599E-5</c:v>
                </c:pt>
                <c:pt idx="54">
                  <c:v>1.55008365197197E-6</c:v>
                </c:pt>
                <c:pt idx="55">
                  <c:v>5.3103430106107302E-5</c:v>
                </c:pt>
                <c:pt idx="56">
                  <c:v>1.36897692584451E-6</c:v>
                </c:pt>
                <c:pt idx="57">
                  <c:v>3.2799688026595402E-5</c:v>
                </c:pt>
                <c:pt idx="58">
                  <c:v>0</c:v>
                </c:pt>
                <c:pt idx="59">
                  <c:v>4.07977312569363E-5</c:v>
                </c:pt>
                <c:pt idx="60">
                  <c:v>1.9060190071973701E-5</c:v>
                </c:pt>
                <c:pt idx="61">
                  <c:v>4.3128103589112898E-5</c:v>
                </c:pt>
                <c:pt idx="62">
                  <c:v>3.9244751504876401E-5</c:v>
                </c:pt>
                <c:pt idx="63">
                  <c:v>3.3099999999999998E-5</c:v>
                </c:pt>
                <c:pt idx="64">
                  <c:v>8.0600000000000008E-6</c:v>
                </c:pt>
                <c:pt idx="65">
                  <c:v>1.8300000000000001E-7</c:v>
                </c:pt>
                <c:pt idx="66">
                  <c:v>3.3207097427203101E-5</c:v>
                </c:pt>
                <c:pt idx="67">
                  <c:v>1.42623137951295E-5</c:v>
                </c:pt>
                <c:pt idx="68">
                  <c:v>4.5491250475297396E-6</c:v>
                </c:pt>
                <c:pt idx="69">
                  <c:v>3.3542522653740499E-6</c:v>
                </c:pt>
                <c:pt idx="70">
                  <c:v>4.5491250475297396E-6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5B-4EE3-AAE4-AC679CEB31D2}"/>
            </c:ext>
          </c:extLst>
        </c:ser>
        <c:ser>
          <c:idx val="8"/>
          <c:order val="8"/>
          <c:tx>
            <c:strRef>
              <c:f>'Analyse perseq'!$J$4</c:f>
              <c:strCache>
                <c:ptCount val="1"/>
                <c:pt idx="0">
                  <c:v>Somme de EF 3.0 Land Use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perseq'!$J$5:$J$120</c:f>
              <c:numCache>
                <c:formatCode>General</c:formatCode>
                <c:ptCount val="71"/>
                <c:pt idx="0">
                  <c:v>0</c:v>
                </c:pt>
                <c:pt idx="1">
                  <c:v>4.2696085518088497E-3</c:v>
                </c:pt>
                <c:pt idx="2">
                  <c:v>4.4090427555613498E-4</c:v>
                </c:pt>
                <c:pt idx="3">
                  <c:v>5.2955184414799101E-6</c:v>
                </c:pt>
                <c:pt idx="4">
                  <c:v>1.83577055266748E-4</c:v>
                </c:pt>
                <c:pt idx="5">
                  <c:v>2.1348042759044301E-3</c:v>
                </c:pt>
                <c:pt idx="6">
                  <c:v>1.38530361098631E-3</c:v>
                </c:pt>
                <c:pt idx="7">
                  <c:v>2.9010161230867302E-4</c:v>
                </c:pt>
                <c:pt idx="8">
                  <c:v>3.2270698753541501E-4</c:v>
                </c:pt>
                <c:pt idx="9">
                  <c:v>3.6409693487992099E-4</c:v>
                </c:pt>
                <c:pt idx="10">
                  <c:v>1.4714308257238699E-4</c:v>
                </c:pt>
                <c:pt idx="11">
                  <c:v>3.0015136982454801E-5</c:v>
                </c:pt>
                <c:pt idx="12">
                  <c:v>1.3930000000000001E-3</c:v>
                </c:pt>
                <c:pt idx="13">
                  <c:v>1.2380039816932301E-4</c:v>
                </c:pt>
                <c:pt idx="14">
                  <c:v>3.1706001416583198E-5</c:v>
                </c:pt>
                <c:pt idx="15">
                  <c:v>1.36314123298462E-4</c:v>
                </c:pt>
                <c:pt idx="16">
                  <c:v>3.2814889831824802E-4</c:v>
                </c:pt>
                <c:pt idx="17">
                  <c:v>8.4119563454764101E-5</c:v>
                </c:pt>
                <c:pt idx="18">
                  <c:v>1.0900000000000001E-4</c:v>
                </c:pt>
                <c:pt idx="19">
                  <c:v>1.34E-2</c:v>
                </c:pt>
                <c:pt idx="20">
                  <c:v>4.44180633970957E-5</c:v>
                </c:pt>
                <c:pt idx="21">
                  <c:v>4.2150568957691197E-5</c:v>
                </c:pt>
                <c:pt idx="22">
                  <c:v>4.6733984527005599E-7</c:v>
                </c:pt>
                <c:pt idx="23">
                  <c:v>6.5694914368190496E-5</c:v>
                </c:pt>
                <c:pt idx="24">
                  <c:v>3.8502843222027703E-6</c:v>
                </c:pt>
                <c:pt idx="25">
                  <c:v>1.4706995169613899E-3</c:v>
                </c:pt>
                <c:pt idx="26">
                  <c:v>-7.6741634878286199E-3</c:v>
                </c:pt>
                <c:pt idx="27">
                  <c:v>4.7585928185905802E-7</c:v>
                </c:pt>
                <c:pt idx="28">
                  <c:v>9.5381539890171903E-5</c:v>
                </c:pt>
                <c:pt idx="29">
                  <c:v>6.3622179750164103E-5</c:v>
                </c:pt>
                <c:pt idx="30">
                  <c:v>2.3977125432925401E-3</c:v>
                </c:pt>
                <c:pt idx="31">
                  <c:v>4.25417326615256E-6</c:v>
                </c:pt>
                <c:pt idx="32">
                  <c:v>2.3491608143059801E-5</c:v>
                </c:pt>
                <c:pt idx="33">
                  <c:v>3.006552715954E-5</c:v>
                </c:pt>
                <c:pt idx="34">
                  <c:v>2.4647814256223998E-3</c:v>
                </c:pt>
                <c:pt idx="35">
                  <c:v>1.5818055153457298E-5</c:v>
                </c:pt>
                <c:pt idx="36">
                  <c:v>1.1343717417628999E-5</c:v>
                </c:pt>
                <c:pt idx="37">
                  <c:v>5.3770688222887496E-6</c:v>
                </c:pt>
                <c:pt idx="38">
                  <c:v>1.38117430965399E-6</c:v>
                </c:pt>
                <c:pt idx="39">
                  <c:v>2.5006601033972299E-6</c:v>
                </c:pt>
                <c:pt idx="40">
                  <c:v>1.32E-3</c:v>
                </c:pt>
                <c:pt idx="41">
                  <c:v>3.4000000000000001E-6</c:v>
                </c:pt>
                <c:pt idx="42">
                  <c:v>1.0228004555303801E-3</c:v>
                </c:pt>
                <c:pt idx="43">
                  <c:v>3.9188305522303603E-6</c:v>
                </c:pt>
                <c:pt idx="44">
                  <c:v>6.8468254251479797E-5</c:v>
                </c:pt>
                <c:pt idx="45">
                  <c:v>1.3228039581865501E-7</c:v>
                </c:pt>
                <c:pt idx="46">
                  <c:v>1.8006831262923001E-7</c:v>
                </c:pt>
                <c:pt idx="47">
                  <c:v>1.4118537306960401E-6</c:v>
                </c:pt>
                <c:pt idx="48">
                  <c:v>1.3260649677586601E-6</c:v>
                </c:pt>
                <c:pt idx="49">
                  <c:v>6.0697338508524301E-4</c:v>
                </c:pt>
                <c:pt idx="50">
                  <c:v>7.2109589736139297E-6</c:v>
                </c:pt>
                <c:pt idx="51">
                  <c:v>5.35665864447854E-6</c:v>
                </c:pt>
                <c:pt idx="52">
                  <c:v>2.6318399164423798E-6</c:v>
                </c:pt>
                <c:pt idx="53">
                  <c:v>3.2458411028305299E-6</c:v>
                </c:pt>
                <c:pt idx="54">
                  <c:v>4.67501602835397E-7</c:v>
                </c:pt>
                <c:pt idx="55">
                  <c:v>2.4940728789769399E-6</c:v>
                </c:pt>
                <c:pt idx="56">
                  <c:v>4.5044437403398602E-7</c:v>
                </c:pt>
                <c:pt idx="57">
                  <c:v>1.5404560948823399E-6</c:v>
                </c:pt>
                <c:pt idx="58">
                  <c:v>0</c:v>
                </c:pt>
                <c:pt idx="59">
                  <c:v>9.0777199021792605E-5</c:v>
                </c:pt>
                <c:pt idx="60">
                  <c:v>6.0697338508524301E-4</c:v>
                </c:pt>
                <c:pt idx="61">
                  <c:v>1.6433069546036099E-5</c:v>
                </c:pt>
                <c:pt idx="62">
                  <c:v>1.4255799547396199E-6</c:v>
                </c:pt>
                <c:pt idx="63">
                  <c:v>1.1200000000000001E-6</c:v>
                </c:pt>
                <c:pt idx="64">
                  <c:v>2.9299999999999999E-7</c:v>
                </c:pt>
                <c:pt idx="65">
                  <c:v>1.2100000000000001E-6</c:v>
                </c:pt>
                <c:pt idx="66">
                  <c:v>1.2062599617027499E-6</c:v>
                </c:pt>
                <c:pt idx="67">
                  <c:v>3.1835438972353102E-7</c:v>
                </c:pt>
                <c:pt idx="68">
                  <c:v>1.9129084228466699E-5</c:v>
                </c:pt>
                <c:pt idx="69">
                  <c:v>1.21844440576036E-7</c:v>
                </c:pt>
                <c:pt idx="70">
                  <c:v>1.9129084228466699E-5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5B-4EE3-AAE4-AC679CEB31D2}"/>
            </c:ext>
          </c:extLst>
        </c:ser>
        <c:ser>
          <c:idx val="9"/>
          <c:order val="9"/>
          <c:tx>
            <c:strRef>
              <c:f>'Analyse perseq'!$K$4</c:f>
              <c:strCache>
                <c:ptCount val="1"/>
                <c:pt idx="0">
                  <c:v>Somme de EF 3.0 Ozone depletion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perseq'!$K$5:$K$120</c:f>
              <c:numCache>
                <c:formatCode>General</c:formatCode>
                <c:ptCount val="71"/>
                <c:pt idx="0">
                  <c:v>0</c:v>
                </c:pt>
                <c:pt idx="1">
                  <c:v>1.3892803665507701E-3</c:v>
                </c:pt>
                <c:pt idx="2">
                  <c:v>2.18834473239069E-5</c:v>
                </c:pt>
                <c:pt idx="3">
                  <c:v>2.3287552274729402E-13</c:v>
                </c:pt>
                <c:pt idx="4">
                  <c:v>1.3792453708230101E-5</c:v>
                </c:pt>
                <c:pt idx="5">
                  <c:v>6.9463925127403005E-4</c:v>
                </c:pt>
                <c:pt idx="6">
                  <c:v>4.1707619919046302E-6</c:v>
                </c:pt>
                <c:pt idx="7">
                  <c:v>1.9877072537563201E-4</c:v>
                </c:pt>
                <c:pt idx="8">
                  <c:v>1.11412695547128E-5</c:v>
                </c:pt>
                <c:pt idx="9">
                  <c:v>2.8753371295817101E-5</c:v>
                </c:pt>
                <c:pt idx="10">
                  <c:v>5.2273895499128298E-6</c:v>
                </c:pt>
                <c:pt idx="11">
                  <c:v>1.4515905550665399E-11</c:v>
                </c:pt>
                <c:pt idx="12">
                  <c:v>1.183E-4</c:v>
                </c:pt>
                <c:pt idx="13">
                  <c:v>5.5444610418421901E-6</c:v>
                </c:pt>
                <c:pt idx="14">
                  <c:v>1.0344895399382801E-6</c:v>
                </c:pt>
                <c:pt idx="15">
                  <c:v>7.9568397385377708E-6</c:v>
                </c:pt>
                <c:pt idx="16">
                  <c:v>1.07297588206641E-4</c:v>
                </c:pt>
                <c:pt idx="17">
                  <c:v>3.9258935597695396E-6</c:v>
                </c:pt>
                <c:pt idx="18">
                  <c:v>7.1999999999999996E-14</c:v>
                </c:pt>
                <c:pt idx="19">
                  <c:v>1.29E-5</c:v>
                </c:pt>
                <c:pt idx="20">
                  <c:v>2.1481441692046699E-11</c:v>
                </c:pt>
                <c:pt idx="21">
                  <c:v>3.1647410873130302E-5</c:v>
                </c:pt>
                <c:pt idx="22">
                  <c:v>2.0551719717454101E-14</c:v>
                </c:pt>
                <c:pt idx="23">
                  <c:v>5.2253473519245298E-6</c:v>
                </c:pt>
                <c:pt idx="24">
                  <c:v>1.86635328121168E-12</c:v>
                </c:pt>
                <c:pt idx="25">
                  <c:v>1.04167620241902E-5</c:v>
                </c:pt>
                <c:pt idx="26">
                  <c:v>1.3428746289965E-5</c:v>
                </c:pt>
                <c:pt idx="27">
                  <c:v>1.76444592835202E-14</c:v>
                </c:pt>
                <c:pt idx="28">
                  <c:v>8.9821616639585693E-12</c:v>
                </c:pt>
                <c:pt idx="29">
                  <c:v>7.98390172830444E-6</c:v>
                </c:pt>
                <c:pt idx="30">
                  <c:v>4.01996985757749E-6</c:v>
                </c:pt>
                <c:pt idx="31">
                  <c:v>3.88155775282993E-7</c:v>
                </c:pt>
                <c:pt idx="32">
                  <c:v>1.13871174878991E-11</c:v>
                </c:pt>
                <c:pt idx="33">
                  <c:v>2.0331601112320702E-6</c:v>
                </c:pt>
                <c:pt idx="34">
                  <c:v>4.1324165668803601E-6</c:v>
                </c:pt>
                <c:pt idx="35">
                  <c:v>6.2685810443828399E-12</c:v>
                </c:pt>
                <c:pt idx="36">
                  <c:v>5.49865476205086E-12</c:v>
                </c:pt>
                <c:pt idx="37">
                  <c:v>2.2732633420145E-12</c:v>
                </c:pt>
                <c:pt idx="38">
                  <c:v>7.0066911668310096E-12</c:v>
                </c:pt>
                <c:pt idx="39">
                  <c:v>5.9595195119743702E-14</c:v>
                </c:pt>
                <c:pt idx="40">
                  <c:v>2.2208225087316199E-6</c:v>
                </c:pt>
                <c:pt idx="41">
                  <c:v>3.09884216564149E-7</c:v>
                </c:pt>
                <c:pt idx="42">
                  <c:v>1.71481231686872E-6</c:v>
                </c:pt>
                <c:pt idx="43">
                  <c:v>3.5755871142017198E-7</c:v>
                </c:pt>
                <c:pt idx="44">
                  <c:v>8.0653048776822498E-6</c:v>
                </c:pt>
                <c:pt idx="45">
                  <c:v>5.8171577846265497E-15</c:v>
                </c:pt>
                <c:pt idx="46">
                  <c:v>7.9186774434187393E-15</c:v>
                </c:pt>
                <c:pt idx="47">
                  <c:v>3.1395676220163E-14</c:v>
                </c:pt>
                <c:pt idx="48">
                  <c:v>8.6314389385749902E-14</c:v>
                </c:pt>
                <c:pt idx="49">
                  <c:v>1.0176427191909501E-6</c:v>
                </c:pt>
                <c:pt idx="50">
                  <c:v>1.7562717869004899E-12</c:v>
                </c:pt>
                <c:pt idx="51">
                  <c:v>6.2755477725840603E-7</c:v>
                </c:pt>
                <c:pt idx="52">
                  <c:v>1.2757351542459601E-12</c:v>
                </c:pt>
                <c:pt idx="53">
                  <c:v>2.6525449004560701E-7</c:v>
                </c:pt>
                <c:pt idx="54">
                  <c:v>6.4317914681749002E-15</c:v>
                </c:pt>
                <c:pt idx="55">
                  <c:v>1.0019797611264199E-12</c:v>
                </c:pt>
                <c:pt idx="56">
                  <c:v>5.68168340649104E-15</c:v>
                </c:pt>
                <c:pt idx="57">
                  <c:v>6.1887004679424204E-13</c:v>
                </c:pt>
                <c:pt idx="58">
                  <c:v>0</c:v>
                </c:pt>
                <c:pt idx="59">
                  <c:v>1.2862638782326199E-6</c:v>
                </c:pt>
                <c:pt idx="60">
                  <c:v>1.0176427191909501E-6</c:v>
                </c:pt>
                <c:pt idx="61">
                  <c:v>2.38995755439258E-13</c:v>
                </c:pt>
                <c:pt idx="62">
                  <c:v>6.9102320854989396E-13</c:v>
                </c:pt>
                <c:pt idx="63">
                  <c:v>2.8599999999999999E-7</c:v>
                </c:pt>
                <c:pt idx="64">
                  <c:v>1.42E-13</c:v>
                </c:pt>
                <c:pt idx="65">
                  <c:v>7.9899999999999997E-16</c:v>
                </c:pt>
                <c:pt idx="66">
                  <c:v>5.8471194569606704E-13</c:v>
                </c:pt>
                <c:pt idx="67">
                  <c:v>3.7296537149724397E-8</c:v>
                </c:pt>
                <c:pt idx="68">
                  <c:v>1.5256474293810901E-7</c:v>
                </c:pt>
                <c:pt idx="69">
                  <c:v>5.9061812696572401E-14</c:v>
                </c:pt>
                <c:pt idx="70">
                  <c:v>1.5256474293810901E-7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5B-4EE3-AAE4-AC679CEB31D2}"/>
            </c:ext>
          </c:extLst>
        </c:ser>
        <c:ser>
          <c:idx val="10"/>
          <c:order val="10"/>
          <c:tx>
            <c:strRef>
              <c:f>'Analyse perseq'!$L$4</c:f>
              <c:strCache>
                <c:ptCount val="1"/>
                <c:pt idx="0">
                  <c:v>Somme de EF 3.0 Particulate matter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perseq'!$L$5:$L$120</c:f>
              <c:numCache>
                <c:formatCode>General</c:formatCode>
                <c:ptCount val="71"/>
                <c:pt idx="0">
                  <c:v>7.7396735763711</c:v>
                </c:pt>
                <c:pt idx="1">
                  <c:v>5.0012854066361398E-2</c:v>
                </c:pt>
                <c:pt idx="2">
                  <c:v>1.3656339321192401E-2</c:v>
                </c:pt>
                <c:pt idx="3">
                  <c:v>3.3868356690593699E-3</c:v>
                </c:pt>
                <c:pt idx="4">
                  <c:v>5.6785043378027302E-3</c:v>
                </c:pt>
                <c:pt idx="5">
                  <c:v>2.5006427033180699E-2</c:v>
                </c:pt>
                <c:pt idx="6">
                  <c:v>1.81361049873584E-2</c:v>
                </c:pt>
                <c:pt idx="7">
                  <c:v>2.0185192604007501E-2</c:v>
                </c:pt>
                <c:pt idx="8">
                  <c:v>1.3295049389277599E-2</c:v>
                </c:pt>
                <c:pt idx="9">
                  <c:v>1.2521972580317601E-2</c:v>
                </c:pt>
                <c:pt idx="10">
                  <c:v>4.9972739468585802E-3</c:v>
                </c:pt>
                <c:pt idx="11">
                  <c:v>2.1050737026711199E-3</c:v>
                </c:pt>
                <c:pt idx="12">
                  <c:v>3.7729999999999999E-3</c:v>
                </c:pt>
                <c:pt idx="13">
                  <c:v>4.5919311047232098E-3</c:v>
                </c:pt>
                <c:pt idx="14">
                  <c:v>1.35618935224428E-3</c:v>
                </c:pt>
                <c:pt idx="15">
                  <c:v>5.6752144777911899E-3</c:v>
                </c:pt>
                <c:pt idx="16">
                  <c:v>3.7382580321738699E-3</c:v>
                </c:pt>
                <c:pt idx="17">
                  <c:v>3.2894063396446899E-3</c:v>
                </c:pt>
                <c:pt idx="18">
                  <c:v>7.2999999999999996E-4</c:v>
                </c:pt>
                <c:pt idx="19">
                  <c:v>2.0699999999999998E-3</c:v>
                </c:pt>
                <c:pt idx="20">
                  <c:v>3.1152047532576601E-3</c:v>
                </c:pt>
                <c:pt idx="21">
                  <c:v>1.60492772078026E-3</c:v>
                </c:pt>
                <c:pt idx="22">
                  <c:v>2.9889486270790502E-4</c:v>
                </c:pt>
                <c:pt idx="23">
                  <c:v>2.3342653382163099E-3</c:v>
                </c:pt>
                <c:pt idx="24">
                  <c:v>2.7050994048361898E-4</c:v>
                </c:pt>
                <c:pt idx="25">
                  <c:v>1.24524470935948E-3</c:v>
                </c:pt>
                <c:pt idx="26">
                  <c:v>8.4563754750340003E-4</c:v>
                </c:pt>
                <c:pt idx="27">
                  <c:v>1.449509161494E-4</c:v>
                </c:pt>
                <c:pt idx="28">
                  <c:v>3.6129879903056E-4</c:v>
                </c:pt>
                <c:pt idx="29">
                  <c:v>1.77445389309429E-3</c:v>
                </c:pt>
                <c:pt idx="30">
                  <c:v>4.8310273884007698E-3</c:v>
                </c:pt>
                <c:pt idx="31">
                  <c:v>2.22964179323309E-4</c:v>
                </c:pt>
                <c:pt idx="32">
                  <c:v>1.6504530545962601E-3</c:v>
                </c:pt>
                <c:pt idx="33">
                  <c:v>1.03173644636482E-3</c:v>
                </c:pt>
                <c:pt idx="34">
                  <c:v>4.9661610216427503E-3</c:v>
                </c:pt>
                <c:pt idx="35">
                  <c:v>9.5606448366470395E-4</c:v>
                </c:pt>
                <c:pt idx="36">
                  <c:v>7.9697707148813001E-4</c:v>
                </c:pt>
                <c:pt idx="37">
                  <c:v>2.3801865738908899E-4</c:v>
                </c:pt>
                <c:pt idx="38">
                  <c:v>2.8143065218367701E-4</c:v>
                </c:pt>
                <c:pt idx="39">
                  <c:v>2.0649402228299201E-4</c:v>
                </c:pt>
                <c:pt idx="40">
                  <c:v>2.6688892565290999E-3</c:v>
                </c:pt>
                <c:pt idx="41">
                  <c:v>1.7800348321778399E-4</c:v>
                </c:pt>
                <c:pt idx="42">
                  <c:v>2.0607879069401902E-3</c:v>
                </c:pt>
                <c:pt idx="43">
                  <c:v>2.0538863448205799E-4</c:v>
                </c:pt>
                <c:pt idx="44">
                  <c:v>4.60991639017621E-4</c:v>
                </c:pt>
                <c:pt idx="45">
                  <c:v>8.4602096626956396E-5</c:v>
                </c:pt>
                <c:pt idx="46">
                  <c:v>1.1516564257485099E-4</c:v>
                </c:pt>
                <c:pt idx="47">
                  <c:v>1.16413389821471E-4</c:v>
                </c:pt>
                <c:pt idx="48">
                  <c:v>2.8782934497049401E-5</c:v>
                </c:pt>
                <c:pt idx="49">
                  <c:v>1.22295938083991E-3</c:v>
                </c:pt>
                <c:pt idx="50">
                  <c:v>3.5105545082870501E-4</c:v>
                </c:pt>
                <c:pt idx="51">
                  <c:v>1.04777784409739E-4</c:v>
                </c:pt>
                <c:pt idx="52">
                  <c:v>1.8490552893817E-4</c:v>
                </c:pt>
                <c:pt idx="53">
                  <c:v>1.0871841641545299E-4</c:v>
                </c:pt>
                <c:pt idx="54">
                  <c:v>9.2596222785938995E-5</c:v>
                </c:pt>
                <c:pt idx="55">
                  <c:v>1.5026914375230601E-4</c:v>
                </c:pt>
                <c:pt idx="56">
                  <c:v>8.1686992356785196E-5</c:v>
                </c:pt>
                <c:pt idx="57">
                  <c:v>9.2811903122819099E-5</c:v>
                </c:pt>
                <c:pt idx="58">
                  <c:v>4.5726354748114897E-4</c:v>
                </c:pt>
                <c:pt idx="59">
                  <c:v>1.3836134771015501E-4</c:v>
                </c:pt>
                <c:pt idx="60">
                  <c:v>1.22295938083991E-3</c:v>
                </c:pt>
                <c:pt idx="61">
                  <c:v>7.3626483073874498E-4</c:v>
                </c:pt>
                <c:pt idx="62">
                  <c:v>1.0015716150817499E-4</c:v>
                </c:pt>
                <c:pt idx="63">
                  <c:v>1.4800000000000001E-5</c:v>
                </c:pt>
                <c:pt idx="64">
                  <c:v>2.0599999999999999E-5</c:v>
                </c:pt>
                <c:pt idx="65">
                  <c:v>8.1100000000000003E-6</c:v>
                </c:pt>
                <c:pt idx="66">
                  <c:v>8.4748367429994398E-5</c:v>
                </c:pt>
                <c:pt idx="67">
                  <c:v>6.2271034662118596E-6</c:v>
                </c:pt>
                <c:pt idx="68">
                  <c:v>1.61201002578609E-5</c:v>
                </c:pt>
                <c:pt idx="69">
                  <c:v>8.5604411545448906E-6</c:v>
                </c:pt>
                <c:pt idx="70">
                  <c:v>1.61201002578609E-5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5B-4EE3-AAE4-AC679CEB31D2}"/>
            </c:ext>
          </c:extLst>
        </c:ser>
        <c:ser>
          <c:idx val="11"/>
          <c:order val="11"/>
          <c:tx>
            <c:strRef>
              <c:f>'Analyse perseq'!$M$4</c:f>
              <c:strCache>
                <c:ptCount val="1"/>
                <c:pt idx="0">
                  <c:v>Somme de EF 3.0 Photochemical ozone formation, human health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perseq'!$M$5:$M$120</c:f>
              <c:numCache>
                <c:formatCode>General</c:formatCode>
                <c:ptCount val="71"/>
                <c:pt idx="0">
                  <c:v>53.98071195359563</c:v>
                </c:pt>
                <c:pt idx="1">
                  <c:v>6.5415975312709304E-2</c:v>
                </c:pt>
                <c:pt idx="2">
                  <c:v>8.8022053666121994E-3</c:v>
                </c:pt>
                <c:pt idx="3">
                  <c:v>2.0042196133264599E-2</c:v>
                </c:pt>
                <c:pt idx="4">
                  <c:v>3.5954880743500799E-3</c:v>
                </c:pt>
                <c:pt idx="5">
                  <c:v>3.2707987656354701E-2</c:v>
                </c:pt>
                <c:pt idx="6">
                  <c:v>1.6072072066472799E-2</c:v>
                </c:pt>
                <c:pt idx="7">
                  <c:v>1.5753711435849901E-2</c:v>
                </c:pt>
                <c:pt idx="8">
                  <c:v>8.3379433554405698E-3</c:v>
                </c:pt>
                <c:pt idx="9">
                  <c:v>8.4298520981209608E-3</c:v>
                </c:pt>
                <c:pt idx="10">
                  <c:v>3.8128928307011498E-3</c:v>
                </c:pt>
                <c:pt idx="11">
                  <c:v>1.2039771241182701E-3</c:v>
                </c:pt>
                <c:pt idx="12">
                  <c:v>5.1590000000000004E-3</c:v>
                </c:pt>
                <c:pt idx="13">
                  <c:v>3.1279815660022899E-3</c:v>
                </c:pt>
                <c:pt idx="14">
                  <c:v>8.2205554943168399E-4</c:v>
                </c:pt>
                <c:pt idx="15">
                  <c:v>3.3149860809041599E-3</c:v>
                </c:pt>
                <c:pt idx="16">
                  <c:v>4.9490019941003799E-3</c:v>
                </c:pt>
                <c:pt idx="17">
                  <c:v>2.1121036479499898E-3</c:v>
                </c:pt>
                <c:pt idx="18">
                  <c:v>2.7200000000000002E-3</c:v>
                </c:pt>
                <c:pt idx="19">
                  <c:v>1.82E-3</c:v>
                </c:pt>
                <c:pt idx="20">
                  <c:v>1.7817120777989799E-3</c:v>
                </c:pt>
                <c:pt idx="21">
                  <c:v>2.6999860806286901E-3</c:v>
                </c:pt>
                <c:pt idx="22">
                  <c:v>1.76876295367492E-3</c:v>
                </c:pt>
                <c:pt idx="23">
                  <c:v>1.51722026367213E-3</c:v>
                </c:pt>
                <c:pt idx="24">
                  <c:v>1.5411639760894001E-4</c:v>
                </c:pt>
                <c:pt idx="25">
                  <c:v>1.26891770273596E-3</c:v>
                </c:pt>
                <c:pt idx="26">
                  <c:v>6.9897627395771103E-4</c:v>
                </c:pt>
                <c:pt idx="27">
                  <c:v>2.9573399333324699E-4</c:v>
                </c:pt>
                <c:pt idx="28">
                  <c:v>4.5760733405686698E-4</c:v>
                </c:pt>
                <c:pt idx="29">
                  <c:v>1.29350601865394E-3</c:v>
                </c:pt>
                <c:pt idx="30">
                  <c:v>4.1668225117278898E-4</c:v>
                </c:pt>
                <c:pt idx="31">
                  <c:v>2.07215834105551E-4</c:v>
                </c:pt>
                <c:pt idx="32">
                  <c:v>9.4030510946214096E-4</c:v>
                </c:pt>
                <c:pt idx="33">
                  <c:v>6.3255794949373999E-4</c:v>
                </c:pt>
                <c:pt idx="34">
                  <c:v>4.2833769875804198E-4</c:v>
                </c:pt>
                <c:pt idx="35">
                  <c:v>7.4017465611340603E-4</c:v>
                </c:pt>
                <c:pt idx="36">
                  <c:v>4.5405812080355501E-4</c:v>
                </c:pt>
                <c:pt idx="37">
                  <c:v>1.7285032033937899E-4</c:v>
                </c:pt>
                <c:pt idx="38">
                  <c:v>4.5978770423174602E-4</c:v>
                </c:pt>
                <c:pt idx="39">
                  <c:v>1.8996033343193501E-4</c:v>
                </c:pt>
                <c:pt idx="40">
                  <c:v>2.3019508980874401E-4</c:v>
                </c:pt>
                <c:pt idx="41">
                  <c:v>1.6543078964797E-4</c:v>
                </c:pt>
                <c:pt idx="42">
                  <c:v>1.7774557567510599E-4</c:v>
                </c:pt>
                <c:pt idx="43">
                  <c:v>1.9088168036304201E-4</c:v>
                </c:pt>
                <c:pt idx="44">
                  <c:v>4.9034490226354001E-4</c:v>
                </c:pt>
                <c:pt idx="45">
                  <c:v>5.0064779622265704E-4</c:v>
                </c:pt>
                <c:pt idx="46">
                  <c:v>6.81512958359641E-4</c:v>
                </c:pt>
                <c:pt idx="47">
                  <c:v>1.07089231118536E-4</c:v>
                </c:pt>
                <c:pt idx="48">
                  <c:v>9.1435906915081493E-5</c:v>
                </c:pt>
                <c:pt idx="49">
                  <c:v>1.05481800646538E-4</c:v>
                </c:pt>
                <c:pt idx="50">
                  <c:v>2.0104665892686999E-4</c:v>
                </c:pt>
                <c:pt idx="51">
                  <c:v>1.5697606736361601E-4</c:v>
                </c:pt>
                <c:pt idx="52">
                  <c:v>1.05345385707377E-4</c:v>
                </c:pt>
                <c:pt idx="53">
                  <c:v>7.4640760875718906E-5</c:v>
                </c:pt>
                <c:pt idx="54">
                  <c:v>5.4317431998246598E-4</c:v>
                </c:pt>
                <c:pt idx="55">
                  <c:v>8.5562879540335507E-5</c:v>
                </c:pt>
                <c:pt idx="56">
                  <c:v>4.7861702896255602E-4</c:v>
                </c:pt>
                <c:pt idx="57">
                  <c:v>5.2847022916608699E-5</c:v>
                </c:pt>
                <c:pt idx="58">
                  <c:v>2.78458716433917E-4</c:v>
                </c:pt>
                <c:pt idx="59">
                  <c:v>6.2060146257657405E-5</c:v>
                </c:pt>
                <c:pt idx="60">
                  <c:v>1.05481800646538E-4</c:v>
                </c:pt>
                <c:pt idx="61">
                  <c:v>3.2517136798030201E-4</c:v>
                </c:pt>
                <c:pt idx="62">
                  <c:v>5.70620839248292E-5</c:v>
                </c:pt>
                <c:pt idx="63">
                  <c:v>2.5599999999999999E-5</c:v>
                </c:pt>
                <c:pt idx="64">
                  <c:v>1.1800000000000001E-5</c:v>
                </c:pt>
                <c:pt idx="65">
                  <c:v>3.0199999999999999E-5</c:v>
                </c:pt>
                <c:pt idx="66">
                  <c:v>4.8283301782547701E-5</c:v>
                </c:pt>
                <c:pt idx="67">
                  <c:v>9.3293270009384103E-6</c:v>
                </c:pt>
                <c:pt idx="68">
                  <c:v>7.7172604303990792E-6</c:v>
                </c:pt>
                <c:pt idx="69">
                  <c:v>4.87710119015634E-6</c:v>
                </c:pt>
                <c:pt idx="70">
                  <c:v>7.7172604303990792E-6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55B-4EE3-AAE4-AC679CEB31D2}"/>
            </c:ext>
          </c:extLst>
        </c:ser>
        <c:ser>
          <c:idx val="12"/>
          <c:order val="12"/>
          <c:tx>
            <c:strRef>
              <c:f>'Analyse perseq'!$N$4</c:f>
              <c:strCache>
                <c:ptCount val="1"/>
                <c:pt idx="0">
                  <c:v>Somme de EF 3.0 Resource use, fossils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perseq'!$N$5:$N$120</c:f>
              <c:numCache>
                <c:formatCode>General</c:formatCode>
                <c:ptCount val="71"/>
                <c:pt idx="0">
                  <c:v>0</c:v>
                </c:pt>
                <c:pt idx="1">
                  <c:v>0.115729678637727</c:v>
                </c:pt>
                <c:pt idx="2">
                  <c:v>3.2468639354503302E-2</c:v>
                </c:pt>
                <c:pt idx="3">
                  <c:v>3.2880715718990199E-2</c:v>
                </c:pt>
                <c:pt idx="4">
                  <c:v>1.31192953771039E-2</c:v>
                </c:pt>
                <c:pt idx="5">
                  <c:v>5.78648393111715E-2</c:v>
                </c:pt>
                <c:pt idx="6">
                  <c:v>4.1938992384357499E-2</c:v>
                </c:pt>
                <c:pt idx="7">
                  <c:v>3.35564511891129E-2</c:v>
                </c:pt>
                <c:pt idx="8">
                  <c:v>3.2872719149653701E-2</c:v>
                </c:pt>
                <c:pt idx="9">
                  <c:v>3.3154553439403503E-2</c:v>
                </c:pt>
                <c:pt idx="10">
                  <c:v>1.59745176946481E-2</c:v>
                </c:pt>
                <c:pt idx="11">
                  <c:v>4.7308278223504299E-3</c:v>
                </c:pt>
                <c:pt idx="12">
                  <c:v>2.436E-2</c:v>
                </c:pt>
                <c:pt idx="13">
                  <c:v>1.26098468894047E-2</c:v>
                </c:pt>
                <c:pt idx="14">
                  <c:v>3.2044402036897502E-3</c:v>
                </c:pt>
                <c:pt idx="15">
                  <c:v>1.2549403550950701E-2</c:v>
                </c:pt>
                <c:pt idx="16">
                  <c:v>8.7985054495836098E-3</c:v>
                </c:pt>
                <c:pt idx="17">
                  <c:v>8.3398271240908706E-3</c:v>
                </c:pt>
                <c:pt idx="18">
                  <c:v>4.0099999999999997E-3</c:v>
                </c:pt>
                <c:pt idx="19">
                  <c:v>1.9400000000000001E-3</c:v>
                </c:pt>
                <c:pt idx="20">
                  <c:v>7.0009412096546601E-3</c:v>
                </c:pt>
                <c:pt idx="21">
                  <c:v>5.4880221179947801E-3</c:v>
                </c:pt>
                <c:pt idx="22">
                  <c:v>2.9017873823487701E-3</c:v>
                </c:pt>
                <c:pt idx="23">
                  <c:v>5.8940823897170201E-3</c:v>
                </c:pt>
                <c:pt idx="24">
                  <c:v>6.05282313332289E-4</c:v>
                </c:pt>
                <c:pt idx="25">
                  <c:v>7.0051954688055496E-3</c:v>
                </c:pt>
                <c:pt idx="26">
                  <c:v>-2.2381961841740501E-4</c:v>
                </c:pt>
                <c:pt idx="27">
                  <c:v>3.5168528010920698E-3</c:v>
                </c:pt>
                <c:pt idx="28">
                  <c:v>1.26305278469257E-2</c:v>
                </c:pt>
                <c:pt idx="29">
                  <c:v>5.0350972684402202E-3</c:v>
                </c:pt>
                <c:pt idx="30">
                  <c:v>4.22255606319813E-4</c:v>
                </c:pt>
                <c:pt idx="31">
                  <c:v>1.38400415862814E-3</c:v>
                </c:pt>
                <c:pt idx="32">
                  <c:v>3.6929882914704202E-3</c:v>
                </c:pt>
                <c:pt idx="33">
                  <c:v>3.7210589344579799E-3</c:v>
                </c:pt>
                <c:pt idx="34">
                  <c:v>4.3406695195113699E-4</c:v>
                </c:pt>
                <c:pt idx="35">
                  <c:v>3.0027583908017398E-3</c:v>
                </c:pt>
                <c:pt idx="36">
                  <c:v>1.7832842838998799E-3</c:v>
                </c:pt>
                <c:pt idx="37">
                  <c:v>7.6429198998178595E-4</c:v>
                </c:pt>
                <c:pt idx="38">
                  <c:v>2.6016410125760401E-3</c:v>
                </c:pt>
                <c:pt idx="39">
                  <c:v>6.4249459105547699E-4</c:v>
                </c:pt>
                <c:pt idx="40">
                  <c:v>2.3327407621863801E-4</c:v>
                </c:pt>
                <c:pt idx="41">
                  <c:v>1.1049199103254899E-3</c:v>
                </c:pt>
                <c:pt idx="42">
                  <c:v>1.8012302087768299E-4</c:v>
                </c:pt>
                <c:pt idx="43">
                  <c:v>1.2749075888371E-3</c:v>
                </c:pt>
                <c:pt idx="44">
                  <c:v>1.07141583646945E-3</c:v>
                </c:pt>
                <c:pt idx="45">
                  <c:v>8.2135000343671195E-4</c:v>
                </c:pt>
                <c:pt idx="46">
                  <c:v>1.11807277474144E-3</c:v>
                </c:pt>
                <c:pt idx="47">
                  <c:v>3.6149094731997898E-4</c:v>
                </c:pt>
                <c:pt idx="48">
                  <c:v>4.66466698746371E-4</c:v>
                </c:pt>
                <c:pt idx="49">
                  <c:v>1.06892677963477E-4</c:v>
                </c:pt>
                <c:pt idx="50">
                  <c:v>7.7953708682822805E-4</c:v>
                </c:pt>
                <c:pt idx="51">
                  <c:v>1.2911293081050801E-3</c:v>
                </c:pt>
                <c:pt idx="52">
                  <c:v>4.13737277467641E-4</c:v>
                </c:pt>
                <c:pt idx="53">
                  <c:v>2.9491021836548602E-4</c:v>
                </c:pt>
                <c:pt idx="54">
                  <c:v>8.8976102079083399E-4</c:v>
                </c:pt>
                <c:pt idx="55">
                  <c:v>3.2721039703918103E-4</c:v>
                </c:pt>
                <c:pt idx="56">
                  <c:v>7.8384997593828405E-4</c:v>
                </c:pt>
                <c:pt idx="57">
                  <c:v>2.0210108282718299E-4</c:v>
                </c:pt>
                <c:pt idx="58">
                  <c:v>1.6015008928222201E-3</c:v>
                </c:pt>
                <c:pt idx="59">
                  <c:v>1.46983934661557E-4</c:v>
                </c:pt>
                <c:pt idx="60">
                  <c:v>1.06892677963477E-4</c:v>
                </c:pt>
                <c:pt idx="61">
                  <c:v>7.5870275017795002E-4</c:v>
                </c:pt>
                <c:pt idx="62">
                  <c:v>2.24107691961639E-4</c:v>
                </c:pt>
                <c:pt idx="63">
                  <c:v>2.6200000000000003E-4</c:v>
                </c:pt>
                <c:pt idx="64">
                  <c:v>4.6199999999999998E-5</c:v>
                </c:pt>
                <c:pt idx="65">
                  <c:v>4.4499999999999997E-5</c:v>
                </c:pt>
                <c:pt idx="66">
                  <c:v>1.89629585506002E-4</c:v>
                </c:pt>
                <c:pt idx="67">
                  <c:v>7.6733783169035603E-5</c:v>
                </c:pt>
                <c:pt idx="68">
                  <c:v>1.70309623513629E-5</c:v>
                </c:pt>
                <c:pt idx="69">
                  <c:v>1.9154503586464799E-5</c:v>
                </c:pt>
                <c:pt idx="70">
                  <c:v>1.70309623513629E-5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5B-4EE3-AAE4-AC679CEB31D2}"/>
            </c:ext>
          </c:extLst>
        </c:ser>
        <c:ser>
          <c:idx val="13"/>
          <c:order val="13"/>
          <c:tx>
            <c:strRef>
              <c:f>'Analyse perseq'!$O$4</c:f>
              <c:strCache>
                <c:ptCount val="1"/>
                <c:pt idx="0">
                  <c:v>Somme de EF 3.0 Resource use, mineral and metals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perseq'!$O$5:$O$120</c:f>
              <c:numCache>
                <c:formatCode>General</c:formatCode>
                <c:ptCount val="71"/>
                <c:pt idx="0">
                  <c:v>0</c:v>
                </c:pt>
                <c:pt idx="1">
                  <c:v>6.15416193828431</c:v>
                </c:pt>
                <c:pt idx="2">
                  <c:v>3.8239917341226497E-2</c:v>
                </c:pt>
                <c:pt idx="3">
                  <c:v>8.2029042053132403E-5</c:v>
                </c:pt>
                <c:pt idx="4">
                  <c:v>1.6123881891220899E-2</c:v>
                </c:pt>
                <c:pt idx="5">
                  <c:v>3.0770809691421599</c:v>
                </c:pt>
                <c:pt idx="6">
                  <c:v>9.9349204250042497E-2</c:v>
                </c:pt>
                <c:pt idx="7">
                  <c:v>0.42302355128642699</c:v>
                </c:pt>
                <c:pt idx="8">
                  <c:v>4.2004012334918198E-2</c:v>
                </c:pt>
                <c:pt idx="9">
                  <c:v>3.72640947808828E-2</c:v>
                </c:pt>
                <c:pt idx="10">
                  <c:v>1.43363615538349E-2</c:v>
                </c:pt>
                <c:pt idx="11">
                  <c:v>6.0643232526261205E-4</c:v>
                </c:pt>
                <c:pt idx="12">
                  <c:v>1.2670000000000001E-2</c:v>
                </c:pt>
                <c:pt idx="13">
                  <c:v>1.38962640436626E-2</c:v>
                </c:pt>
                <c:pt idx="14">
                  <c:v>4.3491792024340798E-3</c:v>
                </c:pt>
                <c:pt idx="15">
                  <c:v>1.82334875062636E-2</c:v>
                </c:pt>
                <c:pt idx="16">
                  <c:v>0.47861098111254602</c:v>
                </c:pt>
                <c:pt idx="17">
                  <c:v>1.0220320732116799E-2</c:v>
                </c:pt>
                <c:pt idx="18">
                  <c:v>2.7399999999999999E-5</c:v>
                </c:pt>
                <c:pt idx="19">
                  <c:v>1.3100000000000001E-4</c:v>
                </c:pt>
                <c:pt idx="20">
                  <c:v>8.9743217135974604E-4</c:v>
                </c:pt>
                <c:pt idx="21">
                  <c:v>8.95120222412331E-2</c:v>
                </c:pt>
                <c:pt idx="22">
                  <c:v>7.2392231741616898E-6</c:v>
                </c:pt>
                <c:pt idx="23">
                  <c:v>7.0656498923800503E-3</c:v>
                </c:pt>
                <c:pt idx="24">
                  <c:v>7.7981178595884607E-5</c:v>
                </c:pt>
                <c:pt idx="25">
                  <c:v>1.20520274227921E-4</c:v>
                </c:pt>
                <c:pt idx="26">
                  <c:v>2.5576391059887598E-4</c:v>
                </c:pt>
                <c:pt idx="27">
                  <c:v>6.1636713047660499E-6</c:v>
                </c:pt>
                <c:pt idx="28">
                  <c:v>8.9818773871685795E-5</c:v>
                </c:pt>
                <c:pt idx="29">
                  <c:v>4.8389001283111301E-3</c:v>
                </c:pt>
                <c:pt idx="30">
                  <c:v>9.6514466486020294E-5</c:v>
                </c:pt>
                <c:pt idx="31">
                  <c:v>3.84180113501124E-4</c:v>
                </c:pt>
                <c:pt idx="32">
                  <c:v>4.7578389978754902E-4</c:v>
                </c:pt>
                <c:pt idx="33">
                  <c:v>2.9850512866280401E-2</c:v>
                </c:pt>
                <c:pt idx="34">
                  <c:v>9.9214171842272605E-5</c:v>
                </c:pt>
                <c:pt idx="35">
                  <c:v>2.5853827953816399E-4</c:v>
                </c:pt>
                <c:pt idx="36">
                  <c:v>2.29748345799901E-4</c:v>
                </c:pt>
                <c:pt idx="37">
                  <c:v>8.5901251172318095E-5</c:v>
                </c:pt>
                <c:pt idx="38">
                  <c:v>7.0518206421430694E-5</c:v>
                </c:pt>
                <c:pt idx="39">
                  <c:v>2.0244531525853701E-5</c:v>
                </c:pt>
                <c:pt idx="40">
                  <c:v>5.3319180785983198E-5</c:v>
                </c:pt>
                <c:pt idx="41">
                  <c:v>3.0671024643398598E-4</c:v>
                </c:pt>
                <c:pt idx="42">
                  <c:v>4.1170506682847799E-5</c:v>
                </c:pt>
                <c:pt idx="43">
                  <c:v>3.5389643819306102E-4</c:v>
                </c:pt>
                <c:pt idx="44">
                  <c:v>2.4012891876024699E-2</c:v>
                </c:pt>
                <c:pt idx="45">
                  <c:v>2.0490598364116E-6</c:v>
                </c:pt>
                <c:pt idx="46">
                  <c:v>2.7893078557520199E-6</c:v>
                </c:pt>
                <c:pt idx="47">
                  <c:v>1.1410518224539499E-5</c:v>
                </c:pt>
                <c:pt idx="48">
                  <c:v>1.9560313796144301E-6</c:v>
                </c:pt>
                <c:pt idx="49">
                  <c:v>2.44323334740835E-5</c:v>
                </c:pt>
                <c:pt idx="50">
                  <c:v>1.1662199518205E-3</c:v>
                </c:pt>
                <c:pt idx="51">
                  <c:v>2.8145104203170499E-5</c:v>
                </c:pt>
                <c:pt idx="52">
                  <c:v>5.3303590432630001E-5</c:v>
                </c:pt>
                <c:pt idx="53">
                  <c:v>3.1961166014980101E-4</c:v>
                </c:pt>
                <c:pt idx="54">
                  <c:v>2.2715403001139198E-6</c:v>
                </c:pt>
                <c:pt idx="55">
                  <c:v>4.1997274326297401E-5</c:v>
                </c:pt>
                <c:pt idx="56">
                  <c:v>2.0073191187275398E-6</c:v>
                </c:pt>
                <c:pt idx="57">
                  <c:v>2.5939503401664399E-5</c:v>
                </c:pt>
                <c:pt idx="58">
                  <c:v>6.6086415416599898E-6</c:v>
                </c:pt>
                <c:pt idx="59">
                  <c:v>1.0797264910667901E-5</c:v>
                </c:pt>
                <c:pt idx="60">
                  <c:v>2.44323334740835E-5</c:v>
                </c:pt>
                <c:pt idx="61">
                  <c:v>1.0225397224980499E-3</c:v>
                </c:pt>
                <c:pt idx="62">
                  <c:v>2.8872778151007901E-5</c:v>
                </c:pt>
                <c:pt idx="63">
                  <c:v>4.8400000000000002E-6</c:v>
                </c:pt>
                <c:pt idx="64">
                  <c:v>5.9200000000000001E-6</c:v>
                </c:pt>
                <c:pt idx="65">
                  <c:v>3.0400000000000002E-7</c:v>
                </c:pt>
                <c:pt idx="66">
                  <c:v>2.44308122816221E-5</c:v>
                </c:pt>
                <c:pt idx="67">
                  <c:v>1.67270645135122E-6</c:v>
                </c:pt>
                <c:pt idx="68">
                  <c:v>1.63582489385836E-6</c:v>
                </c:pt>
                <c:pt idx="69">
                  <c:v>2.4677588163254601E-6</c:v>
                </c:pt>
                <c:pt idx="70">
                  <c:v>1.63582489385836E-6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55B-4EE3-AAE4-AC679CEB31D2}"/>
            </c:ext>
          </c:extLst>
        </c:ser>
        <c:ser>
          <c:idx val="14"/>
          <c:order val="14"/>
          <c:tx>
            <c:strRef>
              <c:f>'Analyse perseq'!$P$4</c:f>
              <c:strCache>
                <c:ptCount val="1"/>
                <c:pt idx="0">
                  <c:v>Somme de EF 3.0 Water use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perseq'!$P$5:$P$120</c:f>
              <c:numCache>
                <c:formatCode>General</c:formatCode>
                <c:ptCount val="71"/>
                <c:pt idx="0">
                  <c:v>0</c:v>
                </c:pt>
                <c:pt idx="1">
                  <c:v>2.2939684827722E-2</c:v>
                </c:pt>
                <c:pt idx="2">
                  <c:v>4.1124632007578698E-3</c:v>
                </c:pt>
                <c:pt idx="3">
                  <c:v>1.79787843649186E-5</c:v>
                </c:pt>
                <c:pt idx="4">
                  <c:v>2.1869578112722098E-3</c:v>
                </c:pt>
                <c:pt idx="5">
                  <c:v>1.1469842413861E-2</c:v>
                </c:pt>
                <c:pt idx="6">
                  <c:v>5.7780848058592198E-3</c:v>
                </c:pt>
                <c:pt idx="7">
                  <c:v>2.7038782400305101</c:v>
                </c:pt>
                <c:pt idx="8">
                  <c:v>3.1550792157430999E-3</c:v>
                </c:pt>
                <c:pt idx="9">
                  <c:v>4.7334201299009697E-3</c:v>
                </c:pt>
                <c:pt idx="10">
                  <c:v>1.25550233791216E-3</c:v>
                </c:pt>
                <c:pt idx="11">
                  <c:v>3.2257529018731002E-4</c:v>
                </c:pt>
                <c:pt idx="12">
                  <c:v>1.078E-2</c:v>
                </c:pt>
                <c:pt idx="13">
                  <c:v>1.24414560103048E-3</c:v>
                </c:pt>
                <c:pt idx="14">
                  <c:v>3.1320008961829799E-4</c:v>
                </c:pt>
                <c:pt idx="15">
                  <c:v>1.67206783707019E-3</c:v>
                </c:pt>
                <c:pt idx="16">
                  <c:v>1.7687757903191699E-3</c:v>
                </c:pt>
                <c:pt idx="17">
                  <c:v>8.9286084778988895E-4</c:v>
                </c:pt>
                <c:pt idx="18">
                  <c:v>1.5800000000000001E-5</c:v>
                </c:pt>
                <c:pt idx="19">
                  <c:v>0.11799999999999999</c:v>
                </c:pt>
                <c:pt idx="20">
                  <c:v>4.7736479458948598E-4</c:v>
                </c:pt>
                <c:pt idx="21">
                  <c:v>0.588153751768271</c:v>
                </c:pt>
                <c:pt idx="22">
                  <c:v>1.58666283501662E-6</c:v>
                </c:pt>
                <c:pt idx="23">
                  <c:v>8.71756253470801E-4</c:v>
                </c:pt>
                <c:pt idx="24">
                  <c:v>4.1401969559345901E-5</c:v>
                </c:pt>
                <c:pt idx="25">
                  <c:v>1.23130246794383E-3</c:v>
                </c:pt>
                <c:pt idx="26">
                  <c:v>0.112611719084648</c:v>
                </c:pt>
                <c:pt idx="27">
                  <c:v>8.7030290012456201E-7</c:v>
                </c:pt>
                <c:pt idx="28">
                  <c:v>2.5044298374080098E-4</c:v>
                </c:pt>
                <c:pt idx="29">
                  <c:v>1.0491178729242999E-3</c:v>
                </c:pt>
                <c:pt idx="30">
                  <c:v>1.87314874028633E-2</c:v>
                </c:pt>
                <c:pt idx="31">
                  <c:v>1.0399751655412899E-4</c:v>
                </c:pt>
                <c:pt idx="32">
                  <c:v>2.5260442186847399E-4</c:v>
                </c:pt>
                <c:pt idx="33">
                  <c:v>1.7980350827603999E-4</c:v>
                </c:pt>
                <c:pt idx="34">
                  <c:v>1.9255445092453902E-2</c:v>
                </c:pt>
                <c:pt idx="35">
                  <c:v>1.6269594628193199E-4</c:v>
                </c:pt>
                <c:pt idx="36">
                  <c:v>1.21978587530894E-4</c:v>
                </c:pt>
                <c:pt idx="37">
                  <c:v>2.2379941789899001E-5</c:v>
                </c:pt>
                <c:pt idx="38">
                  <c:v>5.75349268998138E-3</c:v>
                </c:pt>
                <c:pt idx="39">
                  <c:v>1.12279261827481E-4</c:v>
                </c:pt>
                <c:pt idx="40">
                  <c:v>1.0348164369413999E-2</c:v>
                </c:pt>
                <c:pt idx="41">
                  <c:v>8.3026431639454106E-5</c:v>
                </c:pt>
                <c:pt idx="42">
                  <c:v>7.9903547662563794E-3</c:v>
                </c:pt>
                <c:pt idx="43">
                  <c:v>9.5799728814753904E-5</c:v>
                </c:pt>
                <c:pt idx="44">
                  <c:v>1.4250411214141199E-4</c:v>
                </c:pt>
                <c:pt idx="45">
                  <c:v>4.4910441506546997E-7</c:v>
                </c:pt>
                <c:pt idx="46">
                  <c:v>6.1134889803356305E-7</c:v>
                </c:pt>
                <c:pt idx="47">
                  <c:v>6.3450426927855004E-5</c:v>
                </c:pt>
                <c:pt idx="48">
                  <c:v>1.8425984900801398E-5</c:v>
                </c:pt>
                <c:pt idx="49">
                  <c:v>4.7418170907947699E-3</c:v>
                </c:pt>
                <c:pt idx="50">
                  <c:v>5.5392914016134901E-5</c:v>
                </c:pt>
                <c:pt idx="51">
                  <c:v>3.44851117834099E-4</c:v>
                </c:pt>
                <c:pt idx="52">
                  <c:v>2.8300080458315601E-5</c:v>
                </c:pt>
                <c:pt idx="53">
                  <c:v>4.2557280044161803E-5</c:v>
                </c:pt>
                <c:pt idx="54">
                  <c:v>5.2720621987979895E-7</c:v>
                </c:pt>
                <c:pt idx="55">
                  <c:v>2.24379733400372E-5</c:v>
                </c:pt>
                <c:pt idx="56">
                  <c:v>4.6929531996081299E-7</c:v>
                </c:pt>
                <c:pt idx="57">
                  <c:v>1.38587417741823E-5</c:v>
                </c:pt>
                <c:pt idx="58">
                  <c:v>4.45171575565791E-4</c:v>
                </c:pt>
                <c:pt idx="59">
                  <c:v>1.17562894015281E-2</c:v>
                </c:pt>
                <c:pt idx="60">
                  <c:v>4.7418170907947699E-3</c:v>
                </c:pt>
                <c:pt idx="61">
                  <c:v>2.7500858680716198E-4</c:v>
                </c:pt>
                <c:pt idx="62">
                  <c:v>1.53292102482491E-5</c:v>
                </c:pt>
                <c:pt idx="63">
                  <c:v>1.01E-5</c:v>
                </c:pt>
                <c:pt idx="64">
                  <c:v>3.1499999999999999E-6</c:v>
                </c:pt>
                <c:pt idx="65">
                  <c:v>1.7599999999999999E-7</c:v>
                </c:pt>
                <c:pt idx="66">
                  <c:v>1.2970870210054401E-5</c:v>
                </c:pt>
                <c:pt idx="67">
                  <c:v>2.0495027674894798E-5</c:v>
                </c:pt>
                <c:pt idx="68">
                  <c:v>1.32286681147992E-3</c:v>
                </c:pt>
                <c:pt idx="69">
                  <c:v>1.31018891010525E-6</c:v>
                </c:pt>
                <c:pt idx="70">
                  <c:v>1.32286681147992E-3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55B-4EE3-AAE4-AC679CEB31D2}"/>
            </c:ext>
          </c:extLst>
        </c:ser>
        <c:ser>
          <c:idx val="15"/>
          <c:order val="15"/>
          <c:tx>
            <c:strRef>
              <c:f>'Analyse perseq'!$Q$4</c:f>
              <c:strCache>
                <c:ptCount val="1"/>
                <c:pt idx="0">
                  <c:v>Somme de EF 3.0 Human toxicity, non-cancer - total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'Analyse perseq'!$A$5:$A$120</c:f>
              <c:multiLvlStrCache>
                <c:ptCount val="71"/>
                <c:lvl>
                  <c:pt idx="0">
                    <c:v>GLO: Cargo plane, 65 t payload Sphera &lt;u-so&gt;</c:v>
                  </c:pt>
                  <c:pt idx="1">
                    <c:v>System IFE boitier</c:v>
                  </c:pt>
                  <c:pt idx="2">
                    <c:v>A2017</c:v>
                  </c:pt>
                  <c:pt idx="3">
                    <c:v>Transport</c:v>
                  </c:pt>
                  <c:pt idx="4">
                    <c:v>A2024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A2017</c:v>
                  </c:pt>
                  <c:pt idx="9">
                    <c:v>A2017</c:v>
                  </c:pt>
                  <c:pt idx="10">
                    <c:v>A2017</c:v>
                  </c:pt>
                  <c:pt idx="11">
                    <c:v>A5086</c:v>
                  </c:pt>
                  <c:pt idx="12">
                    <c:v>Nettoyage et désinfection</c:v>
                  </c:pt>
                  <c:pt idx="13">
                    <c:v>A2017</c:v>
                  </c:pt>
                  <c:pt idx="14">
                    <c:v>A2024</c:v>
                  </c:pt>
                  <c:pt idx="15">
                    <c:v>Alu</c:v>
                  </c:pt>
                  <c:pt idx="16">
                    <c:v>télécommande</c:v>
                  </c:pt>
                  <c:pt idx="17">
                    <c:v>Alu</c:v>
                  </c:pt>
                  <c:pt idx="18">
                    <c:v>Transport</c:v>
                  </c:pt>
                  <c:pt idx="19">
                    <c:v>packaging</c:v>
                  </c:pt>
                  <c:pt idx="20">
                    <c:v>A5086</c:v>
                  </c:pt>
                  <c:pt idx="21">
                    <c:v>powerbox</c:v>
                  </c:pt>
                  <c:pt idx="22">
                    <c:v>Transport</c:v>
                  </c:pt>
                  <c:pt idx="23">
                    <c:v>A2017</c:v>
                  </c:pt>
                  <c:pt idx="24">
                    <c:v>A5086</c:v>
                  </c:pt>
                  <c:pt idx="25">
                    <c:v>NIDA</c:v>
                  </c:pt>
                  <c:pt idx="26">
                    <c:v>packaging</c:v>
                  </c:pt>
                  <c:pt idx="27">
                    <c:v>gaz atelier</c:v>
                  </c:pt>
                  <c:pt idx="28">
                    <c:v>élec atelier</c:v>
                  </c:pt>
                  <c:pt idx="29">
                    <c:v>A2017</c:v>
                  </c:pt>
                  <c:pt idx="30">
                    <c:v>tissu</c:v>
                  </c:pt>
                  <c:pt idx="31">
                    <c:v>FRMC55</c:v>
                  </c:pt>
                  <c:pt idx="32">
                    <c:v>A5086</c:v>
                  </c:pt>
                  <c:pt idx="33">
                    <c:v>cables</c:v>
                  </c:pt>
                  <c:pt idx="34">
                    <c:v>tissu</c:v>
                  </c:pt>
                  <c:pt idx="35">
                    <c:v>A5086</c:v>
                  </c:pt>
                  <c:pt idx="36">
                    <c:v>A5086</c:v>
                  </c:pt>
                  <c:pt idx="37">
                    <c:v>A6060</c:v>
                  </c:pt>
                  <c:pt idx="38">
                    <c:v>nylon</c:v>
                  </c:pt>
                  <c:pt idx="39">
                    <c:v>acier</c:v>
                  </c:pt>
                  <c:pt idx="40">
                    <c:v>tissu</c:v>
                  </c:pt>
                  <c:pt idx="41">
                    <c:v>FRMC55</c:v>
                  </c:pt>
                  <c:pt idx="42">
                    <c:v>tissu</c:v>
                  </c:pt>
                  <c:pt idx="43">
                    <c:v>FRMC55</c:v>
                  </c:pt>
                  <c:pt idx="44">
                    <c:v>Clavier</c:v>
                  </c:pt>
                  <c:pt idx="45">
                    <c:v>Transport</c:v>
                  </c:pt>
                  <c:pt idx="46">
                    <c:v>Transport</c:v>
                  </c:pt>
                  <c:pt idx="47">
                    <c:v>acier</c:v>
                  </c:pt>
                  <c:pt idx="48">
                    <c:v>nylon</c:v>
                  </c:pt>
                  <c:pt idx="49">
                    <c:v>tissu</c:v>
                  </c:pt>
                  <c:pt idx="50">
                    <c:v>A2017</c:v>
                  </c:pt>
                  <c:pt idx="51">
                    <c:v>kydex</c:v>
                  </c:pt>
                  <c:pt idx="52">
                    <c:v>A5086</c:v>
                  </c:pt>
                  <c:pt idx="53">
                    <c:v>A2017</c:v>
                  </c:pt>
                  <c:pt idx="54">
                    <c:v>Transport</c:v>
                  </c:pt>
                  <c:pt idx="55">
                    <c:v>A5086</c:v>
                  </c:pt>
                  <c:pt idx="56">
                    <c:v>Transport</c:v>
                  </c:pt>
                  <c:pt idx="57">
                    <c:v>A5086</c:v>
                  </c:pt>
                  <c:pt idx="58">
                    <c:v>Padding</c:v>
                  </c:pt>
                  <c:pt idx="59">
                    <c:v>packaging</c:v>
                  </c:pt>
                  <c:pt idx="60">
                    <c:v>tissu</c:v>
                  </c:pt>
                  <c:pt idx="61">
                    <c:v>Z10CNT18</c:v>
                  </c:pt>
                  <c:pt idx="62">
                    <c:v>A5086</c:v>
                  </c:pt>
                  <c:pt idx="63">
                    <c:v>Copolymere Lexan FST</c:v>
                  </c:pt>
                  <c:pt idx="64">
                    <c:v>A5086</c:v>
                  </c:pt>
                  <c:pt idx="65">
                    <c:v>Transport</c:v>
                  </c:pt>
                  <c:pt idx="66">
                    <c:v>A5086</c:v>
                  </c:pt>
                  <c:pt idx="67">
                    <c:v>kydex</c:v>
                  </c:pt>
                  <c:pt idx="68">
                    <c:v>packaging</c:v>
                  </c:pt>
                  <c:pt idx="69">
                    <c:v>A5086</c:v>
                  </c:pt>
                  <c:pt idx="70">
                    <c:v>packaging</c:v>
                  </c:pt>
                </c:lvl>
                <c:lvl>
                  <c:pt idx="0">
                    <c:v>Consommation passive</c:v>
                  </c:pt>
                  <c:pt idx="1">
                    <c:v>System IFE</c:v>
                  </c:pt>
                  <c:pt idx="2">
                    <c:v>Ens. Structure fauteuil</c:v>
                  </c:pt>
                  <c:pt idx="5">
                    <c:v>Commande actionnement ECU</c:v>
                  </c:pt>
                  <c:pt idx="6">
                    <c:v>lightning</c:v>
                  </c:pt>
                  <c:pt idx="7">
                    <c:v>Ecran</c:v>
                  </c:pt>
                  <c:pt idx="8">
                    <c:v>Ens. Tablette cocktail</c:v>
                  </c:pt>
                  <c:pt idx="9">
                    <c:v>Ens. Palette optimisée</c:v>
                  </c:pt>
                  <c:pt idx="10">
                    <c:v>Stowage assemblé avec porte</c:v>
                  </c:pt>
                  <c:pt idx="12">
                    <c:v>Entretien</c:v>
                  </c:pt>
                  <c:pt idx="13">
                    <c:v>Ens. Tablette repas</c:v>
                  </c:pt>
                  <c:pt idx="15">
                    <c:v>Ensemble porte</c:v>
                  </c:pt>
                  <c:pt idx="16">
                    <c:v>Remote extender unit</c:v>
                  </c:pt>
                  <c:pt idx="17">
                    <c:v>Ens. Structure fixe</c:v>
                  </c:pt>
                  <c:pt idx="18">
                    <c:v>Livraison à Hambourg</c:v>
                  </c:pt>
                  <c:pt idx="20">
                    <c:v>Ens. Equipements latéraux</c:v>
                  </c:pt>
                  <c:pt idx="21">
                    <c:v>Powerbox</c:v>
                  </c:pt>
                  <c:pt idx="23">
                    <c:v>Accoudoir allée</c:v>
                  </c:pt>
                  <c:pt idx="25">
                    <c:v>Ens. Coque</c:v>
                  </c:pt>
                  <c:pt idx="27">
                    <c:v>Site assemblage</c:v>
                  </c:pt>
                  <c:pt idx="29">
                    <c:v>Support écran</c:v>
                  </c:pt>
                  <c:pt idx="30">
                    <c:v>Ens. Coussin dossier</c:v>
                  </c:pt>
                  <c:pt idx="32">
                    <c:v>Structure ottoman horizontale</c:v>
                  </c:pt>
                  <c:pt idx="33">
                    <c:v>Brackets set</c:v>
                  </c:pt>
                  <c:pt idx="34">
                    <c:v>Ens.coussin dossier version têtière</c:v>
                  </c:pt>
                  <c:pt idx="35">
                    <c:v>Habillage sous fauteuil</c:v>
                  </c:pt>
                  <c:pt idx="36">
                    <c:v>Renfort tubulaire</c:v>
                  </c:pt>
                  <c:pt idx="38">
                    <c:v>Support clamps</c:v>
                  </c:pt>
                  <c:pt idx="40">
                    <c:v>Ens. Coussin assise</c:v>
                  </c:pt>
                  <c:pt idx="42">
                    <c:v>Coussin ottoman</c:v>
                  </c:pt>
                  <c:pt idx="44">
                    <c:v>SFCU</c:v>
                  </c:pt>
                  <c:pt idx="46">
                    <c:v>Ceinture de sécurité</c:v>
                  </c:pt>
                  <c:pt idx="49">
                    <c:v>Ens. Têtière</c:v>
                  </c:pt>
                  <c:pt idx="51">
                    <c:v>Ens. Stowage latéral</c:v>
                  </c:pt>
                  <c:pt idx="54">
                    <c:v>Manchette équipée</c:v>
                  </c:pt>
                  <c:pt idx="56">
                    <c:v>Manchette acc. Mobile</c:v>
                  </c:pt>
                  <c:pt idx="58">
                    <c:v>Padding</c:v>
                  </c:pt>
                  <c:pt idx="60">
                    <c:v>Coussin têtière</c:v>
                  </c:pt>
                  <c:pt idx="61">
                    <c:v>Ens. Structure porte</c:v>
                  </c:pt>
                  <c:pt idx="62">
                    <c:v>Support manchette équipée</c:v>
                  </c:pt>
                  <c:pt idx="63">
                    <c:v>Bumper version porte</c:v>
                  </c:pt>
                  <c:pt idx="66">
                    <c:v>Support équipé</c:v>
                  </c:pt>
                  <c:pt idx="67">
                    <c:v>Capot NFC</c:v>
                  </c:pt>
                  <c:pt idx="69">
                    <c:v>Support NFC</c:v>
                  </c:pt>
                </c:lvl>
              </c:multiLvlStrCache>
            </c:multiLvlStrRef>
          </c:cat>
          <c:val>
            <c:numRef>
              <c:f>'Analyse perseq'!$Q$5:$Q$120</c:f>
              <c:numCache>
                <c:formatCode>General</c:formatCode>
                <c:ptCount val="71"/>
                <c:pt idx="0">
                  <c:v>1.583597955820286</c:v>
                </c:pt>
                <c:pt idx="1">
                  <c:v>0.13107290243957001</c:v>
                </c:pt>
                <c:pt idx="2">
                  <c:v>7.8723769881609892E-3</c:v>
                </c:pt>
                <c:pt idx="3">
                  <c:v>5.68869553094941E-3</c:v>
                </c:pt>
                <c:pt idx="4">
                  <c:v>3.2979252542852601E-3</c:v>
                </c:pt>
                <c:pt idx="5">
                  <c:v>6.5536668933669606E-2</c:v>
                </c:pt>
                <c:pt idx="6">
                  <c:v>1.2581075785171E-2</c:v>
                </c:pt>
                <c:pt idx="7">
                  <c:v>0.119710414808606</c:v>
                </c:pt>
                <c:pt idx="8">
                  <c:v>8.1172106069365407E-3</c:v>
                </c:pt>
                <c:pt idx="9">
                  <c:v>7.5317408837233899E-3</c:v>
                </c:pt>
                <c:pt idx="10">
                  <c:v>3.0051919390878101E-3</c:v>
                </c:pt>
                <c:pt idx="11">
                  <c:v>1.14710873634992E-3</c:v>
                </c:pt>
                <c:pt idx="12">
                  <c:v>4.6409999999999993E-3</c:v>
                </c:pt>
                <c:pt idx="13">
                  <c:v>2.7811652341563999E-3</c:v>
                </c:pt>
                <c:pt idx="14">
                  <c:v>8.3018707089367897E-4</c:v>
                </c:pt>
                <c:pt idx="15">
                  <c:v>3.4661360552259101E-3</c:v>
                </c:pt>
                <c:pt idx="16">
                  <c:v>1.00437946326746E-2</c:v>
                </c:pt>
                <c:pt idx="17">
                  <c:v>2.00031413564074E-3</c:v>
                </c:pt>
                <c:pt idx="18">
                  <c:v>9.4496801660980199E-4</c:v>
                </c:pt>
                <c:pt idx="19">
                  <c:v>1.83449649473853E-3</c:v>
                </c:pt>
                <c:pt idx="20">
                  <c:v>1.69755508149076E-3</c:v>
                </c:pt>
                <c:pt idx="21">
                  <c:v>3.47053348970454E-3</c:v>
                </c:pt>
                <c:pt idx="22">
                  <c:v>5.0203849133974396E-4</c:v>
                </c:pt>
                <c:pt idx="23">
                  <c:v>1.40790282523102E-3</c:v>
                </c:pt>
                <c:pt idx="24">
                  <c:v>1.4656033987319299E-4</c:v>
                </c:pt>
                <c:pt idx="25">
                  <c:v>2.9691943037810599E-3</c:v>
                </c:pt>
                <c:pt idx="26">
                  <c:v>1.05446008603927E-4</c:v>
                </c:pt>
                <c:pt idx="27">
                  <c:v>1.8012657720561999E-4</c:v>
                </c:pt>
                <c:pt idx="28">
                  <c:v>8.4653631717639805E-4</c:v>
                </c:pt>
                <c:pt idx="29">
                  <c:v>1.0445051086071099E-3</c:v>
                </c:pt>
                <c:pt idx="30">
                  <c:v>4.75184283689058E-4</c:v>
                </c:pt>
                <c:pt idx="31">
                  <c:v>4.6281227100300801E-4</c:v>
                </c:pt>
                <c:pt idx="32">
                  <c:v>8.9420359264403605E-4</c:v>
                </c:pt>
                <c:pt idx="33">
                  <c:v>1.2638782804543099E-3</c:v>
                </c:pt>
                <c:pt idx="34">
                  <c:v>4.8847615176427698E-4</c:v>
                </c:pt>
                <c:pt idx="35">
                  <c:v>7.9445590277953603E-4</c:v>
                </c:pt>
                <c:pt idx="36">
                  <c:v>4.3179644437323501E-4</c:v>
                </c:pt>
                <c:pt idx="37">
                  <c:v>1.5777416206086601E-4</c:v>
                </c:pt>
                <c:pt idx="38">
                  <c:v>5.6987424260930104E-3</c:v>
                </c:pt>
                <c:pt idx="39">
                  <c:v>1.7732203683073201E-4</c:v>
                </c:pt>
                <c:pt idx="40">
                  <c:v>2.63E-4</c:v>
                </c:pt>
                <c:pt idx="41">
                  <c:v>3.6900000000000002E-4</c:v>
                </c:pt>
                <c:pt idx="42">
                  <c:v>2.02700988147081E-4</c:v>
                </c:pt>
                <c:pt idx="43">
                  <c:v>4.2633027713842602E-4</c:v>
                </c:pt>
                <c:pt idx="44">
                  <c:v>1.143984137412E-3</c:v>
                </c:pt>
                <c:pt idx="45">
                  <c:v>1.42101836645763E-4</c:v>
                </c:pt>
                <c:pt idx="46">
                  <c:v>1.9343786951919799E-4</c:v>
                </c:pt>
                <c:pt idx="47">
                  <c:v>9.9511021024280302E-5</c:v>
                </c:pt>
                <c:pt idx="48">
                  <c:v>6.9038499597826798E-5</c:v>
                </c:pt>
                <c:pt idx="49">
                  <c:v>1.20291406080727E-4</c:v>
                </c:pt>
                <c:pt idx="50">
                  <c:v>2.16762103626286E-4</c:v>
                </c:pt>
                <c:pt idx="51">
                  <c:v>2.28467382664899E-4</c:v>
                </c:pt>
                <c:pt idx="52">
                  <c:v>1.0018048548294199E-4</c:v>
                </c:pt>
                <c:pt idx="53">
                  <c:v>6.52367298008233E-5</c:v>
                </c:pt>
                <c:pt idx="54">
                  <c:v>1.54688336685507E-4</c:v>
                </c:pt>
                <c:pt idx="55">
                  <c:v>8.0073905151024002E-5</c:v>
                </c:pt>
                <c:pt idx="56">
                  <c:v>1.36364657460273E-4</c:v>
                </c:pt>
                <c:pt idx="57">
                  <c:v>4.9458330605026597E-5</c:v>
                </c:pt>
                <c:pt idx="58">
                  <c:v>3.5106170665120701E-4</c:v>
                </c:pt>
                <c:pt idx="59">
                  <c:v>3.6172797118581E-5</c:v>
                </c:pt>
                <c:pt idx="60">
                  <c:v>1.20291406080727E-4</c:v>
                </c:pt>
                <c:pt idx="61">
                  <c:v>2.6847324411218601E-4</c:v>
                </c:pt>
                <c:pt idx="62">
                  <c:v>5.4264429636593501E-5</c:v>
                </c:pt>
                <c:pt idx="63">
                  <c:v>2.97E-5</c:v>
                </c:pt>
                <c:pt idx="64">
                  <c:v>1.1199999999999999E-5</c:v>
                </c:pt>
                <c:pt idx="65">
                  <c:v>1.0499999999999999E-5</c:v>
                </c:pt>
                <c:pt idx="66">
                  <c:v>4.5916055846348303E-5</c:v>
                </c:pt>
                <c:pt idx="67">
                  <c:v>1.3578164861221399E-5</c:v>
                </c:pt>
                <c:pt idx="68">
                  <c:v>4.3418542894465003E-6</c:v>
                </c:pt>
                <c:pt idx="69">
                  <c:v>4.6379854390250803E-6</c:v>
                </c:pt>
                <c:pt idx="70">
                  <c:v>4.3418542894465003E-6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55B-4EE3-AAE4-AC679CEB3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87812320"/>
        <c:axId val="1787811072"/>
      </c:barChart>
      <c:catAx>
        <c:axId val="178781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7811072"/>
        <c:crosses val="autoZero"/>
        <c:auto val="1"/>
        <c:lblAlgn val="ctr"/>
        <c:lblOffset val="100"/>
        <c:noMultiLvlLbl val="0"/>
      </c:catAx>
      <c:valAx>
        <c:axId val="17878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781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[STELIA LCA SEATS v14022022v2.xlsx]Scoring!Tableau croisé dynamique1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Scoring!$I$4</c:f>
              <c:strCache>
                <c:ptCount val="1"/>
                <c:pt idx="0">
                  <c:v>Somme de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Scoring!$I$5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Scoring!$I$5</c:f>
              <c:numCache>
                <c:formatCode>General</c:formatCode>
                <c:ptCount val="1"/>
                <c:pt idx="0">
                  <c:v>517.56422969586936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BD-44D6-B827-1CF505BF38CC}"/>
            </c:ext>
          </c:extLst>
        </c:ser>
        <c:ser>
          <c:idx val="1"/>
          <c:order val="1"/>
          <c:tx>
            <c:strRef>
              <c:f>Scoring!$J$4</c:f>
              <c:strCache>
                <c:ptCount val="1"/>
                <c:pt idx="0">
                  <c:v>Somme de Scenario 1kg de moins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Scoring!$I$5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Scoring!$J$5</c:f>
              <c:numCache>
                <c:formatCode>General</c:formatCode>
                <c:ptCount val="1"/>
                <c:pt idx="0">
                  <c:v>513.00066040515139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BD-44D6-B827-1CF505BF38CC}"/>
            </c:ext>
          </c:extLst>
        </c:ser>
        <c:ser>
          <c:idx val="2"/>
          <c:order val="2"/>
          <c:tx>
            <c:strRef>
              <c:f>Scoring!$K$4</c:f>
              <c:strCache>
                <c:ptCount val="1"/>
                <c:pt idx="0">
                  <c:v>Somme de Scenario sans IFE Powerbox et Ecran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Scoring!$I$5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Scoring!$K$5</c:f>
              <c:numCache>
                <c:formatCode>General</c:formatCode>
                <c:ptCount val="1"/>
                <c:pt idx="0">
                  <c:v>496.35275963261262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BD-44D6-B827-1CF505BF38CC}"/>
            </c:ext>
          </c:extLst>
        </c:ser>
        <c:ser>
          <c:idx val="3"/>
          <c:order val="3"/>
          <c:tx>
            <c:strRef>
              <c:f>Scoring!$L$4</c:f>
              <c:strCache>
                <c:ptCount val="1"/>
                <c:pt idx="0">
                  <c:v>Somme de Scenario tout FR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Scoring!$I$5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Scoring!$L$5</c:f>
              <c:numCache>
                <c:formatCode>General</c:formatCode>
                <c:ptCount val="1"/>
                <c:pt idx="0">
                  <c:v>517.55564623133876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1-49A4-867B-0E7D35C06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145119"/>
        <c:axId val="660145535"/>
      </c:barChart>
      <c:catAx>
        <c:axId val="66014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0145535"/>
        <c:crosses val="autoZero"/>
        <c:auto val="1"/>
        <c:lblAlgn val="ctr"/>
        <c:lblOffset val="100"/>
        <c:noMultiLvlLbl val="0"/>
      </c:catAx>
      <c:valAx>
        <c:axId val="66014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014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[STELIA LCA SEATS v14022022v2.xlsx]Analyse pondéré!Tableau croisé dynamique1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pondéré'!$B$5</c:f>
              <c:strCache>
                <c:ptCount val="1"/>
                <c:pt idx="0">
                  <c:v>Somme de EF 3.0 Resource use, fossils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'Analyse pondéré'!$A$6:$A$52</c:f>
              <c:strCache>
                <c:ptCount val="46"/>
                <c:pt idx="0">
                  <c:v>Consommation passive</c:v>
                </c:pt>
                <c:pt idx="1">
                  <c:v>System IFE</c:v>
                </c:pt>
                <c:pt idx="2">
                  <c:v>Ens. Structure fauteuil</c:v>
                </c:pt>
                <c:pt idx="3">
                  <c:v>Commande actionnement ECU</c:v>
                </c:pt>
                <c:pt idx="4">
                  <c:v>lightning</c:v>
                </c:pt>
                <c:pt idx="5">
                  <c:v>Ecran</c:v>
                </c:pt>
                <c:pt idx="6">
                  <c:v>Ens. Tablette cocktail</c:v>
                </c:pt>
                <c:pt idx="7">
                  <c:v>Ens. Palette optimisée</c:v>
                </c:pt>
                <c:pt idx="8">
                  <c:v>Entretien</c:v>
                </c:pt>
                <c:pt idx="9">
                  <c:v>Stowage assemblé avec porte</c:v>
                </c:pt>
                <c:pt idx="10">
                  <c:v>Site assemblage</c:v>
                </c:pt>
                <c:pt idx="11">
                  <c:v>Ens. Tablette repas</c:v>
                </c:pt>
                <c:pt idx="12">
                  <c:v>Ensemble porte</c:v>
                </c:pt>
                <c:pt idx="13">
                  <c:v>Ens. Structure fixe</c:v>
                </c:pt>
                <c:pt idx="14">
                  <c:v>Remote extender unit</c:v>
                </c:pt>
                <c:pt idx="15">
                  <c:v>Powerbox</c:v>
                </c:pt>
                <c:pt idx="16">
                  <c:v>Ens. Coque</c:v>
                </c:pt>
                <c:pt idx="17">
                  <c:v>Accoudoir allée</c:v>
                </c:pt>
                <c:pt idx="18">
                  <c:v>Ens. Equipements latéraux</c:v>
                </c:pt>
                <c:pt idx="19">
                  <c:v>Support écran</c:v>
                </c:pt>
                <c:pt idx="20">
                  <c:v>Livraison à Hambourg</c:v>
                </c:pt>
                <c:pt idx="21">
                  <c:v>Brackets set</c:v>
                </c:pt>
                <c:pt idx="22">
                  <c:v>Structure ottoman horizontale</c:v>
                </c:pt>
                <c:pt idx="23">
                  <c:v>Support clamps</c:v>
                </c:pt>
                <c:pt idx="24">
                  <c:v>Habillage sous fauteuil</c:v>
                </c:pt>
                <c:pt idx="25">
                  <c:v>Renfort tubulaire</c:v>
                </c:pt>
                <c:pt idx="26">
                  <c:v>Ens. Stowage latéral</c:v>
                </c:pt>
                <c:pt idx="27">
                  <c:v>SFCU</c:v>
                </c:pt>
                <c:pt idx="28">
                  <c:v>Ens. Coussin dossier</c:v>
                </c:pt>
                <c:pt idx="29">
                  <c:v>Ceinture de sécurité</c:v>
                </c:pt>
                <c:pt idx="30">
                  <c:v>Padding</c:v>
                </c:pt>
                <c:pt idx="31">
                  <c:v>Coussin ottoman</c:v>
                </c:pt>
                <c:pt idx="32">
                  <c:v>Ens.coussin dossier version têtière</c:v>
                </c:pt>
                <c:pt idx="33">
                  <c:v>Ens. Coussin assise</c:v>
                </c:pt>
                <c:pt idx="34">
                  <c:v>Manchette équipée</c:v>
                </c:pt>
                <c:pt idx="35">
                  <c:v>Enfouissement</c:v>
                </c:pt>
                <c:pt idx="36">
                  <c:v>Manchette acc. Mobile</c:v>
                </c:pt>
                <c:pt idx="37">
                  <c:v>Ens. Têtière</c:v>
                </c:pt>
                <c:pt idx="38">
                  <c:v>Ens. Structure porte</c:v>
                </c:pt>
                <c:pt idx="39">
                  <c:v>Bumper version porte</c:v>
                </c:pt>
                <c:pt idx="40">
                  <c:v>Coussin têtière</c:v>
                </c:pt>
                <c:pt idx="41">
                  <c:v>Support manchette équipée</c:v>
                </c:pt>
                <c:pt idx="42">
                  <c:v>Support équipé</c:v>
                </c:pt>
                <c:pt idx="43">
                  <c:v>Capot NFC</c:v>
                </c:pt>
                <c:pt idx="44">
                  <c:v>Support NFC</c:v>
                </c:pt>
                <c:pt idx="45">
                  <c:v>Recyclage</c:v>
                </c:pt>
              </c:strCache>
            </c:strRef>
          </c:cat>
          <c:val>
            <c:numRef>
              <c:f>'Analyse pondéré'!$B$6:$B$52</c:f>
              <c:numCache>
                <c:formatCode>General</c:formatCode>
                <c:ptCount val="46"/>
                <c:pt idx="0">
                  <c:v>145.9221403246147</c:v>
                </c:pt>
                <c:pt idx="1">
                  <c:v>0.15432784591912921</c:v>
                </c:pt>
                <c:pt idx="2">
                  <c:v>0.1086649594119245</c:v>
                </c:pt>
                <c:pt idx="3">
                  <c:v>7.7298171807618554E-2</c:v>
                </c:pt>
                <c:pt idx="4">
                  <c:v>5.6098106334070509E-2</c:v>
                </c:pt>
                <c:pt idx="5">
                  <c:v>5.1043009182401781E-2</c:v>
                </c:pt>
                <c:pt idx="6">
                  <c:v>4.6996611817517964E-2</c:v>
                </c:pt>
                <c:pt idx="7">
                  <c:v>4.5624252618513418E-2</c:v>
                </c:pt>
                <c:pt idx="8">
                  <c:v>3.7060607999999995E-2</c:v>
                </c:pt>
                <c:pt idx="9">
                  <c:v>2.8219895537497573E-2</c:v>
                </c:pt>
                <c:pt idx="10">
                  <c:v>2.2740879159570692E-2</c:v>
                </c:pt>
                <c:pt idx="11">
                  <c:v>2.1469876545568808E-2</c:v>
                </c:pt>
                <c:pt idx="12">
                  <c:v>1.9578138991484272E-2</c:v>
                </c:pt>
                <c:pt idx="13">
                  <c:v>1.217970841841149E-2</c:v>
                </c:pt>
                <c:pt idx="14">
                  <c:v>1.1975329577268762E-2</c:v>
                </c:pt>
                <c:pt idx="15">
                  <c:v>1.1422243683507652E-2</c:v>
                </c:pt>
                <c:pt idx="16">
                  <c:v>1.086078116676569E-2</c:v>
                </c:pt>
                <c:pt idx="17">
                  <c:v>9.9806494789750691E-3</c:v>
                </c:pt>
                <c:pt idx="18">
                  <c:v>9.6394629603882426E-3</c:v>
                </c:pt>
                <c:pt idx="19">
                  <c:v>8.0979225497670726E-3</c:v>
                </c:pt>
                <c:pt idx="20">
                  <c:v>7.9206399999999996E-3</c:v>
                </c:pt>
                <c:pt idx="21">
                  <c:v>5.0455204008123108E-3</c:v>
                </c:pt>
                <c:pt idx="22">
                  <c:v>4.976242613476547E-3</c:v>
                </c:pt>
                <c:pt idx="23">
                  <c:v>4.3186948072649351E-3</c:v>
                </c:pt>
                <c:pt idx="24">
                  <c:v>4.0482815890983768E-3</c:v>
                </c:pt>
                <c:pt idx="25">
                  <c:v>3.445331314625359E-3</c:v>
                </c:pt>
                <c:pt idx="26">
                  <c:v>2.9621259474469819E-3</c:v>
                </c:pt>
                <c:pt idx="27">
                  <c:v>2.7733791627334E-3</c:v>
                </c:pt>
                <c:pt idx="28">
                  <c:v>2.7336072963312233E-3</c:v>
                </c:pt>
                <c:pt idx="29">
                  <c:v>2.6623800341074445E-3</c:v>
                </c:pt>
                <c:pt idx="30">
                  <c:v>2.3998000235656396E-3</c:v>
                </c:pt>
                <c:pt idx="31">
                  <c:v>2.337333667225109E-3</c:v>
                </c:pt>
                <c:pt idx="32">
                  <c:v>2.3006951472527544E-3</c:v>
                </c:pt>
                <c:pt idx="33">
                  <c:v>2.0629114426414957E-3</c:v>
                </c:pt>
                <c:pt idx="34">
                  <c:v>1.8170987786875034E-3</c:v>
                </c:pt>
                <c:pt idx="35">
                  <c:v>1.50438912E-3</c:v>
                </c:pt>
                <c:pt idx="36">
                  <c:v>1.4471276855474165E-3</c:v>
                </c:pt>
                <c:pt idx="37">
                  <c:v>1.3295641653534771E-3</c:v>
                </c:pt>
                <c:pt idx="38">
                  <c:v>1.1641399150542694E-3</c:v>
                </c:pt>
                <c:pt idx="39">
                  <c:v>5.1850240000000003E-4</c:v>
                </c:pt>
                <c:pt idx="40">
                  <c:v>4.2291847542908357E-4</c:v>
                </c:pt>
                <c:pt idx="41">
                  <c:v>3.2627755108726727E-4</c:v>
                </c:pt>
                <c:pt idx="42">
                  <c:v>2.783927101371872E-4</c:v>
                </c:pt>
                <c:pt idx="43">
                  <c:v>1.2592025919026269E-4</c:v>
                </c:pt>
                <c:pt idx="44">
                  <c:v>4.893599454367134E-5</c:v>
                </c:pt>
                <c:pt idx="45">
                  <c:v>-0.27653464823306717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7-444C-8CD9-605D8453843C}"/>
            </c:ext>
          </c:extLst>
        </c:ser>
        <c:ser>
          <c:idx val="1"/>
          <c:order val="1"/>
          <c:tx>
            <c:strRef>
              <c:f>'Analyse pondéré'!$C$5</c:f>
              <c:strCache>
                <c:ptCount val="1"/>
                <c:pt idx="0">
                  <c:v>Somme de EF 3.0 Acidification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'Analyse pondéré'!$A$6:$A$52</c:f>
              <c:strCache>
                <c:ptCount val="46"/>
                <c:pt idx="0">
                  <c:v>Consommation passive</c:v>
                </c:pt>
                <c:pt idx="1">
                  <c:v>System IFE</c:v>
                </c:pt>
                <c:pt idx="2">
                  <c:v>Ens. Structure fauteuil</c:v>
                </c:pt>
                <c:pt idx="3">
                  <c:v>Commande actionnement ECU</c:v>
                </c:pt>
                <c:pt idx="4">
                  <c:v>lightning</c:v>
                </c:pt>
                <c:pt idx="5">
                  <c:v>Ecran</c:v>
                </c:pt>
                <c:pt idx="6">
                  <c:v>Ens. Tablette cocktail</c:v>
                </c:pt>
                <c:pt idx="7">
                  <c:v>Ens. Palette optimisée</c:v>
                </c:pt>
                <c:pt idx="8">
                  <c:v>Entretien</c:v>
                </c:pt>
                <c:pt idx="9">
                  <c:v>Stowage assemblé avec porte</c:v>
                </c:pt>
                <c:pt idx="10">
                  <c:v>Site assemblage</c:v>
                </c:pt>
                <c:pt idx="11">
                  <c:v>Ens. Tablette repas</c:v>
                </c:pt>
                <c:pt idx="12">
                  <c:v>Ensemble porte</c:v>
                </c:pt>
                <c:pt idx="13">
                  <c:v>Ens. Structure fixe</c:v>
                </c:pt>
                <c:pt idx="14">
                  <c:v>Remote extender unit</c:v>
                </c:pt>
                <c:pt idx="15">
                  <c:v>Powerbox</c:v>
                </c:pt>
                <c:pt idx="16">
                  <c:v>Ens. Coque</c:v>
                </c:pt>
                <c:pt idx="17">
                  <c:v>Accoudoir allée</c:v>
                </c:pt>
                <c:pt idx="18">
                  <c:v>Ens. Equipements latéraux</c:v>
                </c:pt>
                <c:pt idx="19">
                  <c:v>Support écran</c:v>
                </c:pt>
                <c:pt idx="20">
                  <c:v>Livraison à Hambourg</c:v>
                </c:pt>
                <c:pt idx="21">
                  <c:v>Brackets set</c:v>
                </c:pt>
                <c:pt idx="22">
                  <c:v>Structure ottoman horizontale</c:v>
                </c:pt>
                <c:pt idx="23">
                  <c:v>Support clamps</c:v>
                </c:pt>
                <c:pt idx="24">
                  <c:v>Habillage sous fauteuil</c:v>
                </c:pt>
                <c:pt idx="25">
                  <c:v>Renfort tubulaire</c:v>
                </c:pt>
                <c:pt idx="26">
                  <c:v>Ens. Stowage latéral</c:v>
                </c:pt>
                <c:pt idx="27">
                  <c:v>SFCU</c:v>
                </c:pt>
                <c:pt idx="28">
                  <c:v>Ens. Coussin dossier</c:v>
                </c:pt>
                <c:pt idx="29">
                  <c:v>Ceinture de sécurité</c:v>
                </c:pt>
                <c:pt idx="30">
                  <c:v>Padding</c:v>
                </c:pt>
                <c:pt idx="31">
                  <c:v>Coussin ottoman</c:v>
                </c:pt>
                <c:pt idx="32">
                  <c:v>Ens.coussin dossier version têtière</c:v>
                </c:pt>
                <c:pt idx="33">
                  <c:v>Ens. Coussin assise</c:v>
                </c:pt>
                <c:pt idx="34">
                  <c:v>Manchette équipée</c:v>
                </c:pt>
                <c:pt idx="35">
                  <c:v>Enfouissement</c:v>
                </c:pt>
                <c:pt idx="36">
                  <c:v>Manchette acc. Mobile</c:v>
                </c:pt>
                <c:pt idx="37">
                  <c:v>Ens. Têtière</c:v>
                </c:pt>
                <c:pt idx="38">
                  <c:v>Ens. Structure porte</c:v>
                </c:pt>
                <c:pt idx="39">
                  <c:v>Bumper version porte</c:v>
                </c:pt>
                <c:pt idx="40">
                  <c:v>Coussin têtière</c:v>
                </c:pt>
                <c:pt idx="41">
                  <c:v>Support manchette équipée</c:v>
                </c:pt>
                <c:pt idx="42">
                  <c:v>Support équipé</c:v>
                </c:pt>
                <c:pt idx="43">
                  <c:v>Capot NFC</c:v>
                </c:pt>
                <c:pt idx="44">
                  <c:v>Support NFC</c:v>
                </c:pt>
                <c:pt idx="45">
                  <c:v>Recyclage</c:v>
                </c:pt>
              </c:strCache>
            </c:strRef>
          </c:cat>
          <c:val>
            <c:numRef>
              <c:f>'Analyse pondéré'!$C$6:$C$52</c:f>
              <c:numCache>
                <c:formatCode>General</c:formatCode>
                <c:ptCount val="46"/>
                <c:pt idx="0">
                  <c:v>37.584896000000001</c:v>
                </c:pt>
                <c:pt idx="1">
                  <c:v>2.2511783359999999E-2</c:v>
                </c:pt>
                <c:pt idx="2">
                  <c:v>3.1976448902494889E-2</c:v>
                </c:pt>
                <c:pt idx="3">
                  <c:v>3.8086183359999998E-2</c:v>
                </c:pt>
                <c:pt idx="4">
                  <c:v>2.2511951999999998E-2</c:v>
                </c:pt>
                <c:pt idx="5">
                  <c:v>2.5386272000000001E-2</c:v>
                </c:pt>
                <c:pt idx="6">
                  <c:v>1.4091351245665209E-2</c:v>
                </c:pt>
                <c:pt idx="7">
                  <c:v>1.3138726112797429E-2</c:v>
                </c:pt>
                <c:pt idx="8">
                  <c:v>9.2851200000000009E-3</c:v>
                </c:pt>
                <c:pt idx="9">
                  <c:v>7.4536283673372486E-3</c:v>
                </c:pt>
                <c:pt idx="10">
                  <c:v>6.4113753599999988E-4</c:v>
                </c:pt>
                <c:pt idx="11">
                  <c:v>6.2129659221203419E-3</c:v>
                </c:pt>
                <c:pt idx="12">
                  <c:v>5.8867537127020274E-3</c:v>
                </c:pt>
                <c:pt idx="13">
                  <c:v>3.6686337419926623E-3</c:v>
                </c:pt>
                <c:pt idx="14">
                  <c:v>5.7249014400000001E-3</c:v>
                </c:pt>
                <c:pt idx="15">
                  <c:v>4.1044000000000002E-3</c:v>
                </c:pt>
                <c:pt idx="16">
                  <c:v>1.7608991999999999E-3</c:v>
                </c:pt>
                <c:pt idx="17">
                  <c:v>2.9927249506209344E-3</c:v>
                </c:pt>
                <c:pt idx="18">
                  <c:v>3.0115915286904869E-3</c:v>
                </c:pt>
                <c:pt idx="19">
                  <c:v>2.2265789980921214E-3</c:v>
                </c:pt>
                <c:pt idx="20">
                  <c:v>3.5308264938493381E-3</c:v>
                </c:pt>
                <c:pt idx="21">
                  <c:v>9.5549440000000001E-4</c:v>
                </c:pt>
                <c:pt idx="22">
                  <c:v>1.5545922655999999E-3</c:v>
                </c:pt>
                <c:pt idx="23">
                  <c:v>5.6944272000000002E-4</c:v>
                </c:pt>
                <c:pt idx="24">
                  <c:v>9.2787754060800001E-4</c:v>
                </c:pt>
                <c:pt idx="25">
                  <c:v>1.05389088E-3</c:v>
                </c:pt>
                <c:pt idx="26">
                  <c:v>4.8533806091883024E-4</c:v>
                </c:pt>
                <c:pt idx="27">
                  <c:v>9.9150400000000004E-4</c:v>
                </c:pt>
                <c:pt idx="28">
                  <c:v>7.6580607427465261E-3</c:v>
                </c:pt>
                <c:pt idx="29">
                  <c:v>5.5561919999999999E-4</c:v>
                </c:pt>
                <c:pt idx="30">
                  <c:v>6.1414719999999996E-4</c:v>
                </c:pt>
                <c:pt idx="31">
                  <c:v>3.4238483200000002E-3</c:v>
                </c:pt>
                <c:pt idx="32">
                  <c:v>7.8200550399999992E-3</c:v>
                </c:pt>
                <c:pt idx="33">
                  <c:v>4.3121247999999999E-3</c:v>
                </c:pt>
                <c:pt idx="34">
                  <c:v>4.8386142434845425E-4</c:v>
                </c:pt>
                <c:pt idx="35">
                  <c:v>5.4192960000000001E-4</c:v>
                </c:pt>
                <c:pt idx="36">
                  <c:v>3.8155003623857917E-4</c:v>
                </c:pt>
                <c:pt idx="37">
                  <c:v>2.2735221462899767E-3</c:v>
                </c:pt>
                <c:pt idx="38">
                  <c:v>4.7072217613234322E-4</c:v>
                </c:pt>
                <c:pt idx="39">
                  <c:v>7.9707200000000001E-5</c:v>
                </c:pt>
                <c:pt idx="40">
                  <c:v>1.9071851494056108E-3</c:v>
                </c:pt>
                <c:pt idx="41">
                  <c:v>1.03912E-4</c:v>
                </c:pt>
                <c:pt idx="42">
                  <c:v>8.9083583999999998E-5</c:v>
                </c:pt>
                <c:pt idx="43">
                  <c:v>1.7255839999999998E-5</c:v>
                </c:pt>
                <c:pt idx="44">
                  <c:v>1.7382815999999999E-5</c:v>
                </c:pt>
                <c:pt idx="45">
                  <c:v>-9.183975556414084E-2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57-444C-8CD9-605D8453843C}"/>
            </c:ext>
          </c:extLst>
        </c:ser>
        <c:ser>
          <c:idx val="2"/>
          <c:order val="2"/>
          <c:tx>
            <c:strRef>
              <c:f>'Analyse pondéré'!$D$5</c:f>
              <c:strCache>
                <c:ptCount val="1"/>
                <c:pt idx="0">
                  <c:v>Somme de EF 3.0 Climate Change -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'Analyse pondéré'!$A$6:$A$52</c:f>
              <c:strCache>
                <c:ptCount val="46"/>
                <c:pt idx="0">
                  <c:v>Consommation passive</c:v>
                </c:pt>
                <c:pt idx="1">
                  <c:v>System IFE</c:v>
                </c:pt>
                <c:pt idx="2">
                  <c:v>Ens. Structure fauteuil</c:v>
                </c:pt>
                <c:pt idx="3">
                  <c:v>Commande actionnement ECU</c:v>
                </c:pt>
                <c:pt idx="4">
                  <c:v>lightning</c:v>
                </c:pt>
                <c:pt idx="5">
                  <c:v>Ecran</c:v>
                </c:pt>
                <c:pt idx="6">
                  <c:v>Ens. Tablette cocktail</c:v>
                </c:pt>
                <c:pt idx="7">
                  <c:v>Ens. Palette optimisée</c:v>
                </c:pt>
                <c:pt idx="8">
                  <c:v>Entretien</c:v>
                </c:pt>
                <c:pt idx="9">
                  <c:v>Stowage assemblé avec porte</c:v>
                </c:pt>
                <c:pt idx="10">
                  <c:v>Site assemblage</c:v>
                </c:pt>
                <c:pt idx="11">
                  <c:v>Ens. Tablette repas</c:v>
                </c:pt>
                <c:pt idx="12">
                  <c:v>Ensemble porte</c:v>
                </c:pt>
                <c:pt idx="13">
                  <c:v>Ens. Structure fixe</c:v>
                </c:pt>
                <c:pt idx="14">
                  <c:v>Remote extender unit</c:v>
                </c:pt>
                <c:pt idx="15">
                  <c:v>Powerbox</c:v>
                </c:pt>
                <c:pt idx="16">
                  <c:v>Ens. Coque</c:v>
                </c:pt>
                <c:pt idx="17">
                  <c:v>Accoudoir allée</c:v>
                </c:pt>
                <c:pt idx="18">
                  <c:v>Ens. Equipements latéraux</c:v>
                </c:pt>
                <c:pt idx="19">
                  <c:v>Support écran</c:v>
                </c:pt>
                <c:pt idx="20">
                  <c:v>Livraison à Hambourg</c:v>
                </c:pt>
                <c:pt idx="21">
                  <c:v>Brackets set</c:v>
                </c:pt>
                <c:pt idx="22">
                  <c:v>Structure ottoman horizontale</c:v>
                </c:pt>
                <c:pt idx="23">
                  <c:v>Support clamps</c:v>
                </c:pt>
                <c:pt idx="24">
                  <c:v>Habillage sous fauteuil</c:v>
                </c:pt>
                <c:pt idx="25">
                  <c:v>Renfort tubulaire</c:v>
                </c:pt>
                <c:pt idx="26">
                  <c:v>Ens. Stowage latéral</c:v>
                </c:pt>
                <c:pt idx="27">
                  <c:v>SFCU</c:v>
                </c:pt>
                <c:pt idx="28">
                  <c:v>Ens. Coussin dossier</c:v>
                </c:pt>
                <c:pt idx="29">
                  <c:v>Ceinture de sécurité</c:v>
                </c:pt>
                <c:pt idx="30">
                  <c:v>Padding</c:v>
                </c:pt>
                <c:pt idx="31">
                  <c:v>Coussin ottoman</c:v>
                </c:pt>
                <c:pt idx="32">
                  <c:v>Ens.coussin dossier version têtière</c:v>
                </c:pt>
                <c:pt idx="33">
                  <c:v>Ens. Coussin assise</c:v>
                </c:pt>
                <c:pt idx="34">
                  <c:v>Manchette équipée</c:v>
                </c:pt>
                <c:pt idx="35">
                  <c:v>Enfouissement</c:v>
                </c:pt>
                <c:pt idx="36">
                  <c:v>Manchette acc. Mobile</c:v>
                </c:pt>
                <c:pt idx="37">
                  <c:v>Ens. Têtière</c:v>
                </c:pt>
                <c:pt idx="38">
                  <c:v>Ens. Structure porte</c:v>
                </c:pt>
                <c:pt idx="39">
                  <c:v>Bumper version porte</c:v>
                </c:pt>
                <c:pt idx="40">
                  <c:v>Coussin têtière</c:v>
                </c:pt>
                <c:pt idx="41">
                  <c:v>Support manchette équipée</c:v>
                </c:pt>
                <c:pt idx="42">
                  <c:v>Support équipé</c:v>
                </c:pt>
                <c:pt idx="43">
                  <c:v>Capot NFC</c:v>
                </c:pt>
                <c:pt idx="44">
                  <c:v>Support NFC</c:v>
                </c:pt>
                <c:pt idx="45">
                  <c:v>Recyclage</c:v>
                </c:pt>
              </c:strCache>
            </c:strRef>
          </c:cat>
          <c:val>
            <c:numRef>
              <c:f>'Analyse pondéré'!$D$6:$D$52</c:f>
              <c:numCache>
                <c:formatCode>General</c:formatCode>
                <c:ptCount val="46"/>
                <c:pt idx="0">
                  <c:v>219.15878400000003</c:v>
                </c:pt>
                <c:pt idx="1">
                  <c:v>0.24234736032000004</c:v>
                </c:pt>
                <c:pt idx="2">
                  <c:v>0.16710118181131717</c:v>
                </c:pt>
                <c:pt idx="3">
                  <c:v>0.12137872032000001</c:v>
                </c:pt>
                <c:pt idx="4">
                  <c:v>9.0042080543999994E-2</c:v>
                </c:pt>
                <c:pt idx="5">
                  <c:v>8.2022803199999994E-2</c:v>
                </c:pt>
                <c:pt idx="6">
                  <c:v>7.1602753270959565E-2</c:v>
                </c:pt>
                <c:pt idx="7">
                  <c:v>6.8519219702278533E-2</c:v>
                </c:pt>
                <c:pt idx="8">
                  <c:v>3.8548224000000006E-2</c:v>
                </c:pt>
                <c:pt idx="9">
                  <c:v>4.1479126321176826E-2</c:v>
                </c:pt>
                <c:pt idx="10">
                  <c:v>1.07398519488E-2</c:v>
                </c:pt>
                <c:pt idx="11">
                  <c:v>3.2251713854764281E-2</c:v>
                </c:pt>
                <c:pt idx="12">
                  <c:v>2.8785574697420567E-2</c:v>
                </c:pt>
                <c:pt idx="13">
                  <c:v>1.9464829704184634E-2</c:v>
                </c:pt>
                <c:pt idx="14">
                  <c:v>1.8597159360000001E-2</c:v>
                </c:pt>
                <c:pt idx="15">
                  <c:v>1.5281136000000001E-2</c:v>
                </c:pt>
                <c:pt idx="16">
                  <c:v>1.436258304E-2</c:v>
                </c:pt>
                <c:pt idx="17">
                  <c:v>1.5497470391268062E-2</c:v>
                </c:pt>
                <c:pt idx="18">
                  <c:v>1.5829179240854079E-2</c:v>
                </c:pt>
                <c:pt idx="19">
                  <c:v>1.208240509324846E-2</c:v>
                </c:pt>
                <c:pt idx="20">
                  <c:v>1.6224469948069632E-2</c:v>
                </c:pt>
                <c:pt idx="21">
                  <c:v>8.0838051840000022E-3</c:v>
                </c:pt>
                <c:pt idx="22">
                  <c:v>8.2333008576000004E-3</c:v>
                </c:pt>
                <c:pt idx="23">
                  <c:v>5.3915146646399993E-3</c:v>
                </c:pt>
                <c:pt idx="24">
                  <c:v>5.6014561672992E-3</c:v>
                </c:pt>
                <c:pt idx="25">
                  <c:v>5.8587235200000002E-3</c:v>
                </c:pt>
                <c:pt idx="26">
                  <c:v>2.9433616120975847E-3</c:v>
                </c:pt>
                <c:pt idx="27">
                  <c:v>4.3130879999999996E-3</c:v>
                </c:pt>
                <c:pt idx="28">
                  <c:v>9.122265160731757E-3</c:v>
                </c:pt>
                <c:pt idx="29">
                  <c:v>3.9397363199999997E-3</c:v>
                </c:pt>
                <c:pt idx="30">
                  <c:v>2.0723040000000001E-3</c:v>
                </c:pt>
                <c:pt idx="31">
                  <c:v>5.0399107200000013E-3</c:v>
                </c:pt>
                <c:pt idx="32">
                  <c:v>8.8723926720000006E-3</c:v>
                </c:pt>
                <c:pt idx="33">
                  <c:v>5.5824163200000002E-3</c:v>
                </c:pt>
                <c:pt idx="34">
                  <c:v>2.6847547868837683E-3</c:v>
                </c:pt>
                <c:pt idx="35">
                  <c:v>3.6752227200000003E-3</c:v>
                </c:pt>
                <c:pt idx="36">
                  <c:v>2.1323932740110532E-3</c:v>
                </c:pt>
                <c:pt idx="37">
                  <c:v>3.6665958530621465E-3</c:v>
                </c:pt>
                <c:pt idx="38">
                  <c:v>1.7624017382176318E-3</c:v>
                </c:pt>
                <c:pt idx="39">
                  <c:v>5.2060319999999998E-4</c:v>
                </c:pt>
                <c:pt idx="40">
                  <c:v>2.0540913386205908E-3</c:v>
                </c:pt>
                <c:pt idx="41">
                  <c:v>5.3757924479999998E-4</c:v>
                </c:pt>
                <c:pt idx="42">
                  <c:v>4.5989648640000009E-4</c:v>
                </c:pt>
                <c:pt idx="43">
                  <c:v>1.061390304E-4</c:v>
                </c:pt>
                <c:pt idx="44">
                  <c:v>7.9680931200000013E-5</c:v>
                </c:pt>
                <c:pt idx="45">
                  <c:v>-0.42942974867090933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57-444C-8CD9-605D84538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149503"/>
        <c:axId val="496400911"/>
      </c:barChart>
      <c:catAx>
        <c:axId val="66514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6400911"/>
        <c:crosses val="autoZero"/>
        <c:auto val="1"/>
        <c:lblAlgn val="ctr"/>
        <c:lblOffset val="100"/>
        <c:noMultiLvlLbl val="0"/>
      </c:catAx>
      <c:valAx>
        <c:axId val="49640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14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Détails des impacts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'Graphes perseq'!$C$22</c:f>
              <c:strCache>
                <c:ptCount val="1"/>
                <c:pt idx="0">
                  <c:v>Impact sans phase d'utilisation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76-42AD-A2A4-8E30EDADFD1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76-42AD-A2A4-8E30EDADFD1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76-42AD-A2A4-8E30EDADFD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  <a:effectLst/>
                  </c:spPr>
                </c15:leaderLines>
              </c:ext>
            </c:extLst>
          </c:dLbls>
          <c:cat>
            <c:strRef>
              <c:f>'Graphes perseq'!$A$23:$A$38</c:f>
              <c:strCache>
                <c:ptCount val="16"/>
                <c:pt idx="0">
                  <c:v>EF 3.0 Acidification</c:v>
                </c:pt>
                <c:pt idx="1">
                  <c:v>EF 3.0 Climate Change - total</c:v>
                </c:pt>
                <c:pt idx="2">
                  <c:v>EF 3.0 Ecotoxicity, freshwater - total</c:v>
                </c:pt>
                <c:pt idx="3">
                  <c:v>EF 3.0 Eutrophication, freshwater</c:v>
                </c:pt>
                <c:pt idx="4">
                  <c:v>EF 3.0 Eutrophication, marine</c:v>
                </c:pt>
                <c:pt idx="5">
                  <c:v>EF 3.0 Eutrophication, terrestrial</c:v>
                </c:pt>
                <c:pt idx="6">
                  <c:v>EF 3.0 Human toxicity, cancer - total</c:v>
                </c:pt>
                <c:pt idx="7">
                  <c:v>EF 3.0 Human toxicity, non-cancer - total</c:v>
                </c:pt>
                <c:pt idx="8">
                  <c:v>EF 3.0 Ionising radiation, human health</c:v>
                </c:pt>
                <c:pt idx="9">
                  <c:v>EF 3.0 Land Use</c:v>
                </c:pt>
                <c:pt idx="10">
                  <c:v>EF 3.0 Ozone depletion</c:v>
                </c:pt>
                <c:pt idx="11">
                  <c:v>EF 3.0 Particulate matter</c:v>
                </c:pt>
                <c:pt idx="12">
                  <c:v>EF 3.0 Photochemical ozone formation, human health</c:v>
                </c:pt>
                <c:pt idx="13">
                  <c:v>EF 3.0 Resource use, fossils</c:v>
                </c:pt>
                <c:pt idx="14">
                  <c:v>EF 3.0 Resource use, mineral and metals</c:v>
                </c:pt>
                <c:pt idx="15">
                  <c:v>EF 3.0 Water use</c:v>
                </c:pt>
              </c:strCache>
            </c:strRef>
          </c:cat>
          <c:val>
            <c:numRef>
              <c:f>'Graphes perseq'!$C$23:$C$38</c:f>
              <c:numCache>
                <c:formatCode>0.0</c:formatCode>
                <c:ptCount val="16"/>
                <c:pt idx="0">
                  <c:v>0.25423978428896249</c:v>
                </c:pt>
                <c:pt idx="1">
                  <c:v>0.34910471645604951</c:v>
                </c:pt>
                <c:pt idx="2">
                  <c:v>5.493824774384156</c:v>
                </c:pt>
                <c:pt idx="3">
                  <c:v>1.4388513726707057</c:v>
                </c:pt>
                <c:pt idx="4">
                  <c:v>0.21317479447881668</c:v>
                </c:pt>
                <c:pt idx="5">
                  <c:v>0.24317514030002016</c:v>
                </c:pt>
                <c:pt idx="6">
                  <c:v>0.25377914248988215</c:v>
                </c:pt>
                <c:pt idx="7">
                  <c:v>0.58559572375264124</c:v>
                </c:pt>
                <c:pt idx="8">
                  <c:v>0.10375090698756723</c:v>
                </c:pt>
                <c:pt idx="9">
                  <c:v>2.6529284378463379E-2</c:v>
                </c:pt>
                <c:pt idx="10">
                  <c:v>2.6368759098758525E-3</c:v>
                </c:pt>
                <c:pt idx="11">
                  <c:v>0.23801966064437768</c:v>
                </c:pt>
                <c:pt idx="12">
                  <c:v>0.23413675061844366</c:v>
                </c:pt>
                <c:pt idx="13">
                  <c:v>0.57481073892878143</c:v>
                </c:pt>
                <c:pt idx="14">
                  <c:v>10.59478624111844</c:v>
                </c:pt>
                <c:pt idx="15">
                  <c:v>3.8727612030003704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6-42AD-A2A4-8E30EDADFD12}"/>
            </c:ext>
          </c:extLst>
        </c:ser>
        <c:ser>
          <c:idx val="1"/>
          <c:order val="1"/>
          <c:tx>
            <c:strRef>
              <c:f>'Graphes perseq'!$D$22</c:f>
              <c:strCache>
                <c:ptCount val="1"/>
                <c:pt idx="0">
                  <c:v>Impact de la phase d'utilisation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20000"/>
                  <a:lumOff val="80000"/>
                </a:schemeClr>
              </a:solidFill>
            </a:ln>
            <a:effectLst/>
          </c:spPr>
          <c:invertIfNegative val="0"/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76-42AD-A2A4-8E30EDADFD1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76-42AD-A2A4-8E30EDADFD1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76-42AD-A2A4-8E30EDADFD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  <a:effectLst/>
                  </c:spPr>
                </c15:leaderLines>
              </c:ext>
            </c:extLst>
          </c:dLbls>
          <c:cat>
            <c:strRef>
              <c:f>'Graphes perseq'!$A$23:$A$38</c:f>
              <c:strCache>
                <c:ptCount val="16"/>
                <c:pt idx="0">
                  <c:v>EF 3.0 Acidification</c:v>
                </c:pt>
                <c:pt idx="1">
                  <c:v>EF 3.0 Climate Change - total</c:v>
                </c:pt>
                <c:pt idx="2">
                  <c:v>EF 3.0 Ecotoxicity, freshwater - total</c:v>
                </c:pt>
                <c:pt idx="3">
                  <c:v>EF 3.0 Eutrophication, freshwater</c:v>
                </c:pt>
                <c:pt idx="4">
                  <c:v>EF 3.0 Eutrophication, marine</c:v>
                </c:pt>
                <c:pt idx="5">
                  <c:v>EF 3.0 Eutrophication, terrestrial</c:v>
                </c:pt>
                <c:pt idx="6">
                  <c:v>EF 3.0 Human toxicity, cancer - total</c:v>
                </c:pt>
                <c:pt idx="7">
                  <c:v>EF 3.0 Human toxicity, non-cancer - total</c:v>
                </c:pt>
                <c:pt idx="8">
                  <c:v>EF 3.0 Ionising radiation, human health</c:v>
                </c:pt>
                <c:pt idx="9">
                  <c:v>EF 3.0 Land Use</c:v>
                </c:pt>
                <c:pt idx="10">
                  <c:v>EF 3.0 Ozone depletion</c:v>
                </c:pt>
                <c:pt idx="11">
                  <c:v>EF 3.0 Particulate matter</c:v>
                </c:pt>
                <c:pt idx="12">
                  <c:v>EF 3.0 Photochemical ozone formation, human health</c:v>
                </c:pt>
                <c:pt idx="13">
                  <c:v>EF 3.0 Resource use, fossils</c:v>
                </c:pt>
                <c:pt idx="14">
                  <c:v>EF 3.0 Resource use, mineral and metals</c:v>
                </c:pt>
                <c:pt idx="15">
                  <c:v>EF 3.0 Water use</c:v>
                </c:pt>
              </c:strCache>
            </c:strRef>
          </c:cat>
          <c:val>
            <c:numRef>
              <c:f>'Graphes perseq'!$D$23:$D$38</c:f>
              <c:numCache>
                <c:formatCode>0.0</c:formatCode>
                <c:ptCount val="16"/>
                <c:pt idx="0">
                  <c:v>33.16019</c:v>
                </c:pt>
                <c:pt idx="1">
                  <c:v>56.920010000000055</c:v>
                </c:pt>
                <c:pt idx="2">
                  <c:v>106.46285999999985</c:v>
                </c:pt>
                <c:pt idx="3">
                  <c:v>8.9530000000004328E-2</c:v>
                </c:pt>
                <c:pt idx="4">
                  <c:v>42.62079499999998</c:v>
                </c:pt>
                <c:pt idx="5">
                  <c:v>51.629417000000004</c:v>
                </c:pt>
                <c:pt idx="6">
                  <c:v>4.9723870000000003</c:v>
                </c:pt>
                <c:pt idx="7">
                  <c:v>16.598880850295366</c:v>
                </c:pt>
                <c:pt idx="8">
                  <c:v>0.17255337389284336</c:v>
                </c:pt>
                <c:pt idx="9">
                  <c:v>1.6840320509859487E-2</c:v>
                </c:pt>
                <c:pt idx="10">
                  <c:v>1.1830067931079425E-4</c:v>
                </c:pt>
                <c:pt idx="11">
                  <c:v>9.8833601777878037</c:v>
                </c:pt>
                <c:pt idx="12">
                  <c:v>58.469354869267683</c:v>
                </c:pt>
                <c:pt idx="13">
                  <c:v>95.939228377432315</c:v>
                </c:pt>
                <c:pt idx="14">
                  <c:v>0.25195325766671139</c:v>
                </c:pt>
                <c:pt idx="15">
                  <c:v>6.3225109488604492E-2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76-42AD-A2A4-8E30EDADFD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367641552"/>
        <c:axId val="1367619504"/>
      </c:barChart>
      <c:catAx>
        <c:axId val="136764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7619504"/>
        <c:crosses val="autoZero"/>
        <c:auto val="1"/>
        <c:lblAlgn val="ctr"/>
        <c:lblOffset val="100"/>
        <c:noMultiLvlLbl val="0"/>
      </c:catAx>
      <c:valAx>
        <c:axId val="13676195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36764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Contributeurs</a:t>
            </a:r>
            <a:r>
              <a:rPr lang="fr-FR" baseline="0"/>
              <a:t> hors utilisation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'Graphes perseq'!$B$44</c:f>
              <c:strCache>
                <c:ptCount val="1"/>
                <c:pt idx="0">
                  <c:v>Sous-ensemble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'Graphes perseq'!$A$45:$A$53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perseq'!$B$45:$B$53</c:f>
              <c:numCache>
                <c:formatCode>General</c:formatCode>
                <c:ptCount val="9"/>
                <c:pt idx="0">
                  <c:v>0.19706604538790495</c:v>
                </c:pt>
                <c:pt idx="1">
                  <c:v>0.23921308417421555</c:v>
                </c:pt>
                <c:pt idx="2">
                  <c:v>1.484173983900964</c:v>
                </c:pt>
                <c:pt idx="3">
                  <c:v>0.52875510249197122</c:v>
                </c:pt>
                <c:pt idx="4">
                  <c:v>0.1745550414912809</c:v>
                </c:pt>
                <c:pt idx="5">
                  <c:v>0.17700155229851006</c:v>
                </c:pt>
                <c:pt idx="6">
                  <c:v>0.38779225405452472</c:v>
                </c:pt>
                <c:pt idx="7">
                  <c:v>3.9277642382916662</c:v>
                </c:pt>
                <c:pt idx="8">
                  <c:v>0.40244684256431879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7-407C-9FB9-AE19C87FD8B8}"/>
            </c:ext>
          </c:extLst>
        </c:ser>
        <c:ser>
          <c:idx val="1"/>
          <c:order val="1"/>
          <c:tx>
            <c:strRef>
              <c:f>'Graphes perseq'!$C$44</c:f>
              <c:strCache>
                <c:ptCount val="1"/>
                <c:pt idx="0">
                  <c:v>IFE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'Graphes perseq'!$A$45:$A$53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perseq'!$C$45:$C$53</c:f>
              <c:numCache>
                <c:formatCode>General</c:formatCode>
                <c:ptCount val="9"/>
                <c:pt idx="0">
                  <c:v>5.2421830000000003E-2</c:v>
                </c:pt>
                <c:pt idx="1">
                  <c:v>0.10079869999999999</c:v>
                </c:pt>
                <c:pt idx="2">
                  <c:v>3.9837585</c:v>
                </c:pt>
                <c:pt idx="3">
                  <c:v>0.90788468</c:v>
                </c:pt>
                <c:pt idx="4">
                  <c:v>6.0925441000000004E-2</c:v>
                </c:pt>
                <c:pt idx="5">
                  <c:v>0.25565475282656269</c:v>
                </c:pt>
                <c:pt idx="6">
                  <c:v>0.1628553927171264</c:v>
                </c:pt>
                <c:pt idx="7">
                  <c:v>6.6667508013783561</c:v>
                </c:pt>
                <c:pt idx="8">
                  <c:v>3.3520115271516175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E7-407C-9FB9-AE19C87FD8B8}"/>
            </c:ext>
          </c:extLst>
        </c:ser>
        <c:ser>
          <c:idx val="2"/>
          <c:order val="2"/>
          <c:tx>
            <c:strRef>
              <c:f>'Graphes perseq'!$D$44</c:f>
              <c:strCache>
                <c:ptCount val="1"/>
                <c:pt idx="0">
                  <c:v>Site assemblage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'Graphes perseq'!$A$45:$A$53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perseq'!$D$45:$D$53</c:f>
              <c:numCache>
                <c:formatCode>General</c:formatCode>
                <c:ptCount val="9"/>
                <c:pt idx="0">
                  <c:v>6.4630800000000006E-4</c:v>
                </c:pt>
                <c:pt idx="1">
                  <c:v>3.187278E-3</c:v>
                </c:pt>
                <c:pt idx="2">
                  <c:v>1.0151783999999999E-2</c:v>
                </c:pt>
                <c:pt idx="3">
                  <c:v>2.5790999999999998E-5</c:v>
                </c:pt>
                <c:pt idx="4">
                  <c:v>3.5974149999999996E-4</c:v>
                </c:pt>
                <c:pt idx="5">
                  <c:v>1.0852541162204065E-3</c:v>
                </c:pt>
                <c:pt idx="6">
                  <c:v>1.7082992157129426E-2</c:v>
                </c:pt>
                <c:pt idx="7">
                  <c:v>1.0138144842242446E-4</c:v>
                </c:pt>
                <c:pt idx="8">
                  <c:v>2.6475328443596464E-4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15-4BA4-9256-5FA07004A600}"/>
            </c:ext>
          </c:extLst>
        </c:ser>
        <c:ser>
          <c:idx val="3"/>
          <c:order val="3"/>
          <c:tx>
            <c:strRef>
              <c:f>'Graphes perseq'!$E$44</c:f>
              <c:strCache>
                <c:ptCount val="1"/>
                <c:pt idx="0">
                  <c:v>Livraison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'Graphes perseq'!$A$45:$A$53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perseq'!$E$45:$E$53</c:f>
              <c:numCache>
                <c:formatCode>General</c:formatCode>
                <c:ptCount val="9"/>
                <c:pt idx="0">
                  <c:v>3.5593009010578E-3</c:v>
                </c:pt>
                <c:pt idx="1">
                  <c:v>4.8149542818345294E-3</c:v>
                </c:pt>
                <c:pt idx="2">
                  <c:v>8.8093064831982412E-3</c:v>
                </c:pt>
                <c:pt idx="3">
                  <c:v>1.9853871787339616E-3</c:v>
                </c:pt>
                <c:pt idx="4">
                  <c:v>6.9509849860121403E-4</c:v>
                </c:pt>
                <c:pt idx="5">
                  <c:v>2.7794645113483319E-3</c:v>
                </c:pt>
                <c:pt idx="6">
                  <c:v>5.9499999999999996E-3</c:v>
                </c:pt>
                <c:pt idx="7">
                  <c:v>1.584E-4</c:v>
                </c:pt>
                <c:pt idx="8">
                  <c:v>0.11801579999999999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15-4BA4-9256-5FA07004A600}"/>
            </c:ext>
          </c:extLst>
        </c:ser>
        <c:ser>
          <c:idx val="4"/>
          <c:order val="4"/>
          <c:tx>
            <c:strRef>
              <c:f>'Graphes perseq'!$F$44</c:f>
              <c:strCache>
                <c:ptCount val="1"/>
                <c:pt idx="0">
                  <c:v>Fin de vie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'Graphes perseq'!$A$45:$A$53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perseq'!$F$45:$F$53</c:f>
              <c:numCache>
                <c:formatCode>General</c:formatCode>
                <c:ptCount val="9"/>
                <c:pt idx="0">
                  <c:v>5.463E-4</c:v>
                </c:pt>
                <c:pt idx="1">
                  <c:v>1.0907E-3</c:v>
                </c:pt>
                <c:pt idx="2">
                  <c:v>6.9312000000000002E-3</c:v>
                </c:pt>
                <c:pt idx="3">
                  <c:v>2.0041199999999999E-4</c:v>
                </c:pt>
                <c:pt idx="4">
                  <c:v>1.7243820000000003E-2</c:v>
                </c:pt>
                <c:pt idx="5">
                  <c:v>0.1490747</c:v>
                </c:pt>
                <c:pt idx="6">
                  <c:v>1.1301E-3</c:v>
                </c:pt>
                <c:pt idx="7">
                  <c:v>1.1420000000000001E-5</c:v>
                </c:pt>
                <c:pt idx="8">
                  <c:v>2.228E-5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15-4BA4-9256-5FA07004A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891904"/>
        <c:axId val="210892320"/>
      </c:barChart>
      <c:catAx>
        <c:axId val="21089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892320"/>
        <c:crosses val="autoZero"/>
        <c:auto val="1"/>
        <c:lblAlgn val="ctr"/>
        <c:lblOffset val="100"/>
        <c:noMultiLvlLbl val="0"/>
      </c:catAx>
      <c:valAx>
        <c:axId val="21089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89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'Graphes perseq'!$B$77</c:f>
              <c:strCache>
                <c:ptCount val="1"/>
                <c:pt idx="0">
                  <c:v>Contribution au changement climatique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4E-4833-8316-54BFB2148C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4E-4833-8316-54BFB2148C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DD-41D5-A80A-E08F951A94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ADD-41D5-A80A-E08F951A94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DD-41D5-A80A-E08F951A94D4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DD-41D5-A80A-E08F951A94D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DD-41D5-A80A-E08F951A94D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DD-41D5-A80A-E08F951A94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'Graphes perseq'!$A$78:$A$82</c:f>
              <c:strCache>
                <c:ptCount val="5"/>
                <c:pt idx="0">
                  <c:v>Sous-ensembles</c:v>
                </c:pt>
                <c:pt idx="1">
                  <c:v>IFE</c:v>
                </c:pt>
                <c:pt idx="2">
                  <c:v>Site assemblage</c:v>
                </c:pt>
                <c:pt idx="3">
                  <c:v>Livraison</c:v>
                </c:pt>
                <c:pt idx="4">
                  <c:v>Fin de vie</c:v>
                </c:pt>
              </c:strCache>
            </c:strRef>
          </c:cat>
          <c:val>
            <c:numRef>
              <c:f>'Graphes perseq'!$B$78:$B$82</c:f>
              <c:numCache>
                <c:formatCode>General</c:formatCode>
                <c:ptCount val="5"/>
                <c:pt idx="0">
                  <c:v>0.23921308417421555</c:v>
                </c:pt>
                <c:pt idx="1">
                  <c:v>0.10079869999999999</c:v>
                </c:pt>
                <c:pt idx="2">
                  <c:v>3.187278E-3</c:v>
                </c:pt>
                <c:pt idx="3">
                  <c:v>4.8149542818345294E-3</c:v>
                </c:pt>
                <c:pt idx="4">
                  <c:v>1.0907E-3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D-41D5-A80A-E08F951A9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'Graphes perseq'!$C$87</c:f>
              <c:strCache>
                <c:ptCount val="1"/>
                <c:pt idx="0">
                  <c:v>Contribution au changement climatique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'Graphes perseq'!$A$88:$A$97</c:f>
              <c:strCache>
                <c:ptCount val="10"/>
                <c:pt idx="0">
                  <c:v>Ens. Structure fauteuil</c:v>
                </c:pt>
                <c:pt idx="1">
                  <c:v>Commande actionnement ECU</c:v>
                </c:pt>
                <c:pt idx="2">
                  <c:v>Lightning - Diodes</c:v>
                </c:pt>
                <c:pt idx="3">
                  <c:v>Ens. Tablette cocktail</c:v>
                </c:pt>
                <c:pt idx="4">
                  <c:v>Ens. Palette optimisée</c:v>
                </c:pt>
                <c:pt idx="5">
                  <c:v>Stowage assemblé avec porte</c:v>
                </c:pt>
                <c:pt idx="6">
                  <c:v>Ens. Tablette repas</c:v>
                </c:pt>
                <c:pt idx="7">
                  <c:v>Ens. porte</c:v>
                </c:pt>
                <c:pt idx="8">
                  <c:v>Ens. Structure fixe</c:v>
                </c:pt>
                <c:pt idx="9">
                  <c:v>Remote extender unit</c:v>
                </c:pt>
              </c:strCache>
            </c:strRef>
          </c:cat>
          <c:val>
            <c:numRef>
              <c:f>'Graphes perseq'!$C$88:$C$97</c:f>
              <c:numCache>
                <c:formatCode>0%</c:formatCode>
                <c:ptCount val="10"/>
                <c:pt idx="0">
                  <c:v>0.20730808575596021</c:v>
                </c:pt>
                <c:pt idx="1">
                  <c:v>0.15058415439251599</c:v>
                </c:pt>
                <c:pt idx="2">
                  <c:v>0.11170747658827399</c:v>
                </c:pt>
                <c:pt idx="3">
                  <c:v>8.8831386795456088E-2</c:v>
                </c:pt>
                <c:pt idx="4">
                  <c:v>8.5005911508217777E-2</c:v>
                </c:pt>
                <c:pt idx="5">
                  <c:v>5.1459589832119644E-2</c:v>
                </c:pt>
                <c:pt idx="6">
                  <c:v>4.0011931627926649E-2</c:v>
                </c:pt>
                <c:pt idx="7">
                  <c:v>3.5711790444699923E-2</c:v>
                </c:pt>
                <c:pt idx="8">
                  <c:v>2.414834258980075E-2</c:v>
                </c:pt>
                <c:pt idx="9">
                  <c:v>2.3071898508613835E-2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3-450B-9C9B-2AF28E2DF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4381408"/>
        <c:axId val="2084377664"/>
      </c:barChart>
      <c:catAx>
        <c:axId val="208438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4377664"/>
        <c:crosses val="autoZero"/>
        <c:auto val="1"/>
        <c:lblAlgn val="ctr"/>
        <c:lblOffset val="100"/>
        <c:noMultiLvlLbl val="0"/>
      </c:catAx>
      <c:valAx>
        <c:axId val="208437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438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'Graphes perseq'!$C$87</c:f>
              <c:strCache>
                <c:ptCount val="1"/>
                <c:pt idx="0">
                  <c:v>Contribution au changement climatique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'Graphes perseq'!$A$103:$A$108</c:f>
              <c:strCache>
                <c:ptCount val="6"/>
                <c:pt idx="0">
                  <c:v>A2017</c:v>
                </c:pt>
                <c:pt idx="1">
                  <c:v>Commande actionnement ECU</c:v>
                </c:pt>
                <c:pt idx="2">
                  <c:v>lightning</c:v>
                </c:pt>
                <c:pt idx="3">
                  <c:v>Transport</c:v>
                </c:pt>
                <c:pt idx="4">
                  <c:v>A5086</c:v>
                </c:pt>
                <c:pt idx="5">
                  <c:v>Alu</c:v>
                </c:pt>
              </c:strCache>
            </c:strRef>
          </c:cat>
          <c:val>
            <c:numRef>
              <c:f>'Graphes perseq'!$C$103:$C$108</c:f>
              <c:numCache>
                <c:formatCode>0%</c:formatCode>
                <c:ptCount val="6"/>
                <c:pt idx="0">
                  <c:v>0.34724333910588101</c:v>
                </c:pt>
                <c:pt idx="1">
                  <c:v>0.15007540295686558</c:v>
                </c:pt>
                <c:pt idx="2">
                  <c:v>0.11119793088168868</c:v>
                </c:pt>
                <c:pt idx="3">
                  <c:v>9.4554954741389557E-2</c:v>
                </c:pt>
                <c:pt idx="4">
                  <c:v>6.4297098439335343E-2</c:v>
                </c:pt>
                <c:pt idx="5">
                  <c:v>5.5743962882506277E-2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F-4CEF-9D20-8A996011A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4381408"/>
        <c:axId val="2084377664"/>
      </c:barChart>
      <c:catAx>
        <c:axId val="208438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4377664"/>
        <c:crosses val="autoZero"/>
        <c:auto val="1"/>
        <c:lblAlgn val="ctr"/>
        <c:lblOffset val="100"/>
        <c:noMultiLvlLbl val="0"/>
      </c:catAx>
      <c:valAx>
        <c:axId val="208437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438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Détails des impacts - pondéré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'Graphes perseq'!$Z$17</c:f>
              <c:strCache>
                <c:ptCount val="1"/>
                <c:pt idx="0">
                  <c:v>Impact sans phase d'utilisation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  <a:effectLst/>
                  </c:spPr>
                </c15:leaderLines>
              </c:ext>
            </c:extLst>
          </c:dLbls>
          <c:cat>
            <c:strRef>
              <c:f>'Graphes perseq'!$X$18:$X$33</c:f>
              <c:strCache>
                <c:ptCount val="16"/>
                <c:pt idx="0">
                  <c:v>EF 3.0 Acidification</c:v>
                </c:pt>
                <c:pt idx="1">
                  <c:v>EF 3.0 Climate Change - total</c:v>
                </c:pt>
                <c:pt idx="2">
                  <c:v>EF 3.0 Ecotoxicity, freshwater - total</c:v>
                </c:pt>
                <c:pt idx="3">
                  <c:v>EF 3.0 Eutrophication, freshwater</c:v>
                </c:pt>
                <c:pt idx="4">
                  <c:v>EF 3.0 Eutrophication, marine</c:v>
                </c:pt>
                <c:pt idx="5">
                  <c:v>EF 3.0 Eutrophication, terrestrial</c:v>
                </c:pt>
                <c:pt idx="6">
                  <c:v>EF 3.0 Human toxicity, cancer - total</c:v>
                </c:pt>
                <c:pt idx="7">
                  <c:v>EF 3.0 Human toxicity, non-cancer - total</c:v>
                </c:pt>
                <c:pt idx="8">
                  <c:v>EF 3.0 Ionising radiation, human health</c:v>
                </c:pt>
                <c:pt idx="9">
                  <c:v>EF 3.0 Land Use</c:v>
                </c:pt>
                <c:pt idx="10">
                  <c:v>EF 3.0 Ozone depletion</c:v>
                </c:pt>
                <c:pt idx="11">
                  <c:v>EF 3.0 Particulate matter</c:v>
                </c:pt>
                <c:pt idx="12">
                  <c:v>EF 3.0 Photochemical ozone formation, human health</c:v>
                </c:pt>
                <c:pt idx="13">
                  <c:v>EF 3.0 Resource use, fossils</c:v>
                </c:pt>
                <c:pt idx="14">
                  <c:v>EF 3.0 Resource use, mineral and metals</c:v>
                </c:pt>
                <c:pt idx="15">
                  <c:v>EF 3.0 Water use</c:v>
                </c:pt>
              </c:strCache>
            </c:strRef>
          </c:cat>
          <c:val>
            <c:numRef>
              <c:f>'Graphes perseq'!$Z$18:$Z$33</c:f>
              <c:numCache>
                <c:formatCode>0.0</c:formatCode>
                <c:ptCount val="16"/>
                <c:pt idx="0">
                  <c:v>0.25354605801465091</c:v>
                </c:pt>
                <c:pt idx="1">
                  <c:v>1.1793085005703041</c:v>
                </c:pt>
                <c:pt idx="2">
                  <c:v>1.8019506506908147</c:v>
                </c:pt>
                <c:pt idx="3">
                  <c:v>0.64461863095647609</c:v>
                </c:pt>
                <c:pt idx="4">
                  <c:v>0.10119922426516759</c:v>
                </c:pt>
                <c:pt idx="5">
                  <c:v>0.14471738888209185</c:v>
                </c:pt>
                <c:pt idx="6">
                  <c:v>0.59759318936055261</c:v>
                </c:pt>
                <c:pt idx="7">
                  <c:v>4.3240284100774549</c:v>
                </c:pt>
                <c:pt idx="8">
                  <c:v>8.3231409676300744E-2</c:v>
                </c:pt>
                <c:pt idx="9">
                  <c:v>3.3712317517822027E-2</c:v>
                </c:pt>
                <c:pt idx="10">
                  <c:v>2.6601422828664732E-3</c:v>
                </c:pt>
                <c:pt idx="11">
                  <c:v>0.34663577111838206</c:v>
                </c:pt>
                <c:pt idx="12">
                  <c:v>0.17963129403751044</c:v>
                </c:pt>
                <c:pt idx="13">
                  <c:v>0.76648301077068126</c:v>
                </c:pt>
                <c:pt idx="14">
                  <c:v>12.880662137150566</c:v>
                </c:pt>
                <c:pt idx="15">
                  <c:v>5.273750809984989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AB-4918-A2F3-4B76D4C74075}"/>
            </c:ext>
          </c:extLst>
        </c:ser>
        <c:ser>
          <c:idx val="1"/>
          <c:order val="1"/>
          <c:tx>
            <c:strRef>
              <c:f>'Graphes perseq'!$AA$17</c:f>
              <c:strCache>
                <c:ptCount val="1"/>
                <c:pt idx="0">
                  <c:v>Impact de la phase d'utilisation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  <a:alpha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  <a:effectLst/>
                  </c:spPr>
                </c15:leaderLines>
              </c:ext>
            </c:extLst>
          </c:dLbls>
          <c:cat>
            <c:strRef>
              <c:f>'Graphes perseq'!$X$18:$X$33</c:f>
              <c:strCache>
                <c:ptCount val="16"/>
                <c:pt idx="0">
                  <c:v>EF 3.0 Acidification</c:v>
                </c:pt>
                <c:pt idx="1">
                  <c:v>EF 3.0 Climate Change - total</c:v>
                </c:pt>
                <c:pt idx="2">
                  <c:v>EF 3.0 Ecotoxicity, freshwater - total</c:v>
                </c:pt>
                <c:pt idx="3">
                  <c:v>EF 3.0 Eutrophication, freshwater</c:v>
                </c:pt>
                <c:pt idx="4">
                  <c:v>EF 3.0 Eutrophication, marine</c:v>
                </c:pt>
                <c:pt idx="5">
                  <c:v>EF 3.0 Eutrophication, terrestrial</c:v>
                </c:pt>
                <c:pt idx="6">
                  <c:v>EF 3.0 Human toxicity, cancer - total</c:v>
                </c:pt>
                <c:pt idx="7">
                  <c:v>EF 3.0 Human toxicity, non-cancer - total</c:v>
                </c:pt>
                <c:pt idx="8">
                  <c:v>EF 3.0 Ionising radiation, human health</c:v>
                </c:pt>
                <c:pt idx="9">
                  <c:v>EF 3.0 Land Use</c:v>
                </c:pt>
                <c:pt idx="10">
                  <c:v>EF 3.0 Ozone depletion</c:v>
                </c:pt>
                <c:pt idx="11">
                  <c:v>EF 3.0 Particulate matter</c:v>
                </c:pt>
                <c:pt idx="12">
                  <c:v>EF 3.0 Photochemical ozone formation, human health</c:v>
                </c:pt>
                <c:pt idx="13">
                  <c:v>EF 3.0 Resource use, fossils</c:v>
                </c:pt>
                <c:pt idx="14">
                  <c:v>EF 3.0 Resource use, mineral and metals</c:v>
                </c:pt>
                <c:pt idx="15">
                  <c:v>EF 3.0 Water use</c:v>
                </c:pt>
              </c:strCache>
            </c:strRef>
          </c:cat>
          <c:val>
            <c:numRef>
              <c:f>'Graphes perseq'!$AA$18:$AA$33</c:f>
              <c:numCache>
                <c:formatCode>0.0</c:formatCode>
                <c:ptCount val="16"/>
                <c:pt idx="0">
                  <c:v>4.6992726400000011</c:v>
                </c:pt>
                <c:pt idx="1">
                  <c:v>27.399666528000004</c:v>
                </c:pt>
                <c:pt idx="2">
                  <c:v>4.6721986559999999</c:v>
                </c:pt>
                <c:pt idx="3">
                  <c:v>5.7299199999999995E-3</c:v>
                </c:pt>
                <c:pt idx="4">
                  <c:v>2.8836012160000002</c:v>
                </c:pt>
                <c:pt idx="5">
                  <c:v>4.3781745615999998</c:v>
                </c:pt>
                <c:pt idx="6">
                  <c:v>0.24208421279999998</c:v>
                </c:pt>
                <c:pt idx="7">
                  <c:v>0.69810150318956521</c:v>
                </c:pt>
                <c:pt idx="8">
                  <c:v>1.9759826358929027E-2</c:v>
                </c:pt>
                <c:pt idx="9">
                  <c:v>3.0562775965322134E-3</c:v>
                </c:pt>
                <c:pt idx="10">
                  <c:v>1.7062337976025418E-5</c:v>
                </c:pt>
                <c:pt idx="11">
                  <c:v>2.0241121644109423</c:v>
                </c:pt>
                <c:pt idx="12">
                  <c:v>6.3881946577165616</c:v>
                </c:pt>
                <c:pt idx="13">
                  <c:v>18.24490011657684</c:v>
                </c:pt>
                <c:pt idx="14">
                  <c:v>4.3479933608769609E-2</c:v>
                </c:pt>
                <c:pt idx="15">
                  <c:v>1.229818701138337E-2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9AB-4918-A2F3-4B76D4C740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367641552"/>
        <c:axId val="1367619504"/>
      </c:barChart>
      <c:catAx>
        <c:axId val="136764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7619504"/>
        <c:crosses val="autoZero"/>
        <c:auto val="1"/>
        <c:lblAlgn val="ctr"/>
        <c:lblOffset val="100"/>
        <c:noMultiLvlLbl val="0"/>
      </c:catAx>
      <c:valAx>
        <c:axId val="13676195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36764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Détails des impacts - pondéré, 7 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'Graphes perseq'!$Z$17</c:f>
              <c:strCache>
                <c:ptCount val="1"/>
                <c:pt idx="0">
                  <c:v>Impact sans phase d'utilisation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  <a:effectLst/>
                  </c:spPr>
                </c15:leaderLines>
              </c:ext>
            </c:extLst>
          </c:dLbls>
          <c:cat>
            <c:strRef>
              <c:f>'Graphes perseq'!$X$38:$X$53</c:f>
              <c:strCache>
                <c:ptCount val="16"/>
                <c:pt idx="0">
                  <c:v>EF 3.0 Acidification</c:v>
                </c:pt>
                <c:pt idx="1">
                  <c:v>EF 3.0 Climate Change - total</c:v>
                </c:pt>
                <c:pt idx="2">
                  <c:v>EF 3.0 Ecotoxicity, freshwater - total</c:v>
                </c:pt>
                <c:pt idx="3">
                  <c:v>EF 3.0 Eutrophication, freshwater</c:v>
                </c:pt>
                <c:pt idx="4">
                  <c:v>EF 3.0 Eutrophication, marine</c:v>
                </c:pt>
                <c:pt idx="5">
                  <c:v>EF 3.0 Eutrophication, terrestrial</c:v>
                </c:pt>
                <c:pt idx="6">
                  <c:v>EF 3.0 Human toxicity, cancer - total</c:v>
                </c:pt>
                <c:pt idx="7">
                  <c:v>EF 3.0 Human toxicity, non-cancer - total</c:v>
                </c:pt>
                <c:pt idx="8">
                  <c:v>EF 3.0 Ionising radiation, human health</c:v>
                </c:pt>
                <c:pt idx="9">
                  <c:v>EF 3.0 Land Use</c:v>
                </c:pt>
                <c:pt idx="10">
                  <c:v>EF 3.0 Ozone depletion</c:v>
                </c:pt>
                <c:pt idx="11">
                  <c:v>EF 3.0 Particulate matter</c:v>
                </c:pt>
                <c:pt idx="12">
                  <c:v>EF 3.0 Photochemical ozone formation, human health</c:v>
                </c:pt>
                <c:pt idx="13">
                  <c:v>EF 3.0 Resource use, fossils</c:v>
                </c:pt>
                <c:pt idx="14">
                  <c:v>EF 3.0 Resource use, mineral and metals</c:v>
                </c:pt>
                <c:pt idx="15">
                  <c:v>EF 3.0 Water use</c:v>
                </c:pt>
              </c:strCache>
            </c:strRef>
          </c:cat>
          <c:val>
            <c:numRef>
              <c:f>'Graphes perseq'!$Z$38:$Z$53</c:f>
              <c:numCache>
                <c:formatCode>0.0</c:formatCode>
                <c:ptCount val="16"/>
                <c:pt idx="0">
                  <c:v>0.25354605801465091</c:v>
                </c:pt>
                <c:pt idx="1">
                  <c:v>1.1793085005703041</c:v>
                </c:pt>
                <c:pt idx="2">
                  <c:v>1.8019506506908147</c:v>
                </c:pt>
                <c:pt idx="3">
                  <c:v>0.64461863095647609</c:v>
                </c:pt>
                <c:pt idx="4">
                  <c:v>0.10119922426516759</c:v>
                </c:pt>
                <c:pt idx="5">
                  <c:v>0.14471738888209185</c:v>
                </c:pt>
                <c:pt idx="6">
                  <c:v>0.59759318936055261</c:v>
                </c:pt>
                <c:pt idx="7">
                  <c:v>4.3240284100774549</c:v>
                </c:pt>
                <c:pt idx="8">
                  <c:v>8.3231409676300744E-2</c:v>
                </c:pt>
                <c:pt idx="9">
                  <c:v>3.3712317517822027E-2</c:v>
                </c:pt>
                <c:pt idx="10">
                  <c:v>2.6601422828664732E-3</c:v>
                </c:pt>
                <c:pt idx="11">
                  <c:v>0.34663577111838206</c:v>
                </c:pt>
                <c:pt idx="12">
                  <c:v>0.17963129403751044</c:v>
                </c:pt>
                <c:pt idx="13">
                  <c:v>0.76648301077068126</c:v>
                </c:pt>
                <c:pt idx="14">
                  <c:v>12.880662137150566</c:v>
                </c:pt>
                <c:pt idx="15">
                  <c:v>5.273750809984989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4-4C16-BB5A-7E22B1FC5BDF}"/>
            </c:ext>
          </c:extLst>
        </c:ser>
        <c:ser>
          <c:idx val="1"/>
          <c:order val="1"/>
          <c:tx>
            <c:strRef>
              <c:f>'Graphes perseq'!$AA$17</c:f>
              <c:strCache>
                <c:ptCount val="1"/>
                <c:pt idx="0">
                  <c:v>Impact de la phase d'utilisation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  <a:alpha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  <a:effectLst/>
                  </c:spPr>
                </c15:leaderLines>
              </c:ext>
            </c:extLst>
          </c:dLbls>
          <c:cat>
            <c:strRef>
              <c:f>'Graphes perseq'!$X$38:$X$53</c:f>
              <c:strCache>
                <c:ptCount val="16"/>
                <c:pt idx="0">
                  <c:v>EF 3.0 Acidification</c:v>
                </c:pt>
                <c:pt idx="1">
                  <c:v>EF 3.0 Climate Change - total</c:v>
                </c:pt>
                <c:pt idx="2">
                  <c:v>EF 3.0 Ecotoxicity, freshwater - total</c:v>
                </c:pt>
                <c:pt idx="3">
                  <c:v>EF 3.0 Eutrophication, freshwater</c:v>
                </c:pt>
                <c:pt idx="4">
                  <c:v>EF 3.0 Eutrophication, marine</c:v>
                </c:pt>
                <c:pt idx="5">
                  <c:v>EF 3.0 Eutrophication, terrestrial</c:v>
                </c:pt>
                <c:pt idx="6">
                  <c:v>EF 3.0 Human toxicity, cancer - total</c:v>
                </c:pt>
                <c:pt idx="7">
                  <c:v>EF 3.0 Human toxicity, non-cancer - total</c:v>
                </c:pt>
                <c:pt idx="8">
                  <c:v>EF 3.0 Ionising radiation, human health</c:v>
                </c:pt>
                <c:pt idx="9">
                  <c:v>EF 3.0 Land Use</c:v>
                </c:pt>
                <c:pt idx="10">
                  <c:v>EF 3.0 Ozone depletion</c:v>
                </c:pt>
                <c:pt idx="11">
                  <c:v>EF 3.0 Particulate matter</c:v>
                </c:pt>
                <c:pt idx="12">
                  <c:v>EF 3.0 Photochemical ozone formation, human health</c:v>
                </c:pt>
                <c:pt idx="13">
                  <c:v>EF 3.0 Resource use, fossils</c:v>
                </c:pt>
                <c:pt idx="14">
                  <c:v>EF 3.0 Resource use, mineral and metals</c:v>
                </c:pt>
                <c:pt idx="15">
                  <c:v>EF 3.0 Water use</c:v>
                </c:pt>
              </c:strCache>
            </c:strRef>
          </c:cat>
          <c:val>
            <c:numRef>
              <c:f>'Graphes perseq'!$AA$38:$AA$53</c:f>
              <c:numCache>
                <c:formatCode>0.0</c:formatCode>
                <c:ptCount val="16"/>
                <c:pt idx="0">
                  <c:v>32.894908480000005</c:v>
                </c:pt>
                <c:pt idx="1">
                  <c:v>191.79766569600002</c:v>
                </c:pt>
                <c:pt idx="2">
                  <c:v>32.705390592000001</c:v>
                </c:pt>
                <c:pt idx="3">
                  <c:v>4.0109439999999996E-2</c:v>
                </c:pt>
                <c:pt idx="4">
                  <c:v>20.185208512000003</c:v>
                </c:pt>
                <c:pt idx="5">
                  <c:v>30.647221931200001</c:v>
                </c:pt>
                <c:pt idx="6">
                  <c:v>1.6945894895999998</c:v>
                </c:pt>
                <c:pt idx="7">
                  <c:v>4.8867105223269567</c:v>
                </c:pt>
                <c:pt idx="8">
                  <c:v>0.13831878451250318</c:v>
                </c:pt>
                <c:pt idx="9">
                  <c:v>2.1393943175725495E-2</c:v>
                </c:pt>
                <c:pt idx="10">
                  <c:v>1.1943636583217793E-4</c:v>
                </c:pt>
                <c:pt idx="11">
                  <c:v>14.168785150876596</c:v>
                </c:pt>
                <c:pt idx="12">
                  <c:v>44.717362604015932</c:v>
                </c:pt>
                <c:pt idx="13">
                  <c:v>127.71430081603788</c:v>
                </c:pt>
                <c:pt idx="14">
                  <c:v>0.30435953526138726</c:v>
                </c:pt>
                <c:pt idx="15">
                  <c:v>8.6087309079683594E-2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4-4C16-BB5A-7E22B1FC5B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367641552"/>
        <c:axId val="1367619504"/>
      </c:barChart>
      <c:catAx>
        <c:axId val="136764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7619504"/>
        <c:crosses val="autoZero"/>
        <c:auto val="1"/>
        <c:lblAlgn val="ctr"/>
        <c:lblOffset val="100"/>
        <c:noMultiLvlLbl val="0"/>
      </c:catAx>
      <c:valAx>
        <c:axId val="13676195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36764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Détails des impacts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'Graphes pondéré'!$E$22</c:f>
              <c:strCache>
                <c:ptCount val="1"/>
                <c:pt idx="0">
                  <c:v>Impact de la phase d'utilisation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20000"/>
                  <a:lumOff val="80000"/>
                </a:schemeClr>
              </a:solidFill>
            </a:ln>
            <a:effectLst/>
          </c:spPr>
          <c:invertIfNegative val="0"/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83-4C80-892F-67D619AD02F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83-4C80-892F-67D619AD02F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83-4C80-892F-67D619AD02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  <a:effectLst/>
                  </c:spPr>
                </c15:leaderLines>
              </c:ext>
            </c:extLst>
          </c:dLbls>
          <c:cat>
            <c:strRef>
              <c:f>'Graphes pondéré'!$A$23:$A$38</c:f>
              <c:strCache>
                <c:ptCount val="16"/>
                <c:pt idx="0">
                  <c:v>EF 3.0 Acidification</c:v>
                </c:pt>
                <c:pt idx="1">
                  <c:v>EF 3.0 Climate Change - total</c:v>
                </c:pt>
                <c:pt idx="2">
                  <c:v>EF 3.0 Ecotoxicity, freshwater - total</c:v>
                </c:pt>
                <c:pt idx="3">
                  <c:v>EF 3.0 Eutrophication, freshwater</c:v>
                </c:pt>
                <c:pt idx="4">
                  <c:v>EF 3.0 Eutrophication, marine</c:v>
                </c:pt>
                <c:pt idx="5">
                  <c:v>EF 3.0 Eutrophication, terrestrial</c:v>
                </c:pt>
                <c:pt idx="6">
                  <c:v>EF 3.0 Human toxicity, cancer - total</c:v>
                </c:pt>
                <c:pt idx="7">
                  <c:v>EF 3.0 Human toxicity, non-cancer - total</c:v>
                </c:pt>
                <c:pt idx="8">
                  <c:v>EF 3.0 Ionising radiation, human health</c:v>
                </c:pt>
                <c:pt idx="9">
                  <c:v>EF 3.0 Land Use</c:v>
                </c:pt>
                <c:pt idx="10">
                  <c:v>EF 3.0 Ozone depletion</c:v>
                </c:pt>
                <c:pt idx="11">
                  <c:v>EF 3.0 Particulate matter</c:v>
                </c:pt>
                <c:pt idx="12">
                  <c:v>EF 3.0 Photochemical ozone formation, human health</c:v>
                </c:pt>
                <c:pt idx="13">
                  <c:v>EF 3.0 Resource use, fossils</c:v>
                </c:pt>
                <c:pt idx="14">
                  <c:v>EF 3.0 Resource use, mineral and metals</c:v>
                </c:pt>
                <c:pt idx="15">
                  <c:v>EF 3.0 Water use</c:v>
                </c:pt>
              </c:strCache>
            </c:strRef>
          </c:cat>
          <c:val>
            <c:numRef>
              <c:f>'Graphes pondéré'!$E$23:$E$38</c:f>
              <c:numCache>
                <c:formatCode>_(* #,##0.00_);_(* \(#,##0.00\);_(* "-"??_);_(@_)</c:formatCode>
                <c:ptCount val="16"/>
                <c:pt idx="0">
                  <c:v>32.894908480000055</c:v>
                </c:pt>
                <c:pt idx="1">
                  <c:v>191.79766569599968</c:v>
                </c:pt>
                <c:pt idx="2">
                  <c:v>32.705390591999993</c:v>
                </c:pt>
                <c:pt idx="3" formatCode="0.0">
                  <c:v>4.0109439999999941E-2</c:v>
                </c:pt>
                <c:pt idx="4" formatCode="0.0">
                  <c:v>20.185208512000031</c:v>
                </c:pt>
                <c:pt idx="5" formatCode="0.0">
                  <c:v>30.647221931200008</c:v>
                </c:pt>
                <c:pt idx="6" formatCode="0.0">
                  <c:v>1.6945894895999982</c:v>
                </c:pt>
                <c:pt idx="7" formatCode="0.0">
                  <c:v>4.8867105223269522</c:v>
                </c:pt>
                <c:pt idx="8" formatCode="0.0">
                  <c:v>0.1383187845125031</c:v>
                </c:pt>
                <c:pt idx="9" formatCode="0.0">
                  <c:v>2.1393943175725502E-2</c:v>
                </c:pt>
                <c:pt idx="10" formatCode="0.0">
                  <c:v>1.194363658321802E-4</c:v>
                </c:pt>
                <c:pt idx="11" formatCode="0.0">
                  <c:v>14.168785150876619</c:v>
                </c:pt>
                <c:pt idx="12" formatCode="0.0">
                  <c:v>44.717362604015918</c:v>
                </c:pt>
                <c:pt idx="13" formatCode="0.0">
                  <c:v>127.714300816038</c:v>
                </c:pt>
                <c:pt idx="14" formatCode="0.0">
                  <c:v>0.30435953526139947</c:v>
                </c:pt>
                <c:pt idx="15" formatCode="0.0">
                  <c:v>8.6087309079680097E-2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83-4C80-892F-67D619AD02F3}"/>
            </c:ext>
          </c:extLst>
        </c:ser>
        <c:ser>
          <c:idx val="1"/>
          <c:order val="1"/>
          <c:tx>
            <c:strRef>
              <c:f>'Graphes pondéré'!$F$22</c:f>
              <c:strCache>
                <c:ptCount val="1"/>
              </c:strCache>
            </c:strRef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  <a:effectLst/>
                  </c:spPr>
                </c15:leaderLines>
              </c:ext>
            </c:extLst>
          </c:dLbls>
          <c:cat>
            <c:strRef>
              <c:f>'Graphes pondéré'!$A$23:$A$38</c:f>
              <c:strCache>
                <c:ptCount val="16"/>
                <c:pt idx="0">
                  <c:v>EF 3.0 Acidification</c:v>
                </c:pt>
                <c:pt idx="1">
                  <c:v>EF 3.0 Climate Change - total</c:v>
                </c:pt>
                <c:pt idx="2">
                  <c:v>EF 3.0 Ecotoxicity, freshwater - total</c:v>
                </c:pt>
                <c:pt idx="3">
                  <c:v>EF 3.0 Eutrophication, freshwater</c:v>
                </c:pt>
                <c:pt idx="4">
                  <c:v>EF 3.0 Eutrophication, marine</c:v>
                </c:pt>
                <c:pt idx="5">
                  <c:v>EF 3.0 Eutrophication, terrestrial</c:v>
                </c:pt>
                <c:pt idx="6">
                  <c:v>EF 3.0 Human toxicity, cancer - total</c:v>
                </c:pt>
                <c:pt idx="7">
                  <c:v>EF 3.0 Human toxicity, non-cancer - total</c:v>
                </c:pt>
                <c:pt idx="8">
                  <c:v>EF 3.0 Ionising radiation, human health</c:v>
                </c:pt>
                <c:pt idx="9">
                  <c:v>EF 3.0 Land Use</c:v>
                </c:pt>
                <c:pt idx="10">
                  <c:v>EF 3.0 Ozone depletion</c:v>
                </c:pt>
                <c:pt idx="11">
                  <c:v>EF 3.0 Particulate matter</c:v>
                </c:pt>
                <c:pt idx="12">
                  <c:v>EF 3.0 Photochemical ozone formation, human health</c:v>
                </c:pt>
                <c:pt idx="13">
                  <c:v>EF 3.0 Resource use, fossils</c:v>
                </c:pt>
                <c:pt idx="14">
                  <c:v>EF 3.0 Resource use, mineral and metals</c:v>
                </c:pt>
                <c:pt idx="15">
                  <c:v>EF 3.0 Water use</c:v>
                </c:pt>
              </c:strCache>
            </c:strRef>
          </c:cat>
          <c:val>
            <c:numRef>
              <c:f>'Graphes pondéré'!$F$23:$F$38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7-EC83-4C80-892F-67D619AD02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367641552"/>
        <c:axId val="1367619504"/>
      </c:barChart>
      <c:catAx>
        <c:axId val="136764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7619504"/>
        <c:crosses val="autoZero"/>
        <c:auto val="1"/>
        <c:lblAlgn val="ctr"/>
        <c:lblOffset val="100"/>
        <c:noMultiLvlLbl val="0"/>
      </c:catAx>
      <c:valAx>
        <c:axId val="13676195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crossAx val="136764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Contributeurs</a:t>
            </a:r>
            <a:r>
              <a:rPr lang="fr-FR" baseline="0"/>
              <a:t> hors utilisation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'Graphes pondéré'!$B$44</c:f>
              <c:strCache>
                <c:ptCount val="1"/>
                <c:pt idx="0">
                  <c:v>Sous-ensemble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'Graphes pondéré'!$A$45:$A$53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pondéré'!$B$45:$B$53</c:f>
              <c:numCache>
                <c:formatCode>General</c:formatCode>
                <c:ptCount val="9"/>
                <c:pt idx="0">
                  <c:v>0.19548951702480158</c:v>
                </c:pt>
                <c:pt idx="1">
                  <c:v>0.80605240843343606</c:v>
                </c:pt>
                <c:pt idx="2">
                  <c:v>0.4559382478543762</c:v>
                </c:pt>
                <c:pt idx="3">
                  <c:v>0.23688228591640331</c:v>
                </c:pt>
                <c:pt idx="4">
                  <c:v>5.9488358140228619E-2</c:v>
                </c:pt>
                <c:pt idx="5">
                  <c:v>5.2109256996681369E-2</c:v>
                </c:pt>
                <c:pt idx="6">
                  <c:v>0.51622904859738306</c:v>
                </c:pt>
                <c:pt idx="7">
                  <c:v>4.744739199856328</c:v>
                </c:pt>
                <c:pt idx="8">
                  <c:v>0.54797162083557682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2-448A-B90E-52AACB0FBFB4}"/>
            </c:ext>
          </c:extLst>
        </c:ser>
        <c:ser>
          <c:idx val="1"/>
          <c:order val="1"/>
          <c:tx>
            <c:strRef>
              <c:f>'Graphes pondéré'!$C$44</c:f>
              <c:strCache>
                <c:ptCount val="1"/>
                <c:pt idx="0">
                  <c:v>IFE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'Graphes pondéré'!$A$45:$A$53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pondéré'!$C$45:$C$53</c:f>
              <c:numCache>
                <c:formatCode>General</c:formatCode>
                <c:ptCount val="9"/>
                <c:pt idx="0">
                  <c:v>5.2002455359999998E-2</c:v>
                </c:pt>
                <c:pt idx="1">
                  <c:v>0.33965129952000006</c:v>
                </c:pt>
                <c:pt idx="2">
                  <c:v>1.2238106111999998</c:v>
                </c:pt>
                <c:pt idx="3">
                  <c:v>0.40673233664000003</c:v>
                </c:pt>
                <c:pt idx="4">
                  <c:v>2.0763390292799996E-2</c:v>
                </c:pt>
                <c:pt idx="5">
                  <c:v>7.5264759232140058E-2</c:v>
                </c:pt>
                <c:pt idx="6">
                  <c:v>0.21679309878503863</c:v>
                </c:pt>
                <c:pt idx="7">
                  <c:v>8.0534349680650532</c:v>
                </c:pt>
                <c:pt idx="8">
                  <c:v>4.5640988953696429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2-448A-B90E-52AACB0FBFB4}"/>
            </c:ext>
          </c:extLst>
        </c:ser>
        <c:ser>
          <c:idx val="2"/>
          <c:order val="2"/>
          <c:tx>
            <c:strRef>
              <c:f>'Graphes pondéré'!$D$44</c:f>
              <c:strCache>
                <c:ptCount val="1"/>
                <c:pt idx="0">
                  <c:v>Site assemblage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'Graphes pondéré'!$A$45:$A$53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pondéré'!$D$45:$D$53</c:f>
              <c:numCache>
                <c:formatCode>General</c:formatCode>
                <c:ptCount val="9"/>
                <c:pt idx="0">
                  <c:v>6.4113753599999988E-4</c:v>
                </c:pt>
                <c:pt idx="1">
                  <c:v>1.07398519488E-2</c:v>
                </c:pt>
                <c:pt idx="2">
                  <c:v>3.1186280447999997E-3</c:v>
                </c:pt>
                <c:pt idx="3">
                  <c:v>1.1554368E-5</c:v>
                </c:pt>
                <c:pt idx="4">
                  <c:v>1.2259990319999999E-4</c:v>
                </c:pt>
                <c:pt idx="5">
                  <c:v>3.1949881181528766E-4</c:v>
                </c:pt>
                <c:pt idx="6">
                  <c:v>2.2740879159570692E-2</c:v>
                </c:pt>
                <c:pt idx="7">
                  <c:v>1.2246878969428875E-4</c:v>
                </c:pt>
                <c:pt idx="8">
                  <c:v>3.6048807208800945E-4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62-448A-B90E-52AACB0FBFB4}"/>
            </c:ext>
          </c:extLst>
        </c:ser>
        <c:ser>
          <c:idx val="3"/>
          <c:order val="3"/>
          <c:tx>
            <c:strRef>
              <c:f>'Graphes pondéré'!$E$44</c:f>
              <c:strCache>
                <c:ptCount val="1"/>
                <c:pt idx="0">
                  <c:v>Livraison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'Graphes pondéré'!$A$45:$A$53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pondéré'!$E$45:$E$53</c:f>
              <c:numCache>
                <c:formatCode>General</c:formatCode>
                <c:ptCount val="9"/>
                <c:pt idx="0">
                  <c:v>3.5308264938493381E-3</c:v>
                </c:pt>
                <c:pt idx="1">
                  <c:v>1.6224469948069632E-2</c:v>
                </c:pt>
                <c:pt idx="2">
                  <c:v>2.7062189516384996E-3</c:v>
                </c:pt>
                <c:pt idx="3">
                  <c:v>8.8945345607281483E-4</c:v>
                </c:pt>
                <c:pt idx="4">
                  <c:v>2.3688956832329376E-4</c:v>
                </c:pt>
                <c:pt idx="5">
                  <c:v>8.1827435214094891E-4</c:v>
                </c:pt>
                <c:pt idx="6">
                  <c:v>7.9206399999999996E-3</c:v>
                </c:pt>
                <c:pt idx="7">
                  <c:v>1.9134720000000001E-4</c:v>
                </c:pt>
                <c:pt idx="8">
                  <c:v>0.16069031327999997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62-448A-B90E-52AACB0FBFB4}"/>
            </c:ext>
          </c:extLst>
        </c:ser>
        <c:ser>
          <c:idx val="4"/>
          <c:order val="4"/>
          <c:tx>
            <c:strRef>
              <c:f>'Graphes pondéré'!$F$44</c:f>
              <c:strCache>
                <c:ptCount val="1"/>
                <c:pt idx="0">
                  <c:v>Fin de vie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'Graphes pondéré'!$A$45:$A$53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pondéré'!$F$45:$F$53</c:f>
              <c:numCache>
                <c:formatCode>General</c:formatCode>
                <c:ptCount val="9"/>
                <c:pt idx="0">
                  <c:v>5.4192960000000012E-4</c:v>
                </c:pt>
                <c:pt idx="1">
                  <c:v>3.6752227199999998E-3</c:v>
                </c:pt>
                <c:pt idx="2">
                  <c:v>2.1292646399999997E-3</c:v>
                </c:pt>
                <c:pt idx="3">
                  <c:v>8.9784575999999995E-5</c:v>
                </c:pt>
                <c:pt idx="4">
                  <c:v>5.8766938559999997E-3</c:v>
                </c:pt>
                <c:pt idx="5">
                  <c:v>4.3887591679999997E-2</c:v>
                </c:pt>
                <c:pt idx="6">
                  <c:v>1.5043891199999998E-3</c:v>
                </c:pt>
                <c:pt idx="7">
                  <c:v>1.3795359999999999E-5</c:v>
                </c:pt>
                <c:pt idx="8">
                  <c:v>3.0336447999999998E-5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62-448A-B90E-52AACB0FB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891904"/>
        <c:axId val="210892320"/>
      </c:barChart>
      <c:catAx>
        <c:axId val="21089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892320"/>
        <c:crosses val="autoZero"/>
        <c:auto val="1"/>
        <c:lblAlgn val="ctr"/>
        <c:lblOffset val="100"/>
        <c:noMultiLvlLbl val="0"/>
      </c:catAx>
      <c:valAx>
        <c:axId val="21089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89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'Graphes pondéré'!$B$84</c:f>
              <c:strCache>
                <c:ptCount val="1"/>
                <c:pt idx="0">
                  <c:v>Contribution au changement climatique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84-43E2-BABB-3338308BAF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84-43E2-BABB-3338308BAF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84-43E2-BABB-3338308BAF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84-43E2-BABB-3338308BAF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F84-43E2-BABB-3338308BAF25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84-43E2-BABB-3338308BAF2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84-43E2-BABB-3338308BAF2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84-43E2-BABB-3338308BA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'Graphes pondéré'!$A$85:$A$89</c:f>
              <c:strCache>
                <c:ptCount val="5"/>
                <c:pt idx="0">
                  <c:v>Sous-ensembles</c:v>
                </c:pt>
                <c:pt idx="1">
                  <c:v>IFE</c:v>
                </c:pt>
                <c:pt idx="2">
                  <c:v>Site assemblage</c:v>
                </c:pt>
                <c:pt idx="3">
                  <c:v>Livraison</c:v>
                </c:pt>
                <c:pt idx="4">
                  <c:v>Fin de vie</c:v>
                </c:pt>
              </c:strCache>
            </c:strRef>
          </c:cat>
          <c:val>
            <c:numRef>
              <c:f>'Graphes pondéré'!$B$85:$B$89</c:f>
              <c:numCache>
                <c:formatCode>General</c:formatCode>
                <c:ptCount val="5"/>
                <c:pt idx="0">
                  <c:v>0.80605240843343606</c:v>
                </c:pt>
                <c:pt idx="1">
                  <c:v>0.33965129952000006</c:v>
                </c:pt>
                <c:pt idx="2">
                  <c:v>1.07398519488E-2</c:v>
                </c:pt>
                <c:pt idx="3">
                  <c:v>1.6224469948069632E-2</c:v>
                </c:pt>
                <c:pt idx="4">
                  <c:v>3.6752227199999998E-3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84-43E2-BABB-3338308BA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'Graphes pondéré'!$C$94</c:f>
              <c:strCache>
                <c:ptCount val="1"/>
                <c:pt idx="0">
                  <c:v>Contribution au changement climatique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'Graphes pondéré'!$A$95:$A$104</c:f>
              <c:strCache>
                <c:ptCount val="10"/>
                <c:pt idx="0">
                  <c:v>Ens. Structure fauteuil</c:v>
                </c:pt>
                <c:pt idx="1">
                  <c:v>Commande actionnement ECU</c:v>
                </c:pt>
                <c:pt idx="2">
                  <c:v>Lightning - Diodes</c:v>
                </c:pt>
                <c:pt idx="3">
                  <c:v>Ens. Tablette cocktail</c:v>
                </c:pt>
                <c:pt idx="4">
                  <c:v>Ens. Palette optimisée</c:v>
                </c:pt>
                <c:pt idx="5">
                  <c:v>Stowage assemblé avec porte</c:v>
                </c:pt>
                <c:pt idx="6">
                  <c:v>Ens. Tablette repas</c:v>
                </c:pt>
                <c:pt idx="7">
                  <c:v>Ens. porte</c:v>
                </c:pt>
                <c:pt idx="8">
                  <c:v>Ens. Structure fixe</c:v>
                </c:pt>
                <c:pt idx="9">
                  <c:v>Remote extender unit</c:v>
                </c:pt>
              </c:strCache>
            </c:strRef>
          </c:cat>
          <c:val>
            <c:numRef>
              <c:f>'Graphes pondéré'!$C$95:$C$104</c:f>
              <c:numCache>
                <c:formatCode>0%</c:formatCode>
                <c:ptCount val="10"/>
                <c:pt idx="0">
                  <c:v>6.1523054889589382E-2</c:v>
                </c:pt>
                <c:pt idx="1">
                  <c:v>4.4689029674892009E-2</c:v>
                </c:pt>
                <c:pt idx="2">
                  <c:v>3.3151554068219992E-2</c:v>
                </c:pt>
                <c:pt idx="3">
                  <c:v>2.6362591048034234E-2</c:v>
                </c:pt>
                <c:pt idx="4">
                  <c:v>2.5227300423853825E-2</c:v>
                </c:pt>
                <c:pt idx="5">
                  <c:v>1.5271720629190315E-2</c:v>
                </c:pt>
                <c:pt idx="6">
                  <c:v>1.1874386166882325E-2</c:v>
                </c:pt>
                <c:pt idx="7">
                  <c:v>1.0598228408327384E-2</c:v>
                </c:pt>
                <c:pt idx="8">
                  <c:v>7.1665309205249193E-3</c:v>
                </c:pt>
                <c:pt idx="9">
                  <c:v>6.847073394056818E-3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D-42BB-9879-1E014ADF7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4381408"/>
        <c:axId val="2084377664"/>
      </c:barChart>
      <c:catAx>
        <c:axId val="208438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4377664"/>
        <c:crosses val="autoZero"/>
        <c:auto val="1"/>
        <c:lblAlgn val="ctr"/>
        <c:lblOffset val="100"/>
        <c:noMultiLvlLbl val="0"/>
      </c:catAx>
      <c:valAx>
        <c:axId val="208437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438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'Graphes pondéré'!$C$94</c:f>
              <c:strCache>
                <c:ptCount val="1"/>
                <c:pt idx="0">
                  <c:v>Contribution au changement climatique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'Graphes pondéré'!$A$110:$A$115</c:f>
              <c:strCache>
                <c:ptCount val="6"/>
                <c:pt idx="0">
                  <c:v>A2017</c:v>
                </c:pt>
                <c:pt idx="1">
                  <c:v>Commande actionnement ECU</c:v>
                </c:pt>
                <c:pt idx="2">
                  <c:v>lightning</c:v>
                </c:pt>
                <c:pt idx="3">
                  <c:v>Transport</c:v>
                </c:pt>
                <c:pt idx="4">
                  <c:v>A5086</c:v>
                </c:pt>
                <c:pt idx="5">
                  <c:v>Alu</c:v>
                </c:pt>
              </c:strCache>
            </c:strRef>
          </c:cat>
          <c:val>
            <c:numRef>
              <c:f>'Graphes pondéré'!$C$110:$C$115</c:f>
              <c:numCache>
                <c:formatCode>0%</c:formatCode>
                <c:ptCount val="6"/>
                <c:pt idx="0">
                  <c:v>0.10305179816769983</c:v>
                </c:pt>
                <c:pt idx="1">
                  <c:v>4.4538046936391767E-2</c:v>
                </c:pt>
                <c:pt idx="2">
                  <c:v>3.3000335613036794E-2</c:v>
                </c:pt>
                <c:pt idx="3">
                  <c:v>2.8061180775578596E-2</c:v>
                </c:pt>
                <c:pt idx="4">
                  <c:v>1.9081522566279499E-2</c:v>
                </c:pt>
                <c:pt idx="5">
                  <c:v>1.6543198861142663E-2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8-4291-930F-6A5F167D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4381408"/>
        <c:axId val="2084377664"/>
      </c:barChart>
      <c:catAx>
        <c:axId val="208438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4377664"/>
        <c:crosses val="autoZero"/>
        <c:auto val="1"/>
        <c:lblAlgn val="ctr"/>
        <c:lblOffset val="100"/>
        <c:noMultiLvlLbl val="0"/>
      </c:catAx>
      <c:valAx>
        <c:axId val="208437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438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Ressources</a:t>
            </a:r>
            <a:r>
              <a:rPr lang="en-US" baseline="0"/>
              <a:t> : minéraux et métaux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'Graphes pondéré'!$B$84</c:f>
              <c:strCache>
                <c:ptCount val="1"/>
                <c:pt idx="0">
                  <c:v>Contribution au changement climatique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76-4BA2-8F88-ADEA20E2A3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76-4BA2-8F88-ADEA20E2A3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76-4BA2-8F88-ADEA20E2A3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76-4BA2-8F88-ADEA20E2A3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A76-4BA2-8F88-ADEA20E2A35A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76-4BA2-8F88-ADEA20E2A35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76-4BA2-8F88-ADEA20E2A35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76-4BA2-8F88-ADEA20E2A3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'Graphes pondéré'!$A$123:$A$127</c:f>
              <c:strCache>
                <c:ptCount val="5"/>
                <c:pt idx="0">
                  <c:v>Sous-ensembles</c:v>
                </c:pt>
                <c:pt idx="1">
                  <c:v>IFE</c:v>
                </c:pt>
                <c:pt idx="2">
                  <c:v>Site assemblage</c:v>
                </c:pt>
                <c:pt idx="3">
                  <c:v>Livraison</c:v>
                </c:pt>
                <c:pt idx="4">
                  <c:v>Fin de vie</c:v>
                </c:pt>
              </c:strCache>
            </c:strRef>
          </c:cat>
          <c:val>
            <c:numRef>
              <c:f>'Graphes pondéré'!$B$123:$B$127</c:f>
              <c:numCache>
                <c:formatCode>General</c:formatCode>
                <c:ptCount val="5"/>
                <c:pt idx="0">
                  <c:v>4.744739199856328</c:v>
                </c:pt>
                <c:pt idx="1">
                  <c:v>8.0534349680650532</c:v>
                </c:pt>
                <c:pt idx="2">
                  <c:v>1.2246878969428875E-4</c:v>
                </c:pt>
                <c:pt idx="3">
                  <c:v>1.9134720000000001E-4</c:v>
                </c:pt>
                <c:pt idx="4">
                  <c:v>1.3795359999999999E-5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76-4BA2-8F88-ADEA20E2A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'Graphes pondéré'!$C$94</c:f>
              <c:strCache>
                <c:ptCount val="1"/>
                <c:pt idx="0">
                  <c:v>Contribution au changement climatique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'Graphes pondéré'!$A$133:$A$134</c:f>
              <c:strCache>
                <c:ptCount val="2"/>
                <c:pt idx="0">
                  <c:v>Commande actionnement ECU</c:v>
                </c:pt>
                <c:pt idx="1">
                  <c:v>Remote extender unit</c:v>
                </c:pt>
              </c:strCache>
            </c:strRef>
          </c:cat>
          <c:val>
            <c:numRef>
              <c:f>'Graphes pondéré'!$C$133:$C$134</c:f>
              <c:numCache>
                <c:formatCode>0%</c:formatCode>
                <c:ptCount val="2"/>
                <c:pt idx="0">
                  <c:v>0.78342048691555699</c:v>
                </c:pt>
                <c:pt idx="1">
                  <c:v>0.1218558257468501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6-46C7-A489-5B3A77C62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4381408"/>
        <c:axId val="2084377664"/>
      </c:barChart>
      <c:catAx>
        <c:axId val="208438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4377664"/>
        <c:crosses val="autoZero"/>
        <c:auto val="1"/>
        <c:lblAlgn val="ctr"/>
        <c:lblOffset val="100"/>
        <c:noMultiLvlLbl val="0"/>
      </c:catAx>
      <c:valAx>
        <c:axId val="20843776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8438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'Graphes pondéré'!$C$94</c:f>
              <c:strCache>
                <c:ptCount val="1"/>
                <c:pt idx="0">
                  <c:v>Contribution au changement climatique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'Graphes pondéré'!$A$148:$A$149</c:f>
              <c:strCache>
                <c:ptCount val="2"/>
                <c:pt idx="0">
                  <c:v>Commande actionnement ECU</c:v>
                </c:pt>
                <c:pt idx="1">
                  <c:v>Remote extender unit</c:v>
                </c:pt>
              </c:strCache>
            </c:strRef>
          </c:cat>
          <c:val>
            <c:numRef>
              <c:f>'Graphes pondéré'!$C$148:$C$149</c:f>
              <c:numCache>
                <c:formatCode>0%</c:formatCode>
                <c:ptCount val="2"/>
                <c:pt idx="0">
                  <c:v>0.78341794019706801</c:v>
                </c:pt>
                <c:pt idx="1">
                  <c:v>0.12185328652025014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F-458C-B205-F4E34F93A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4381408"/>
        <c:axId val="2084377664"/>
      </c:barChart>
      <c:catAx>
        <c:axId val="208438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4377664"/>
        <c:crosses val="autoZero"/>
        <c:auto val="1"/>
        <c:lblAlgn val="ctr"/>
        <c:lblOffset val="100"/>
        <c:noMultiLvlLbl val="0"/>
      </c:catAx>
      <c:valAx>
        <c:axId val="208437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438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Avec siège</a:t>
            </a:r>
            <a:r>
              <a:rPr lang="fr-FR" baseline="0"/>
              <a:t> recyclé à 100%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'Graphes pondéré'!$B$44</c:f>
              <c:strCache>
                <c:ptCount val="1"/>
                <c:pt idx="0">
                  <c:v>Sous-ensemble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'Graphes pondéré'!$A$57:$A$65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pondéré'!$B$57:$B$65</c:f>
              <c:numCache>
                <c:formatCode>General</c:formatCode>
                <c:ptCount val="9"/>
                <c:pt idx="0">
                  <c:v>0.19548951702480158</c:v>
                </c:pt>
                <c:pt idx="1">
                  <c:v>0.80605240843343606</c:v>
                </c:pt>
                <c:pt idx="2">
                  <c:v>0.4559382478543762</c:v>
                </c:pt>
                <c:pt idx="3">
                  <c:v>0.23688228591640331</c:v>
                </c:pt>
                <c:pt idx="4">
                  <c:v>5.9488358140228619E-2</c:v>
                </c:pt>
                <c:pt idx="5">
                  <c:v>5.2109256996681369E-2</c:v>
                </c:pt>
                <c:pt idx="6">
                  <c:v>0.51622904859738306</c:v>
                </c:pt>
                <c:pt idx="7">
                  <c:v>4.744739199856328</c:v>
                </c:pt>
                <c:pt idx="8">
                  <c:v>0.54797162083557682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8-48E5-8EE6-550A523B5265}"/>
            </c:ext>
          </c:extLst>
        </c:ser>
        <c:ser>
          <c:idx val="1"/>
          <c:order val="1"/>
          <c:tx>
            <c:strRef>
              <c:f>'Graphes pondéré'!$C$44</c:f>
              <c:strCache>
                <c:ptCount val="1"/>
                <c:pt idx="0">
                  <c:v>IFE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'Graphes pondéré'!$A$57:$A$65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pondéré'!$C$57:$C$65</c:f>
              <c:numCache>
                <c:formatCode>General</c:formatCode>
                <c:ptCount val="9"/>
                <c:pt idx="0">
                  <c:v>5.2002455359999998E-2</c:v>
                </c:pt>
                <c:pt idx="1">
                  <c:v>0.33965129952000006</c:v>
                </c:pt>
                <c:pt idx="2">
                  <c:v>1.2238106111999998</c:v>
                </c:pt>
                <c:pt idx="3">
                  <c:v>0.40673233664000003</c:v>
                </c:pt>
                <c:pt idx="4">
                  <c:v>2.0763390292799996E-2</c:v>
                </c:pt>
                <c:pt idx="5">
                  <c:v>7.5264759232140058E-2</c:v>
                </c:pt>
                <c:pt idx="6">
                  <c:v>0.21679309878503863</c:v>
                </c:pt>
                <c:pt idx="7">
                  <c:v>8.0534349680650532</c:v>
                </c:pt>
                <c:pt idx="8">
                  <c:v>4.5640988953696429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B8-48E5-8EE6-550A523B5265}"/>
            </c:ext>
          </c:extLst>
        </c:ser>
        <c:ser>
          <c:idx val="2"/>
          <c:order val="2"/>
          <c:tx>
            <c:strRef>
              <c:f>'Graphes pondéré'!$D$44</c:f>
              <c:strCache>
                <c:ptCount val="1"/>
                <c:pt idx="0">
                  <c:v>Site assemblage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'Graphes pondéré'!$A$57:$A$65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pondéré'!$D$57:$D$65</c:f>
              <c:numCache>
                <c:formatCode>General</c:formatCode>
                <c:ptCount val="9"/>
                <c:pt idx="0">
                  <c:v>6.4113753599999988E-4</c:v>
                </c:pt>
                <c:pt idx="1">
                  <c:v>1.07398519488E-2</c:v>
                </c:pt>
                <c:pt idx="2">
                  <c:v>3.1186280447999997E-3</c:v>
                </c:pt>
                <c:pt idx="3">
                  <c:v>1.1554368E-5</c:v>
                </c:pt>
                <c:pt idx="4">
                  <c:v>1.2259990319999999E-4</c:v>
                </c:pt>
                <c:pt idx="5">
                  <c:v>3.1949881181528766E-4</c:v>
                </c:pt>
                <c:pt idx="6">
                  <c:v>2.2740879159570692E-2</c:v>
                </c:pt>
                <c:pt idx="7">
                  <c:v>1.2246878969428875E-4</c:v>
                </c:pt>
                <c:pt idx="8">
                  <c:v>3.6048807208800945E-4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B8-48E5-8EE6-550A523B5265}"/>
            </c:ext>
          </c:extLst>
        </c:ser>
        <c:ser>
          <c:idx val="3"/>
          <c:order val="3"/>
          <c:tx>
            <c:strRef>
              <c:f>'Graphes pondéré'!$E$44</c:f>
              <c:strCache>
                <c:ptCount val="1"/>
                <c:pt idx="0">
                  <c:v>Livraison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'Graphes pondéré'!$A$57:$A$65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pondéré'!$E$57:$E$65</c:f>
              <c:numCache>
                <c:formatCode>General</c:formatCode>
                <c:ptCount val="9"/>
                <c:pt idx="0">
                  <c:v>3.5308264938493381E-3</c:v>
                </c:pt>
                <c:pt idx="1">
                  <c:v>1.6224469948069632E-2</c:v>
                </c:pt>
                <c:pt idx="2">
                  <c:v>2.7062189516384996E-3</c:v>
                </c:pt>
                <c:pt idx="3">
                  <c:v>8.8945345607281483E-4</c:v>
                </c:pt>
                <c:pt idx="4">
                  <c:v>2.3688956832329376E-4</c:v>
                </c:pt>
                <c:pt idx="5">
                  <c:v>8.1827435214094891E-4</c:v>
                </c:pt>
                <c:pt idx="6">
                  <c:v>7.9206399999999996E-3</c:v>
                </c:pt>
                <c:pt idx="7">
                  <c:v>1.9134720000000001E-4</c:v>
                </c:pt>
                <c:pt idx="8">
                  <c:v>0.16069031327999997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B8-48E5-8EE6-550A523B5265}"/>
            </c:ext>
          </c:extLst>
        </c:ser>
        <c:ser>
          <c:idx val="4"/>
          <c:order val="4"/>
          <c:tx>
            <c:strRef>
              <c:f>'Graphes pondéré'!$F$44</c:f>
              <c:strCache>
                <c:ptCount val="1"/>
                <c:pt idx="0">
                  <c:v>Fin de vie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'Graphes pondéré'!$A$57:$A$65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pondéré'!$F$57:$F$65</c:f>
              <c:numCache>
                <c:formatCode>General</c:formatCode>
                <c:ptCount val="9"/>
                <c:pt idx="0">
                  <c:v>-9.1839755564140826E-2</c:v>
                </c:pt>
                <c:pt idx="1">
                  <c:v>-0.42942974867090927</c:v>
                </c:pt>
                <c:pt idx="2">
                  <c:v>-0.59012200497650358</c:v>
                </c:pt>
                <c:pt idx="3">
                  <c:v>-0.22298343702841422</c:v>
                </c:pt>
                <c:pt idx="4">
                  <c:v>-7.1866785229828298E-2</c:v>
                </c:pt>
                <c:pt idx="5">
                  <c:v>-2.0607089801580977E-2</c:v>
                </c:pt>
                <c:pt idx="6">
                  <c:v>-0.27653464823306706</c:v>
                </c:pt>
                <c:pt idx="7">
                  <c:v>-4.5560792119819631</c:v>
                </c:pt>
                <c:pt idx="8">
                  <c:v>-1.6133366393916262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B8-48E5-8EE6-550A523B5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891904"/>
        <c:axId val="210892320"/>
      </c:barChart>
      <c:catAx>
        <c:axId val="210891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0892320"/>
        <c:crosses val="autoZero"/>
        <c:auto val="1"/>
        <c:lblAlgn val="ctr"/>
        <c:lblOffset val="100"/>
        <c:noMultiLvlLbl val="0"/>
      </c:catAx>
      <c:valAx>
        <c:axId val="21089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89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'Graphes pondéré'!$B$70</c:f>
              <c:strCache>
                <c:ptCount val="1"/>
                <c:pt idx="0">
                  <c:v>Réduction d'impact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'Graphes pondéré'!$A$71:$A$79</c:f>
              <c:strCache>
                <c:ptCount val="9"/>
                <c:pt idx="0">
                  <c:v>Acidification</c:v>
                </c:pt>
                <c:pt idx="1">
                  <c:v>Climate change</c:v>
                </c:pt>
                <c:pt idx="2">
                  <c:v>Ecotoxicity, freshwater - total</c:v>
                </c:pt>
                <c:pt idx="3">
                  <c:v>Eutrophication, freshwater</c:v>
                </c:pt>
                <c:pt idx="4">
                  <c:v>Human toxicity, cancer - total</c:v>
                </c:pt>
                <c:pt idx="5">
                  <c:v>Human toxicity, non-cancer - total</c:v>
                </c:pt>
                <c:pt idx="6">
                  <c:v>Resource use, fossils</c:v>
                </c:pt>
                <c:pt idx="7">
                  <c:v>Resource use, mineral and metals</c:v>
                </c:pt>
                <c:pt idx="8">
                  <c:v>Water use</c:v>
                </c:pt>
              </c:strCache>
            </c:strRef>
          </c:cat>
          <c:val>
            <c:numRef>
              <c:f>'Graphes pondéré'!$B$71:$B$79</c:f>
              <c:numCache>
                <c:formatCode>0%</c:formatCode>
                <c:ptCount val="9"/>
                <c:pt idx="0">
                  <c:v>-0.36629475207675877</c:v>
                </c:pt>
                <c:pt idx="1">
                  <c:v>-0.36817907566059194</c:v>
                </c:pt>
                <c:pt idx="2">
                  <c:v>-0.35092150686567908</c:v>
                </c:pt>
                <c:pt idx="3">
                  <c:v>-0.34606166257457843</c:v>
                </c:pt>
                <c:pt idx="4">
                  <c:v>-0.89889395552973494</c:v>
                </c:pt>
                <c:pt idx="5">
                  <c:v>-0.37410042356448386</c:v>
                </c:pt>
                <c:pt idx="6">
                  <c:v>-0.36336039917994434</c:v>
                </c:pt>
                <c:pt idx="7">
                  <c:v>-0.35598643387471951</c:v>
                </c:pt>
                <c:pt idx="8">
                  <c:v>-0.3059587665403416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4-46E4-A690-752A54F6C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86572384"/>
        <c:axId val="286574880"/>
      </c:barChart>
      <c:catAx>
        <c:axId val="286572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6574880"/>
        <c:crossesAt val="-100"/>
        <c:auto val="1"/>
        <c:lblAlgn val="ctr"/>
        <c:lblOffset val="100"/>
        <c:noMultiLvlLbl val="0"/>
      </c:catAx>
      <c:valAx>
        <c:axId val="28657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86572384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'Graphes pondéré'!$B$172</c:f>
              <c:strCache>
                <c:ptCount val="1"/>
                <c:pt idx="0">
                  <c:v>Impact par 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'Graphes pondéré'!$A$173:$A$194</c:f>
              <c:strCache>
                <c:ptCount val="22"/>
                <c:pt idx="0">
                  <c:v>A2017</c:v>
                </c:pt>
                <c:pt idx="1">
                  <c:v>Nylon (dont plastique)</c:v>
                </c:pt>
                <c:pt idx="2">
                  <c:v>A2024</c:v>
                </c:pt>
                <c:pt idx="3">
                  <c:v>A5086</c:v>
                </c:pt>
                <c:pt idx="4">
                  <c:v>Aluminium non défini</c:v>
                </c:pt>
                <c:pt idx="5">
                  <c:v>A6060</c:v>
                </c:pt>
                <c:pt idx="6">
                  <c:v>A2075</c:v>
                </c:pt>
                <c:pt idx="7">
                  <c:v>ERTALON</c:v>
                </c:pt>
                <c:pt idx="8">
                  <c:v>CAOUTCHOUC</c:v>
                </c:pt>
                <c:pt idx="9">
                  <c:v>Z10CNT18</c:v>
                </c:pt>
                <c:pt idx="10">
                  <c:v>INOX</c:v>
                </c:pt>
                <c:pt idx="11">
                  <c:v>COPOLIMER LEXAN FST 9705</c:v>
                </c:pt>
                <c:pt idx="12">
                  <c:v>ACIER</c:v>
                </c:pt>
                <c:pt idx="13">
                  <c:v>FRMC55</c:v>
                </c:pt>
                <c:pt idx="14">
                  <c:v>35NC6</c:v>
                </c:pt>
                <c:pt idx="15">
                  <c:v>4140 (UNS G41400)</c:v>
                </c:pt>
                <c:pt idx="16">
                  <c:v>15CDV6</c:v>
                </c:pt>
                <c:pt idx="17">
                  <c:v>POLYCHLOROPRENE</c:v>
                </c:pt>
                <c:pt idx="18">
                  <c:v>KYDEX 5555</c:v>
                </c:pt>
                <c:pt idx="19">
                  <c:v>PANNEAU_NIDA/LAMINA_EP12,7</c:v>
                </c:pt>
                <c:pt idx="20">
                  <c:v>FILM DECOR AERFILM - Ep0.33 714g-m2</c:v>
                </c:pt>
                <c:pt idx="21">
                  <c:v>30NCD6</c:v>
                </c:pt>
              </c:strCache>
            </c:strRef>
          </c:cat>
          <c:val>
            <c:numRef>
              <c:f>'Graphes pondéré'!$B$173:$B$194</c:f>
              <c:numCache>
                <c:formatCode>General</c:formatCode>
                <c:ptCount val="22"/>
                <c:pt idx="0">
                  <c:v>7.1526236654125917E-3</c:v>
                </c:pt>
                <c:pt idx="1">
                  <c:v>6.1673749180912287E-3</c:v>
                </c:pt>
                <c:pt idx="2">
                  <c:v>5.0066176693161239E-3</c:v>
                </c:pt>
                <c:pt idx="3">
                  <c:v>4.3178214052124698E-3</c:v>
                </c:pt>
                <c:pt idx="4">
                  <c:v>4.1812936265855855E-3</c:v>
                </c:pt>
                <c:pt idx="5">
                  <c:v>3.8616950495049501E-3</c:v>
                </c:pt>
                <c:pt idx="6">
                  <c:v>3.756969364985424E-3</c:v>
                </c:pt>
                <c:pt idx="7">
                  <c:v>3.0354123489078452E-3</c:v>
                </c:pt>
                <c:pt idx="8">
                  <c:v>2.0891519999999999E-3</c:v>
                </c:pt>
                <c:pt idx="9">
                  <c:v>1.8450398221520291E-3</c:v>
                </c:pt>
                <c:pt idx="10">
                  <c:v>1.8215209201855717E-3</c:v>
                </c:pt>
                <c:pt idx="11">
                  <c:v>1.6290119205298016E-3</c:v>
                </c:pt>
                <c:pt idx="12">
                  <c:v>1.5313549335867788E-3</c:v>
                </c:pt>
                <c:pt idx="13">
                  <c:v>1.5280500335191466E-3</c:v>
                </c:pt>
                <c:pt idx="14">
                  <c:v>1.3324056848146768E-3</c:v>
                </c:pt>
                <c:pt idx="15">
                  <c:v>1.2939264000000001E-3</c:v>
                </c:pt>
                <c:pt idx="16">
                  <c:v>1.2344989090909092E-3</c:v>
                </c:pt>
                <c:pt idx="17">
                  <c:v>1.1899048908093966E-3</c:v>
                </c:pt>
                <c:pt idx="18">
                  <c:v>1.1392160186616544E-3</c:v>
                </c:pt>
                <c:pt idx="19">
                  <c:v>1.0820732314255244E-3</c:v>
                </c:pt>
                <c:pt idx="20">
                  <c:v>9.8853061224489806E-4</c:v>
                </c:pt>
                <c:pt idx="21">
                  <c:v>3.9673028571428576E-4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B-4DF1-BE23-687E48523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79849632"/>
        <c:axId val="1679850048"/>
        <c:axId val="0"/>
      </c:bar3DChart>
      <c:catAx>
        <c:axId val="167984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9850048"/>
        <c:crosses val="autoZero"/>
        <c:auto val="1"/>
        <c:lblAlgn val="ctr"/>
        <c:lblOffset val="100"/>
        <c:noMultiLvlLbl val="0"/>
      </c:catAx>
      <c:valAx>
        <c:axId val="167985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984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Impact Ens. structure Fauteuil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8978742087386136"/>
          <c:w val="1"/>
          <c:h val="0.52913449378149757"/>
        </c:manualLayout>
      </c:layout>
      <c:pie3DChart>
        <c:varyColors val="1"/>
        <c:ser>
          <c:idx val="0"/>
          <c:order val="0"/>
          <c:tx>
            <c:strRef>
              <c:f>'Graphes pondéré'!$C$200</c:f>
              <c:strCache>
                <c:ptCount val="1"/>
                <c:pt idx="0">
                  <c:v>Impact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ACA-4EF5-A48C-D8CEC4C3FE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ACA-4EF5-A48C-D8CEC4C3FEEA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ACA-4EF5-A48C-D8CEC4C3FE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ACA-4EF5-A48C-D8CEC4C3FE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ACA-4EF5-A48C-D8CEC4C3FE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ACA-4EF5-A48C-D8CEC4C3FEE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ACA-4EF5-A48C-D8CEC4C3FEE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ACA-4EF5-A48C-D8CEC4C3FEE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ACA-4EF5-A48C-D8CEC4C3FEE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ACA-4EF5-A48C-D8CEC4C3FEEA}"/>
              </c:ext>
            </c:extLst>
          </c:dPt>
          <c:cat>
            <c:strRef>
              <c:f>'Graphes pondéré'!$B$201:$B$210</c:f>
              <c:strCache>
                <c:ptCount val="10"/>
                <c:pt idx="0">
                  <c:v>4140</c:v>
                </c:pt>
                <c:pt idx="1">
                  <c:v>35NC6</c:v>
                </c:pt>
                <c:pt idx="2">
                  <c:v>A2017</c:v>
                </c:pt>
                <c:pt idx="3">
                  <c:v>A2024</c:v>
                </c:pt>
                <c:pt idx="4">
                  <c:v>A5086</c:v>
                </c:pt>
                <c:pt idx="5">
                  <c:v>acier</c:v>
                </c:pt>
                <c:pt idx="6">
                  <c:v>inox</c:v>
                </c:pt>
                <c:pt idx="7">
                  <c:v>nylon</c:v>
                </c:pt>
                <c:pt idx="8">
                  <c:v>packaging</c:v>
                </c:pt>
                <c:pt idx="9">
                  <c:v>Transport</c:v>
                </c:pt>
              </c:strCache>
            </c:strRef>
          </c:cat>
          <c:val>
            <c:numRef>
              <c:f>'Graphes pondéré'!$C$201:$C$210</c:f>
              <c:numCache>
                <c:formatCode>General</c:formatCode>
                <c:ptCount val="10"/>
                <c:pt idx="0">
                  <c:v>2.5878528000000001E-6</c:v>
                </c:pt>
                <c:pt idx="1">
                  <c:v>1.8330624E-3</c:v>
                </c:pt>
                <c:pt idx="2">
                  <c:v>6.705504000000001E-2</c:v>
                </c:pt>
                <c:pt idx="3">
                  <c:v>2.7192672000000005E-2</c:v>
                </c:pt>
                <c:pt idx="4">
                  <c:v>1.9476287999999999E-3</c:v>
                </c:pt>
                <c:pt idx="5">
                  <c:v>2.1831449173307562E-3</c:v>
                </c:pt>
                <c:pt idx="6">
                  <c:v>8.3026791996841266E-5</c:v>
                </c:pt>
                <c:pt idx="7">
                  <c:v>2.7194082653930296E-4</c:v>
                </c:pt>
                <c:pt idx="8">
                  <c:v>7.6828920490554752E-4</c:v>
                </c:pt>
                <c:pt idx="9">
                  <c:v>6.5763789017744725E-2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2-4150-9003-C6319C24E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Cde Actionnement ECU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'Graphes pondéré'!$C$200</c:f>
              <c:strCache>
                <c:ptCount val="1"/>
                <c:pt idx="0">
                  <c:v>Impact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6B6-4B39-ABFF-9F9F3BDF44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6B6-4B39-ABFF-9F9F3BDF44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6B6-4B39-ABFF-9F9F3BDF4405}"/>
              </c:ext>
            </c:extLst>
          </c:dPt>
          <c:cat>
            <c:strRef>
              <c:f>'Graphes pondéré'!$B$211:$B$213</c:f>
              <c:strCache>
                <c:ptCount val="3"/>
                <c:pt idx="0">
                  <c:v>Commande actionnement ECU</c:v>
                </c:pt>
                <c:pt idx="1">
                  <c:v>packaging</c:v>
                </c:pt>
                <c:pt idx="2">
                  <c:v>Transport</c:v>
                </c:pt>
              </c:strCache>
            </c:strRef>
          </c:cat>
          <c:val>
            <c:numRef>
              <c:f>'Graphes pondéré'!$C$211:$C$213</c:f>
              <c:numCache>
                <c:formatCode>General</c:formatCode>
                <c:ptCount val="3"/>
                <c:pt idx="0">
                  <c:v>0.12096864000000002</c:v>
                </c:pt>
                <c:pt idx="1">
                  <c:v>3.8750400000000005E-4</c:v>
                </c:pt>
                <c:pt idx="2">
                  <c:v>2.2576320000000001E-5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6B6-4B39-ABFF-9F9F3BDF4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Lightning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'Graphes pondéré'!$C$200</c:f>
              <c:strCache>
                <c:ptCount val="1"/>
                <c:pt idx="0">
                  <c:v>Impact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F97-4D91-8FCD-11DF6DB184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F97-4D91-8FCD-11DF6DB184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F97-4D91-8FCD-11DF6DB1848C}"/>
              </c:ext>
            </c:extLst>
          </c:dPt>
          <c:cat>
            <c:strRef>
              <c:f>'Graphes pondéré'!$B$214:$B$216</c:f>
              <c:strCache>
                <c:ptCount val="3"/>
                <c:pt idx="0">
                  <c:v>lightning</c:v>
                </c:pt>
                <c:pt idx="1">
                  <c:v>packaging</c:v>
                </c:pt>
                <c:pt idx="2">
                  <c:v>Transport</c:v>
                </c:pt>
              </c:strCache>
            </c:strRef>
          </c:cat>
          <c:val>
            <c:numRef>
              <c:f>'Graphes pondéré'!$C$214:$C$216</c:f>
              <c:numCache>
                <c:formatCode>General</c:formatCode>
                <c:ptCount val="3"/>
                <c:pt idx="0">
                  <c:v>8.9631359999999993E-2</c:v>
                </c:pt>
                <c:pt idx="1">
                  <c:v>3.8750400000000005E-4</c:v>
                </c:pt>
                <c:pt idx="2">
                  <c:v>2.3216544000000001E-5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97-4D91-8FCD-11DF6DB18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Ens.</a:t>
            </a:r>
            <a:r>
              <a:rPr lang="en-US" baseline="0"/>
              <a:t> tablette cocktail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'Graphes pondéré'!$C$200</c:f>
              <c:strCache>
                <c:ptCount val="1"/>
                <c:pt idx="0">
                  <c:v>Impact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DB8-4F72-ACB8-515E96BCFD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DB8-4F72-ACB8-515E96BCFD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DB8-4F72-ACB8-515E96BCFD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4F8-4D00-87D4-84627AD8B9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4F8-4D00-87D4-84627AD8B9E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4F8-4D00-87D4-84627AD8B9E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4F8-4D00-87D4-84627AD8B9E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4F8-4D00-87D4-84627AD8B9E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4F8-4D00-87D4-84627AD8B9E8}"/>
              </c:ext>
            </c:extLst>
          </c:dPt>
          <c:cat>
            <c:strRef>
              <c:f>'Graphes pondéré'!$B$217:$B$225</c:f>
              <c:strCache>
                <c:ptCount val="9"/>
                <c:pt idx="0">
                  <c:v>A2017</c:v>
                </c:pt>
                <c:pt idx="1">
                  <c:v>A2024</c:v>
                </c:pt>
                <c:pt idx="2">
                  <c:v>acier</c:v>
                </c:pt>
                <c:pt idx="3">
                  <c:v>inox</c:v>
                </c:pt>
                <c:pt idx="4">
                  <c:v>kydex</c:v>
                </c:pt>
                <c:pt idx="5">
                  <c:v>nylon</c:v>
                </c:pt>
                <c:pt idx="6">
                  <c:v>packaging</c:v>
                </c:pt>
                <c:pt idx="7">
                  <c:v>tissu</c:v>
                </c:pt>
                <c:pt idx="8">
                  <c:v>Transport</c:v>
                </c:pt>
              </c:strCache>
            </c:strRef>
          </c:cat>
          <c:val>
            <c:numRef>
              <c:f>'Graphes pondéré'!$C$217:$C$225</c:f>
              <c:numCache>
                <c:formatCode>General</c:formatCode>
                <c:ptCount val="9"/>
                <c:pt idx="0">
                  <c:v>6.7392000000000007E-2</c:v>
                </c:pt>
                <c:pt idx="1">
                  <c:v>1.4522976000000002E-3</c:v>
                </c:pt>
                <c:pt idx="2">
                  <c:v>1.3983840000000001E-3</c:v>
                </c:pt>
                <c:pt idx="3">
                  <c:v>2.1801312E-5</c:v>
                </c:pt>
                <c:pt idx="4">
                  <c:v>4.4815680000000007E-4</c:v>
                </c:pt>
                <c:pt idx="5">
                  <c:v>7.7163840000000008E-4</c:v>
                </c:pt>
                <c:pt idx="6">
                  <c:v>8.730275034867864E-6</c:v>
                </c:pt>
                <c:pt idx="7">
                  <c:v>1.947486662899541E-5</c:v>
                </c:pt>
                <c:pt idx="8">
                  <c:v>9.0270017295691749E-5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B8-4F72-ACB8-515E96BCF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Ens.</a:t>
            </a:r>
            <a:r>
              <a:rPr lang="en-US" baseline="0"/>
              <a:t> palette optimisé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'Graphes pondéré'!$C$200</c:f>
              <c:strCache>
                <c:ptCount val="1"/>
                <c:pt idx="0">
                  <c:v>Impact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EE0-47D5-A070-BBEE1B0F947B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EE0-47D5-A070-BBEE1B0F94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EE0-47D5-A070-BBEE1B0F94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EE0-47D5-A070-BBEE1B0F94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EE0-47D5-A070-BBEE1B0F947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EE0-47D5-A070-BBEE1B0F947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EE0-47D5-A070-BBEE1B0F947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EE0-47D5-A070-BBEE1B0F947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EE0-47D5-A070-BBEE1B0F947B}"/>
              </c:ext>
            </c:extLst>
          </c:dPt>
          <c:cat>
            <c:strRef>
              <c:f>'Graphes pondéré'!$B$226:$B$234</c:f>
              <c:strCache>
                <c:ptCount val="9"/>
                <c:pt idx="0">
                  <c:v>35NC6</c:v>
                </c:pt>
                <c:pt idx="1">
                  <c:v>A2017</c:v>
                </c:pt>
                <c:pt idx="2">
                  <c:v>acier</c:v>
                </c:pt>
                <c:pt idx="3">
                  <c:v>Alu</c:v>
                </c:pt>
                <c:pt idx="4">
                  <c:v>inox</c:v>
                </c:pt>
                <c:pt idx="5">
                  <c:v>nylon</c:v>
                </c:pt>
                <c:pt idx="6">
                  <c:v>packaging</c:v>
                </c:pt>
                <c:pt idx="7">
                  <c:v>Polychloroprene</c:v>
                </c:pt>
                <c:pt idx="8">
                  <c:v>Transport</c:v>
                </c:pt>
              </c:strCache>
            </c:strRef>
          </c:cat>
          <c:val>
            <c:numRef>
              <c:f>'Graphes pondéré'!$C$226:$C$234</c:f>
              <c:numCache>
                <c:formatCode>General</c:formatCode>
                <c:ptCount val="9"/>
                <c:pt idx="0">
                  <c:v>7.0424640000000006E-5</c:v>
                </c:pt>
                <c:pt idx="1">
                  <c:v>6.6044160000000005E-2</c:v>
                </c:pt>
                <c:pt idx="2">
                  <c:v>7.1435520000000003E-4</c:v>
                </c:pt>
                <c:pt idx="3">
                  <c:v>9.1653120000000001E-4</c:v>
                </c:pt>
                <c:pt idx="4">
                  <c:v>4.3130880000000003E-5</c:v>
                </c:pt>
                <c:pt idx="5">
                  <c:v>1.1827296000000001E-4</c:v>
                </c:pt>
                <c:pt idx="6">
                  <c:v>3.4819811331042219E-5</c:v>
                </c:pt>
                <c:pt idx="7">
                  <c:v>5.9414331007894785E-6</c:v>
                </c:pt>
                <c:pt idx="8">
                  <c:v>5.7158357784669765E-4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EE0-47D5-A070-BBEE1B0F9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Scenarii!$B$3</c:f>
              <c:strCache>
                <c:ptCount val="1"/>
                <c:pt idx="0">
                  <c:v>Réduction d'impact - changement climatique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C5-45DD-BEFC-FC878FA075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6C5-45DD-BEFC-FC878FA075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C5-45DD-BEFC-FC878FA075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6C5-45DD-BEFC-FC878FA075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C5-45DD-BEFC-FC878FA075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3E-4CEB-9590-857C223BB8D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C5-45DD-BEFC-FC878FA07526}"/>
                </c:ext>
              </c:extLst>
            </c:dLbl>
            <c:dLbl>
              <c:idx val="1"/>
              <c:layout>
                <c:manualLayout>
                  <c:x val="8.3333333333333332E-3"/>
                  <c:y val="-4.6296296296296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C5-45DD-BEFC-FC878FA0752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C5-45DD-BEFC-FC878FA0752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C5-45DD-BEFC-FC878FA0752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C5-45DD-BEFC-FC878FA075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Scenarii!$A$4:$A$9</c:f>
              <c:strCache>
                <c:ptCount val="6"/>
                <c:pt idx="0">
                  <c:v>Sous-ensemble</c:v>
                </c:pt>
                <c:pt idx="1">
                  <c:v>IFE</c:v>
                </c:pt>
                <c:pt idx="2">
                  <c:v>Site assemblage</c:v>
                </c:pt>
                <c:pt idx="3">
                  <c:v>Livraison</c:v>
                </c:pt>
                <c:pt idx="4">
                  <c:v>Fin de vie</c:v>
                </c:pt>
                <c:pt idx="5">
                  <c:v>Utilisation 7 ans</c:v>
                </c:pt>
              </c:strCache>
            </c:strRef>
          </c:cat>
          <c:val>
            <c:numRef>
              <c:f>Scenarii!$B$4:$B$9</c:f>
              <c:numCache>
                <c:formatCode>0.0%</c:formatCode>
                <c:ptCount val="6"/>
                <c:pt idx="0">
                  <c:v>0</c:v>
                </c:pt>
                <c:pt idx="1">
                  <c:v>-1.760088321585944E-3</c:v>
                </c:pt>
                <c:pt idx="2">
                  <c:v>0</c:v>
                </c:pt>
                <c:pt idx="3">
                  <c:v>-3.5765931326819245E-6</c:v>
                </c:pt>
                <c:pt idx="4">
                  <c:v>-1.4918701204661693E-6</c:v>
                </c:pt>
                <c:pt idx="5">
                  <c:v>-4.2280716484938349E-2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5-45DD-BEFC-FC878FA07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Scenarii!$B$3</c:f>
              <c:strCache>
                <c:ptCount val="1"/>
                <c:pt idx="0">
                  <c:v>Réduction d'impact - changement climatique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1B-4CF4-8342-60AB0F5A10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1B-4CF4-8342-60AB0F5A10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1B-4CF4-8342-60AB0F5A10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1B-4CF4-8342-60AB0F5A10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31B-4CF4-8342-60AB0F5A10B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31B-4CF4-8342-60AB0F5A10B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1B-4CF4-8342-60AB0F5A10BA}"/>
                </c:ext>
              </c:extLst>
            </c:dLbl>
            <c:dLbl>
              <c:idx val="1"/>
              <c:layout>
                <c:manualLayout>
                  <c:x val="2.5000000000000001E-2"/>
                  <c:y val="-4.6296296296296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1B-4CF4-8342-60AB0F5A10B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1B-4CF4-8342-60AB0F5A10B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1B-4CF4-8342-60AB0F5A10B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1B-4CF4-8342-60AB0F5A10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Scenarii!$A$14:$A$19</c:f>
              <c:strCache>
                <c:ptCount val="6"/>
                <c:pt idx="0">
                  <c:v>Sous-ensemble</c:v>
                </c:pt>
                <c:pt idx="1">
                  <c:v>IFE</c:v>
                </c:pt>
                <c:pt idx="2">
                  <c:v>Site assemblage</c:v>
                </c:pt>
                <c:pt idx="3">
                  <c:v>Livraison</c:v>
                </c:pt>
                <c:pt idx="4">
                  <c:v>Fin de vie</c:v>
                </c:pt>
                <c:pt idx="5">
                  <c:v>Utilisation 7 ans</c:v>
                </c:pt>
              </c:strCache>
            </c:strRef>
          </c:cat>
          <c:val>
            <c:numRef>
              <c:f>Scenarii!$B$14:$B$19</c:f>
              <c:numCache>
                <c:formatCode>0.0%</c:formatCode>
                <c:ptCount val="6"/>
                <c:pt idx="0">
                  <c:v>0</c:v>
                </c:pt>
                <c:pt idx="1">
                  <c:v>-0.29370330839899672</c:v>
                </c:pt>
                <c:pt idx="2">
                  <c:v>0</c:v>
                </c:pt>
                <c:pt idx="3">
                  <c:v>-5.9682075210821736E-4</c:v>
                </c:pt>
                <c:pt idx="4">
                  <c:v>-2.4894613793454931E-4</c:v>
                </c:pt>
                <c:pt idx="5">
                  <c:v>-7.0553199863953706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31B-4CF4-8342-60AB0F5A1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Scenarii!$B$3</c:f>
              <c:strCache>
                <c:ptCount val="1"/>
                <c:pt idx="0">
                  <c:v>Réduction d'impact - changement climatique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16-41AA-AA99-79A15D26B8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16-41AA-AA99-79A15D26B8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Scenarii!$A$26:$A$27</c:f>
              <c:strCache>
                <c:ptCount val="2"/>
                <c:pt idx="0">
                  <c:v>Sous-ensemble</c:v>
                </c:pt>
                <c:pt idx="1">
                  <c:v>IFE</c:v>
                </c:pt>
              </c:strCache>
            </c:strRef>
          </c:cat>
          <c:val>
            <c:numRef>
              <c:f>Scenarii!$B$26:$B$27</c:f>
              <c:numCache>
                <c:formatCode>0.0%</c:formatCode>
                <c:ptCount val="2"/>
                <c:pt idx="0">
                  <c:v>-6.8520782463049421E-2</c:v>
                </c:pt>
                <c:pt idx="1">
                  <c:v>-1.2810932442956826E-2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416-41AA-AA99-79A15D26B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Détails des impacts - perseq.an par cabine sur 7 ans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fr-FR"/>
            <a:t>Détails des impacts - perseq.an par cabine sur 7 ans</a:t>
          </a:r>
        </a:p>
      </cx:txPr>
    </cx:title>
    <cx:plotArea>
      <cx:plotAreaRegion>
        <cx:series layoutId="waterfall" uniqueId="{10429B51-9104-45D1-96FF-BF11E6C9301D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  <cx:txPr>
          <a:bodyPr spcFirstLastPara="1" vertOverflow="ellipsis" wrap="square" lIns="0" tIns="0" rIns="0" bIns="0" anchor="ctr" anchorCtr="1"/>
          <a:lstStyle/>
          <a:p>
            <a:pPr>
              <a:defRPr/>
            </a:pPr>
            <a:endParaRPr lang="fr-FR"/>
          </a:p>
        </cx:txPr>
      </cx:axis>
      <cx:axis id="1" hidden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Détails des impacts - perseq.an par siège pondéré sur 7 ans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fr-FR"/>
            <a:t>Détails des impacts - perseq.an par siège pondéré sur 7 ans</a:t>
          </a:r>
        </a:p>
      </cx:txPr>
    </cx:title>
    <cx:plotArea>
      <cx:plotAreaRegion>
        <cx:series layoutId="waterfall" uniqueId="{32DFF343-DDD9-40F6-A768-7371AEB62025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  <cx:txPr>
          <a:bodyPr spcFirstLastPara="1" vertOverflow="ellipsis" wrap="square" lIns="0" tIns="0" rIns="0" bIns="0" anchor="ctr" anchorCtr="1"/>
          <a:lstStyle/>
          <a:p>
            <a:pPr>
              <a:defRPr/>
            </a:pPr>
            <a:endParaRPr lang="fr-FR"/>
          </a:p>
        </cx:txPr>
      </cx:axis>
      <cx:axis id="1" hidden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</cx:chartData>
  <cx:chart>
    <cx:title pos="t" align="ctr" overlay="0">
      <cx:tx>
        <cx:txData>
          <cx:v>Détails des impacts - perseq.an par cabine pondéré sur 7 ans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fr-FR"/>
            <a:t>Détails des impacts - perseq.an par cabine pondéré sur 7 ans</a:t>
          </a:r>
        </a:p>
      </cx:txPr>
    </cx:title>
    <cx:plotArea>
      <cx:plotAreaRegion>
        <cx:series layoutId="waterfall" uniqueId="{5ED9810E-3852-481A-995A-00783E3E2C29}" formatIdx="1">
          <cx:tx>
            <cx:txData>
              <cx:f>_xlchart.v1.5</cx:f>
              <cx:v>Par cabine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  <cx:txPr>
          <a:bodyPr spcFirstLastPara="1" vertOverflow="ellipsis" wrap="square" lIns="0" tIns="0" rIns="0" bIns="0" anchor="ctr" anchorCtr="1"/>
          <a:lstStyle/>
          <a:p>
            <a:pPr>
              <a:defRPr/>
            </a:pPr>
            <a:endParaRPr lang="fr-FR"/>
          </a:p>
        </cx:txPr>
      </cx:axis>
      <cx:axis id="1" hidden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/>
    </cs:fontRef>
    <cs:defRPr sz="9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microsoft.com/office/2014/relationships/chartEx" Target="../charts/chartEx1.xml"/><Relationship Id="rId1" Type="http://schemas.openxmlformats.org/officeDocument/2006/relationships/chart" Target="../charts/chart4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13" Type="http://schemas.microsoft.com/office/2014/relationships/chartEx" Target="../charts/chartEx3.xml"/><Relationship Id="rId18" Type="http://schemas.openxmlformats.org/officeDocument/2006/relationships/chart" Target="../charts/chart26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12" Type="http://schemas.openxmlformats.org/officeDocument/2006/relationships/chart" Target="../charts/chart21.xml"/><Relationship Id="rId17" Type="http://schemas.openxmlformats.org/officeDocument/2006/relationships/chart" Target="../charts/chart25.xml"/><Relationship Id="rId2" Type="http://schemas.microsoft.com/office/2014/relationships/chartEx" Target="../charts/chartEx2.xml"/><Relationship Id="rId16" Type="http://schemas.openxmlformats.org/officeDocument/2006/relationships/chart" Target="../charts/chart24.xml"/><Relationship Id="rId1" Type="http://schemas.openxmlformats.org/officeDocument/2006/relationships/chart" Target="../charts/chart11.xml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5" Type="http://schemas.openxmlformats.org/officeDocument/2006/relationships/chart" Target="../charts/chart23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Relationship Id="rId1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1592580</xdr:colOff>
      <xdr:row>49</xdr:row>
      <xdr:rowOff>109818</xdr:rowOff>
    </xdr:from>
    <xdr:to>
      <xdr:col>10</xdr:col>
      <xdr:colOff>385482</xdr:colOff>
      <xdr:row>80</xdr:row>
      <xdr:rowOff>125507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87630</xdr:colOff>
      <xdr:row>7</xdr:row>
      <xdr:rowOff>144780</xdr:rowOff>
    </xdr:from>
    <xdr:to>
      <xdr:col>10</xdr:col>
      <xdr:colOff>2505075</xdr:colOff>
      <xdr:row>22</xdr:row>
      <xdr:rowOff>144780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13</xdr:row>
      <xdr:rowOff>87630</xdr:rowOff>
    </xdr:from>
    <xdr:to>
      <xdr:col>14</xdr:col>
      <xdr:colOff>236220</xdr:colOff>
      <xdr:row>28</xdr:row>
      <xdr:rowOff>87630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552226</xdr:colOff>
      <xdr:row>17</xdr:row>
      <xdr:rowOff>12998</xdr:rowOff>
    </xdr:from>
    <xdr:to>
      <xdr:col>20</xdr:col>
      <xdr:colOff>389515</xdr:colOff>
      <xdr:row>49</xdr:row>
      <xdr:rowOff>104438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40789</xdr:rowOff>
    </xdr:from>
    <xdr:to>
      <xdr:col>19</xdr:col>
      <xdr:colOff>385035</xdr:colOff>
      <xdr:row>49</xdr:row>
      <xdr:rowOff>132229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00000000-0008-0000-08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9800" y="3149749"/>
              <a:ext cx="9018495" cy="594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0</xdr:col>
      <xdr:colOff>394448</xdr:colOff>
      <xdr:row>54</xdr:row>
      <xdr:rowOff>58272</xdr:rowOff>
    </xdr:from>
    <xdr:to>
      <xdr:col>4</xdr:col>
      <xdr:colOff>493058</xdr:colOff>
      <xdr:row>72</xdr:row>
      <xdr:rowOff>62754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582707</xdr:colOff>
      <xdr:row>71</xdr:row>
      <xdr:rowOff>94129</xdr:rowOff>
    </xdr:from>
    <xdr:to>
      <xdr:col>15</xdr:col>
      <xdr:colOff>403412</xdr:colOff>
      <xdr:row>91</xdr:row>
      <xdr:rowOff>53788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286870</xdr:colOff>
      <xdr:row>74</xdr:row>
      <xdr:rowOff>94129</xdr:rowOff>
    </xdr:from>
    <xdr:to>
      <xdr:col>11</xdr:col>
      <xdr:colOff>125506</xdr:colOff>
      <xdr:row>89</xdr:row>
      <xdr:rowOff>147918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100</xdr:row>
      <xdr:rowOff>0</xdr:rowOff>
    </xdr:from>
    <xdr:to>
      <xdr:col>11</xdr:col>
      <xdr:colOff>627530</xdr:colOff>
      <xdr:row>115</xdr:row>
      <xdr:rowOff>53788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215153</xdr:colOff>
      <xdr:row>4</xdr:row>
      <xdr:rowOff>143435</xdr:rowOff>
    </xdr:from>
    <xdr:to>
      <xdr:col>45</xdr:col>
      <xdr:colOff>56029</xdr:colOff>
      <xdr:row>37</xdr:row>
      <xdr:rowOff>51995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0</xdr:colOff>
      <xdr:row>40</xdr:row>
      <xdr:rowOff>0</xdr:rowOff>
    </xdr:from>
    <xdr:to>
      <xdr:col>44</xdr:col>
      <xdr:colOff>629770</xdr:colOff>
      <xdr:row>72</xdr:row>
      <xdr:rowOff>87855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328773</xdr:colOff>
      <xdr:row>136</xdr:row>
      <xdr:rowOff>121723</xdr:rowOff>
    </xdr:from>
    <xdr:to>
      <xdr:col>18</xdr:col>
      <xdr:colOff>504508</xdr:colOff>
      <xdr:row>169</xdr:row>
      <xdr:rowOff>33054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232634</xdr:colOff>
      <xdr:row>7</xdr:row>
      <xdr:rowOff>161702</xdr:rowOff>
    </xdr:from>
    <xdr:to>
      <xdr:col>21</xdr:col>
      <xdr:colOff>711238</xdr:colOff>
      <xdr:row>40</xdr:row>
      <xdr:rowOff>71943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00000000-0008-0000-0900-000003000000}"/>
                </a:ext>
                <a:ext uri="{147F2762-F138-4A5C-976F-8EAC2B608ADB}">
                  <a16:predDERef xmlns:a16="http://schemas.microsoft.com/office/drawing/2014/main" pred="{00000000-0008-0000-09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39974" y="1441862"/>
              <a:ext cx="10681784" cy="59452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8</xdr:col>
      <xdr:colOff>382794</xdr:colOff>
      <xdr:row>40</xdr:row>
      <xdr:rowOff>77771</xdr:rowOff>
    </xdr:from>
    <xdr:to>
      <xdr:col>15</xdr:col>
      <xdr:colOff>624279</xdr:colOff>
      <xdr:row>58</xdr:row>
      <xdr:rowOff>82253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900-000004000000}"/>
            </a:ext>
            <a:ext uri="{147F2762-F138-4A5C-976F-8EAC2B608ADB}">
              <a16:predDERef xmlns:a16="http://schemas.microsoft.com/office/drawing/2014/main" pre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331359</xdr:colOff>
      <xdr:row>79</xdr:row>
      <xdr:rowOff>94578</xdr:rowOff>
    </xdr:from>
    <xdr:to>
      <xdr:col>20</xdr:col>
      <xdr:colOff>490817</xdr:colOff>
      <xdr:row>99</xdr:row>
      <xdr:rowOff>55918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286870</xdr:colOff>
      <xdr:row>81</xdr:row>
      <xdr:rowOff>94129</xdr:rowOff>
    </xdr:from>
    <xdr:to>
      <xdr:col>11</xdr:col>
      <xdr:colOff>125506</xdr:colOff>
      <xdr:row>96</xdr:row>
      <xdr:rowOff>147918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133350</xdr:colOff>
      <xdr:row>98</xdr:row>
      <xdr:rowOff>114300</xdr:rowOff>
    </xdr:from>
    <xdr:to>
      <xdr:col>11</xdr:col>
      <xdr:colOff>760880</xdr:colOff>
      <xdr:row>113</xdr:row>
      <xdr:rowOff>168088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43703</xdr:colOff>
      <xdr:row>115</xdr:row>
      <xdr:rowOff>58271</xdr:rowOff>
    </xdr:from>
    <xdr:to>
      <xdr:col>11</xdr:col>
      <xdr:colOff>141753</xdr:colOff>
      <xdr:row>135</xdr:row>
      <xdr:rowOff>8405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1681282</xdr:colOff>
      <xdr:row>169</xdr:row>
      <xdr:rowOff>155122</xdr:rowOff>
    </xdr:from>
    <xdr:to>
      <xdr:col>11</xdr:col>
      <xdr:colOff>246289</xdr:colOff>
      <xdr:row>185</xdr:row>
      <xdr:rowOff>14329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900-00000B000000}"/>
            </a:ext>
            <a:ext uri="{147F2762-F138-4A5C-976F-8EAC2B608ADB}">
              <a16:predDERef xmlns:a16="http://schemas.microsoft.com/office/drawing/2014/main" pred="{00000000-0008-0000-0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343938</xdr:colOff>
      <xdr:row>170</xdr:row>
      <xdr:rowOff>85485</xdr:rowOff>
    </xdr:from>
    <xdr:to>
      <xdr:col>19</xdr:col>
      <xdr:colOff>171369</xdr:colOff>
      <xdr:row>185</xdr:row>
      <xdr:rowOff>133830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190165</xdr:colOff>
      <xdr:row>105</xdr:row>
      <xdr:rowOff>154866</xdr:rowOff>
    </xdr:from>
    <xdr:to>
      <xdr:col>18</xdr:col>
      <xdr:colOff>448458</xdr:colOff>
      <xdr:row>130</xdr:row>
      <xdr:rowOff>159348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900-00000D000000}"/>
            </a:ext>
            <a:ext uri="{147F2762-F138-4A5C-976F-8EAC2B608ADB}">
              <a16:predDERef xmlns:a16="http://schemas.microsoft.com/office/drawing/2014/main" pred="{00000000-0008-0000-09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267485</xdr:colOff>
      <xdr:row>59</xdr:row>
      <xdr:rowOff>102982</xdr:rowOff>
    </xdr:from>
    <xdr:to>
      <xdr:col>20</xdr:col>
      <xdr:colOff>42695</xdr:colOff>
      <xdr:row>77</xdr:row>
      <xdr:rowOff>129652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900-000010000000}"/>
            </a:ext>
            <a:ext uri="{147F2762-F138-4A5C-976F-8EAC2B608ADB}">
              <a16:predDERef xmlns:a16="http://schemas.microsoft.com/office/drawing/2014/main" pre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2058489</xdr:colOff>
      <xdr:row>189</xdr:row>
      <xdr:rowOff>134440</xdr:rowOff>
    </xdr:from>
    <xdr:to>
      <xdr:col>18</xdr:col>
      <xdr:colOff>672737</xdr:colOff>
      <xdr:row>204</xdr:row>
      <xdr:rowOff>134440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287655</xdr:colOff>
      <xdr:row>20</xdr:row>
      <xdr:rowOff>47625</xdr:rowOff>
    </xdr:from>
    <xdr:to>
      <xdr:col>22</xdr:col>
      <xdr:colOff>731745</xdr:colOff>
      <xdr:row>52</xdr:row>
      <xdr:rowOff>140970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Graphique 13">
              <a:extLst>
                <a:ext uri="{FF2B5EF4-FFF2-40B4-BE49-F238E27FC236}">
                  <a16:creationId xmlns:a16="http://schemas.microsoft.com/office/drawing/2014/main" id="{00000000-0008-0000-0900-00000E000000}"/>
                </a:ext>
                <a:ext uri="{147F2762-F138-4A5C-976F-8EAC2B608ADB}">
                  <a16:predDERef xmlns:a16="http://schemas.microsoft.com/office/drawing/2014/main" pred="{00000000-0008-0000-09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79855" y="3705225"/>
              <a:ext cx="10647270" cy="5945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14</xdr:col>
      <xdr:colOff>689066</xdr:colOff>
      <xdr:row>204</xdr:row>
      <xdr:rowOff>38100</xdr:rowOff>
    </xdr:from>
    <xdr:to>
      <xdr:col>20</xdr:col>
      <xdr:colOff>109946</xdr:colOff>
      <xdr:row>215</xdr:row>
      <xdr:rowOff>99059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198120</xdr:colOff>
      <xdr:row>206</xdr:row>
      <xdr:rowOff>22860</xdr:rowOff>
    </xdr:from>
    <xdr:to>
      <xdr:col>7</xdr:col>
      <xdr:colOff>662940</xdr:colOff>
      <xdr:row>215</xdr:row>
      <xdr:rowOff>160020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217</xdr:row>
      <xdr:rowOff>0</xdr:rowOff>
    </xdr:from>
    <xdr:to>
      <xdr:col>7</xdr:col>
      <xdr:colOff>464820</xdr:colOff>
      <xdr:row>226</xdr:row>
      <xdr:rowOff>137160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0</xdr:colOff>
      <xdr:row>228</xdr:row>
      <xdr:rowOff>0</xdr:rowOff>
    </xdr:from>
    <xdr:to>
      <xdr:col>7</xdr:col>
      <xdr:colOff>464820</xdr:colOff>
      <xdr:row>237</xdr:row>
      <xdr:rowOff>137160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229688</xdr:colOff>
      <xdr:row>217</xdr:row>
      <xdr:rowOff>120832</xdr:rowOff>
    </xdr:from>
    <xdr:to>
      <xdr:col>19</xdr:col>
      <xdr:colOff>76200</xdr:colOff>
      <xdr:row>230</xdr:row>
      <xdr:rowOff>27214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708660</xdr:colOff>
      <xdr:row>0</xdr:row>
      <xdr:rowOff>156210</xdr:rowOff>
    </xdr:from>
    <xdr:to>
      <xdr:col>16</xdr:col>
      <xdr:colOff>525780</xdr:colOff>
      <xdr:row>15</xdr:row>
      <xdr:rowOff>72390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17</xdr:row>
      <xdr:rowOff>0</xdr:rowOff>
    </xdr:from>
    <xdr:to>
      <xdr:col>16</xdr:col>
      <xdr:colOff>609600</xdr:colOff>
      <xdr:row>31</xdr:row>
      <xdr:rowOff>99060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34</xdr:row>
      <xdr:rowOff>0</xdr:rowOff>
    </xdr:from>
    <xdr:to>
      <xdr:col>16</xdr:col>
      <xdr:colOff>609600</xdr:colOff>
      <xdr:row>49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IZILLON Xavier" refreshedDate="44607.376567129628" createdVersion="6" refreshedVersion="6" minRefreshableVersion="3" recordCount="259" xr:uid="{00000000-000A-0000-FFFF-FFFF00000000}">
  <cacheSource type="worksheet">
    <worksheetSource ref="A1:AE260" sheet="Transpo perseq"/>
  </cacheSource>
  <cacheFields count="31">
    <cacheField name="Type" numFmtId="0">
      <sharedItems count="7">
        <s v="Sous-ensemble"/>
        <s v="IFE"/>
        <s v="Site assemblage"/>
        <s v="Livraison"/>
        <s v="Utilisation"/>
        <s v="Utilisation 7 ans"/>
        <s v="Fin de vie"/>
      </sharedItems>
    </cacheField>
    <cacheField name="Système" numFmtId="0">
      <sharedItems count="46">
        <s v="Brackets set"/>
        <s v="Ceinture de sécurité"/>
        <s v="Commande actionnement ECU"/>
        <s v="Ecran"/>
        <s v="lightning"/>
        <s v="Padding"/>
        <s v="Powerbox"/>
        <s v="Remote extender unit"/>
        <s v="SFCU"/>
        <s v="Support clamps"/>
        <s v="System IFE"/>
        <s v="Site assemblage"/>
        <s v="Accoudoir allée"/>
        <s v="Bumper version porte"/>
        <s v="Capot NFC"/>
        <s v="Coussin ottoman"/>
        <s v="Coussin têtière"/>
        <s v="Ens. Coussin assise"/>
        <s v="Ens.coussin dossier version têtière"/>
        <s v="Ens. Coussin dossier"/>
        <s v="Ens. Stowage latéral"/>
        <s v="Ens. Coque"/>
        <s v="Ens. Equipements latéraux"/>
        <s v="Ens. Palette optimisée"/>
        <s v="Ensemble porte"/>
        <s v="Ens. Structure fauteuil"/>
        <s v="Ens. Structure porte"/>
        <s v="Ens. Structure fixe"/>
        <s v="Ens. Tablette cocktail"/>
        <s v="Ens. Tablette repas"/>
        <s v="Ens. Têtière"/>
        <s v="Habillage sous fauteuil"/>
        <s v="Manchette acc. Mobile"/>
        <s v="Manchette équipée"/>
        <s v="Renfort tubulaire"/>
        <s v="Stowage assemblé avec porte"/>
        <s v="Structure ottoman horizontale"/>
        <s v="Support écran"/>
        <s v="Support équipé"/>
        <s v="Support manchette équipée"/>
        <s v="Support NFC"/>
        <s v="Livraison à Hambourg"/>
        <s v="Consommation passive"/>
        <s v="Entretien"/>
        <s v="Enfouissement"/>
        <s v="Recyclage"/>
      </sharedItems>
    </cacheField>
    <cacheField name="Composant" numFmtId="0">
      <sharedItems containsMixedTypes="1" containsNumber="1" containsInteger="1" minValue="4140" maxValue="4140" count="69">
        <s v="cables"/>
        <s v="packaging"/>
        <s v="Transport"/>
        <s v="acier"/>
        <s v="nylon"/>
        <s v="Commande actionnement ECU"/>
        <s v="Ecran"/>
        <s v="lightning"/>
        <s v="Padding"/>
        <s v="powerbox"/>
        <s v="télécommande"/>
        <s v="Clavier"/>
        <s v="System IFE boitier"/>
        <s v="élec atelier"/>
        <s v="élec bureaux"/>
        <s v="gaz atelier"/>
        <s v="gaz bureaux"/>
        <s v="papierassemblage"/>
        <s v="30NCD6"/>
        <s v="A2017"/>
        <s v="A2024"/>
        <s v="A5086"/>
        <s v="Alu"/>
        <s v="Ertalon"/>
        <s v="inox"/>
        <s v="alliage Cu"/>
        <s v="Copolymere Lexan FST"/>
        <s v="kydex"/>
        <s v="FRMC55"/>
        <s v="tissu"/>
        <s v="velours"/>
        <s v="velcro"/>
        <s v="15CDV6"/>
        <s v="cuir"/>
        <s v="NIDA"/>
        <s v="Résine BR623"/>
        <s v="35NC6"/>
        <s v="Polychloroprene"/>
        <s v="AER film"/>
        <n v="4140"/>
        <s v="Z10CNT18"/>
        <s v="caoutchouc"/>
        <s v="A2075"/>
        <s v="Silicone50 shore"/>
        <s v="A6060"/>
        <s v="Silicone"/>
        <s v="EU-28: Kerosene / Jet A1 at refinery Sphera"/>
        <s v="GLO: Cargo plane, 65 t payload Sphera &lt;u-so&gt;"/>
        <s v="Nettoyage et désinfection"/>
        <s v="Landfill Acier (11,54 kg)"/>
        <s v="Landfill Aluminium (69,53 kg)"/>
        <s v="Landfill DEEE (9,55 kg)"/>
        <s v="landfill plastique (21,36 kg)"/>
        <s v="landfill textile (2,34 kg)"/>
        <s v="Credit Recyclage Acier"/>
        <s v="Credit Recyclage Aluminium"/>
        <s v="Credit Recyclage DEEE"/>
        <s v="Credit Recyclage plastiques"/>
        <s v="incinération Covers"/>
        <s v="Incineration plastiques"/>
        <s v="Mise en décharche Acier"/>
        <s v="Mise en décharge Aluminium"/>
        <s v="Mise en décharge DEEE"/>
        <s v="Mise en décharge Plastiques"/>
        <s v="Mise en décharge Textile"/>
        <s v="Process recyclage Acier"/>
        <s v="Process recyclage Alu"/>
        <s v="Process recyclage DEEE"/>
        <s v="Process recyclage Plastiques"/>
      </sharedItems>
    </cacheField>
    <cacheField name="EF 3.0 Acidification" numFmtId="0">
      <sharedItems containsSemiMixedTypes="0" containsString="0" containsNumber="1" minValue="-4.7100000000000003E-2" maxValue="29.610000000000003"/>
    </cacheField>
    <cacheField name="EF 3.0 Climate Change - total" numFmtId="0">
      <sharedItems containsSemiMixedTypes="0" containsString="0" containsNumber="1" minValue="-6.6799999999999998E-2" maxValue="49.77"/>
    </cacheField>
    <cacheField name="EF 3.0 Climate Change, biogenic" numFmtId="0">
      <sharedItems containsSemiMixedTypes="0" containsString="0" containsNumber="1" minValue="-8.5799999999999998E-5" maxValue="6.9930000000000006E-2"/>
    </cacheField>
    <cacheField name="EF 3.0 Climate Change, fossil" numFmtId="0">
      <sharedItems containsSemiMixedTypes="0" containsString="0" containsNumber="1" minValue="-6.6600000000000006E-2" maxValue="49.77"/>
    </cacheField>
    <cacheField name="EF 3.0 Climate Change, land use and land use change" numFmtId="0">
      <sharedItems containsSemiMixedTypes="0" containsString="0" containsNumber="1" minValue="-3.1399999999999998E-5" maxValue="1.1900000000000001E-3"/>
    </cacheField>
    <cacheField name="EF 3.0 Ecotoxicity, freshwater - total" numFmtId="0">
      <sharedItems containsSemiMixedTypes="0" containsString="0" containsNumber="1" minValue="-1.84" maxValue="106.39999999999999"/>
    </cacheField>
    <cacheField name="EF 3.0 Ecotoxicity, freshwater inorganics" numFmtId="0">
      <sharedItems containsSemiMixedTypes="0" containsString="0" containsNumber="1" minValue="-3.85E-2" maxValue="103.60000000000001"/>
    </cacheField>
    <cacheField name="EF 3.0 Ecotoxicity, freshwater metals" numFmtId="0">
      <sharedItems containsSemiMixedTypes="0" containsString="0" containsNumber="1" minValue="-1.4500000000000001E-2" maxValue="1.645"/>
    </cacheField>
    <cacheField name="EF 3.0 Ecotoxicity, freshwater organics" numFmtId="0">
      <sharedItems containsSemiMixedTypes="0" containsString="0" containsNumber="1" minValue="-8.1700000000000002E-3" maxValue="0.81900000000000006"/>
    </cacheField>
    <cacheField name="EF 3.0 Eutrophication, freshwater" numFmtId="0">
      <sharedItems containsSemiMixedTypes="0" containsString="0" containsNumber="1" minValue="-0.497" maxValue="0.753"/>
    </cacheField>
    <cacheField name="EF 3.0 Eutrophication, marine" numFmtId="0">
      <sharedItems containsSemiMixedTypes="0" containsString="0" containsNumber="1" minValue="-4.6300000000000001E-2" maxValue="40.74"/>
    </cacheField>
    <cacheField name="EF 3.0 Eutrophication, terrestrial" numFmtId="0">
      <sharedItems containsSemiMixedTypes="0" containsString="0" containsNumber="1" minValue="-4.48E-2" maxValue="49.35"/>
    </cacheField>
    <cacheField name="EF 3.0 Human toxicity, cancer - total" numFmtId="0">
      <sharedItems containsSemiMixedTypes="0" containsString="0" containsNumber="1" minValue="-0.17199999999999999" maxValue="4.97"/>
    </cacheField>
    <cacheField name="EF 3.0 Human toxicity, cancer inorganics" numFmtId="0">
      <sharedItems containsSemiMixedTypes="0" containsString="0" containsNumber="1" minValue="-3.29E-10" maxValue="4.9199999999999996E-10"/>
    </cacheField>
    <cacheField name="EF 3.0 Human toxicity, cancer metals" numFmtId="0">
      <sharedItems containsSemiMixedTypes="0" containsString="0" containsNumber="1" minValue="-4.91270005509367E-3" maxValue="4.8719999999999999"/>
    </cacheField>
    <cacheField name="EF 3.0 Human toxicity, cancer organics" numFmtId="0">
      <sharedItems containsSemiMixedTypes="0" containsString="0" containsNumber="1" minValue="-0.167487247212357" maxValue="9.9589349920090803E-2"/>
    </cacheField>
    <cacheField name="EF 3.0 Human toxicity, non-cancer - total" numFmtId="0">
      <sharedItems containsSemiMixedTypes="0" containsString="0" containsNumber="1" minValue="-0.120699183305071" maxValue="15.010641894475082"/>
    </cacheField>
    <cacheField name="EF 3.0 Human toxicity, non-cancer inorganics" numFmtId="0">
      <sharedItems containsSemiMixedTypes="0" containsString="0" containsNumber="1" minValue="-3.5362358384236001E-3" maxValue="3.2027116343502349"/>
    </cacheField>
    <cacheField name="EF 3.0 Human toxicity, non-cancer metals" numFmtId="0">
      <sharedItems containsSemiMixedTypes="0" containsString="0" containsNumber="1" minValue="-2.4920037219776099E-2" maxValue="11.78903218925999"/>
    </cacheField>
    <cacheField name="EF 3.0 Human toxicity, non-cancer organics" numFmtId="0">
      <sharedItems containsSemiMixedTypes="0" containsString="0" containsNumber="1" minValue="-2.4111420937652199E-4" maxValue="0.14420129208828841"/>
    </cacheField>
    <cacheField name="EF 3.0 Ionising radiation, human health" numFmtId="0">
      <sharedItems containsSemiMixedTypes="0" containsString="0" containsNumber="1" minValue="-1.7963837802626101E-2" maxValue="0.16401337389284332"/>
    </cacheField>
    <cacheField name="EF 3.0 Land Use" numFmtId="0">
      <sharedItems containsSemiMixedTypes="0" containsString="0" containsNumber="1" minValue="-7.6741634878286199E-3" maxValue="1.544732050985949E-2"/>
    </cacheField>
    <cacheField name="EF 3.0 Ozone depletion" numFmtId="0">
      <sharedItems containsSemiMixedTypes="0" containsString="0" containsNumber="1" minValue="-8.5297192775399798E-4" maxValue="1.3892803665507701E-3"/>
    </cacheField>
    <cacheField name="EF 3.0 Particulate matter" numFmtId="0">
      <sharedItems containsSemiMixedTypes="0" containsString="0" containsNumber="1" minValue="-4.7267739581747202E-2" maxValue="7.7396735763711"/>
    </cacheField>
    <cacheField name="EF 3.0 Photochemical ozone formation, human health" numFmtId="0">
      <sharedItems containsSemiMixedTypes="0" containsString="0" containsNumber="1" minValue="-4.8577016681915101E-2" maxValue="53.98071195359563"/>
    </cacheField>
    <cacheField name="EF 3.0 Resource use, fossils" numFmtId="0">
      <sharedItems containsSemiMixedTypes="0" containsString="0" containsNumber="1" minValue="-0.104252253476809" maxValue="95.914868377432299"/>
    </cacheField>
    <cacheField name="EF 3.0 Resource use, mineral and metals" numFmtId="0">
      <sharedItems containsSemiMixedTypes="0" containsString="0" containsNumber="1" minValue="-3.63138380591537" maxValue="6.15416193828431"/>
    </cacheField>
    <cacheField name="EF 3.0 Water use" numFmtId="0">
      <sharedItems containsSemiMixedTypes="0" containsString="0" containsNumber="1" minValue="-1.1707123048216399" maxValue="2.70387824003051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IZILLON Xavier" refreshedDate="44607.376567476851" createdVersion="6" refreshedVersion="6" minRefreshableVersion="3" recordCount="259" xr:uid="{00000000-000A-0000-FFFF-FFFF01000000}">
  <cacheSource type="worksheet">
    <worksheetSource ref="A1:S260" sheet="Transpo pondéré"/>
  </cacheSource>
  <cacheFields count="19">
    <cacheField name="Type" numFmtId="0">
      <sharedItems count="7">
        <s v="Sous-ensemble"/>
        <s v="IFE"/>
        <s v="Site assemblage"/>
        <s v="Livraison"/>
        <s v="Utilisation"/>
        <s v="Utilisation 7 ans"/>
        <s v="Fin de vie"/>
      </sharedItems>
    </cacheField>
    <cacheField name="Système" numFmtId="0">
      <sharedItems count="46">
        <s v="Brackets set"/>
        <s v="Ceinture de sécurité"/>
        <s v="Commande actionnement ECU"/>
        <s v="Ecran"/>
        <s v="lightning"/>
        <s v="Padding"/>
        <s v="Powerbox"/>
        <s v="Remote extender unit"/>
        <s v="SFCU"/>
        <s v="Support clamps"/>
        <s v="System IFE"/>
        <s v="Site assemblage"/>
        <s v="Accoudoir allée"/>
        <s v="Bumper version porte"/>
        <s v="Capot NFC"/>
        <s v="Coussin ottoman"/>
        <s v="Coussin têtière"/>
        <s v="Ens. Coussin assise"/>
        <s v="Ens.coussin dossier version têtière"/>
        <s v="Ens. Coussin dossier"/>
        <s v="Ens. Stowage latéral"/>
        <s v="Ens. Coque"/>
        <s v="Ens. Equipements latéraux"/>
        <s v="Ens. Palette optimisée"/>
        <s v="Ensemble porte"/>
        <s v="Ens. Structure fauteuil"/>
        <s v="Ens. Structure porte"/>
        <s v="Ens. Structure fixe"/>
        <s v="Ens. Tablette cocktail"/>
        <s v="Ens. Tablette repas"/>
        <s v="Ens. Têtière"/>
        <s v="Habillage sous fauteuil"/>
        <s v="Manchette acc. Mobile"/>
        <s v="Manchette équipée"/>
        <s v="Renfort tubulaire"/>
        <s v="Stowage assemblé avec porte"/>
        <s v="Structure ottoman horizontale"/>
        <s v="Support écran"/>
        <s v="Support équipé"/>
        <s v="Support manchette équipée"/>
        <s v="Support NFC"/>
        <s v="Livraison à Hambourg"/>
        <s v="Consommation passive"/>
        <s v="Entretien"/>
        <s v="Enfouissement"/>
        <s v="Recyclage"/>
      </sharedItems>
    </cacheField>
    <cacheField name="Composant" numFmtId="0">
      <sharedItems containsMixedTypes="1" containsNumber="1" containsInteger="1" minValue="4140" maxValue="4140" count="69">
        <s v="cables"/>
        <s v="packaging"/>
        <s v="Transport"/>
        <s v="acier"/>
        <s v="nylon"/>
        <s v="Commande actionnement ECU"/>
        <s v="Ecran"/>
        <s v="lightning"/>
        <s v="Padding"/>
        <s v="powerbox"/>
        <s v="télécommande"/>
        <s v="Clavier"/>
        <s v="System IFE boitier"/>
        <s v="élec atelier"/>
        <s v="élec bureaux"/>
        <s v="gaz atelier"/>
        <s v="gaz bureaux"/>
        <s v="papierassemblage"/>
        <s v="30NCD6"/>
        <s v="A2017"/>
        <s v="A2024"/>
        <s v="A5086"/>
        <s v="Alu"/>
        <s v="Ertalon"/>
        <s v="inox"/>
        <s v="alliage Cu"/>
        <s v="Copolymere Lexan FST"/>
        <s v="kydex"/>
        <s v="FRMC55"/>
        <s v="tissu"/>
        <s v="velours"/>
        <s v="velcro"/>
        <s v="15CDV6"/>
        <s v="cuir"/>
        <s v="NIDA"/>
        <s v="Résine BR623"/>
        <s v="35NC6"/>
        <s v="Polychloroprene"/>
        <s v="AER film"/>
        <n v="4140"/>
        <s v="Z10CNT18"/>
        <s v="caoutchouc"/>
        <s v="A2075"/>
        <s v="Silicone50 shore"/>
        <s v="A6060"/>
        <s v="Silicone"/>
        <s v="EU-28: Kerosene / Jet A1 at refinery Sphera"/>
        <s v="GLO: Cargo plane, 65 t payload Sphera &lt;u-so&gt;"/>
        <s v="Nettoyage et désinfection"/>
        <s v="Landfill Acier (11,54 kg)"/>
        <s v="Landfill Aluminium (69,53 kg)"/>
        <s v="Landfill DEEE (9,55 kg)"/>
        <s v="landfill plastique (21,36 kg)"/>
        <s v="landfill textile (2,34 kg)"/>
        <s v="Credit Recyclage Acier"/>
        <s v="Credit Recyclage Aluminium"/>
        <s v="Credit Recyclage DEEE"/>
        <s v="Credit Recyclage plastiques"/>
        <s v="incinération Covers"/>
        <s v="Incineration plastiques"/>
        <s v="Mise en décharche Acier"/>
        <s v="Mise en décharge Aluminium"/>
        <s v="Mise en décharge DEEE"/>
        <s v="Mise en décharge Plastiques"/>
        <s v="Mise en décharge Textile"/>
        <s v="Process recyclage Acier"/>
        <s v="Process recyclage Alu"/>
        <s v="Process recyclage DEEE"/>
        <s v="Process recyclage Plastiques"/>
      </sharedItems>
    </cacheField>
    <cacheField name="EF 3.0 Acidification" numFmtId="0">
      <sharedItems containsSemiMixedTypes="0" containsString="0" containsNumber="1" minValue="-4.6723199999999999E-2" maxValue="29.373120000000004"/>
    </cacheField>
    <cacheField name="EF 3.0 Climate Change - total" numFmtId="0">
      <sharedItems containsSemiMixedTypes="0" containsString="0" containsNumber="1" minValue="-0.22508928" maxValue="167.704992"/>
    </cacheField>
    <cacheField name="EF 3.0 Ecotoxicity, freshwater - total" numFmtId="0">
      <sharedItems containsSemiMixedTypes="0" containsString="0" containsNumber="1" minValue="-0.56524799999999997" maxValue="32.686079999999997"/>
    </cacheField>
    <cacheField name="EF 3.0 Eutrophication, freshwater" numFmtId="0">
      <sharedItems containsSemiMixedTypes="0" containsString="0" containsNumber="1" minValue="-0.22265599999999999" maxValue="0.33734400000000003"/>
    </cacheField>
    <cacheField name="EF 3.0 Eutrophication, marine" numFmtId="0">
      <sharedItems containsSemiMixedTypes="0" containsString="0" containsNumber="1" minValue="-2.1927680000000001E-2" maxValue="19.294464000000001"/>
    </cacheField>
    <cacheField name="EF 3.0 Eutrophication, terrestrial" numFmtId="0">
      <sharedItems containsSemiMixedTypes="0" containsString="0" containsNumber="1" minValue="-2.659328E-2" maxValue="29.294160000000002"/>
    </cacheField>
    <cacheField name="EF 3.0 Human toxicity, cancer - total" numFmtId="0">
      <sharedItems containsSemiMixedTypes="0" containsString="0" containsNumber="1" minValue="-5.8617599999999992E-2" maxValue="1.6937759999999999"/>
    </cacheField>
    <cacheField name="EF 3.0 Human toxicity, non-cancer - total" numFmtId="0">
      <sharedItems containsSemiMixedTypes="0" containsString="0" containsNumber="1" minValue="-3.5533839565012902E-2" maxValue="4.4191329737334639"/>
    </cacheField>
    <cacheField name="EF 3.0 Ionising radiation, human health" numFmtId="0">
      <sharedItems containsSemiMixedTypes="0" containsString="0" containsNumber="1" minValue="-1.4399812382585081E-2" maxValue="0.13147312051250321"/>
    </cacheField>
    <cacheField name="EF 3.0 Land Use" numFmtId="0">
      <sharedItems containsSemiMixedTypes="0" containsString="0" containsNumber="1" minValue="-9.749257294937478E-3" maxValue="1.9624275975725497E-2"/>
    </cacheField>
    <cacheField name="EF 3.0 Ozone depletion" numFmtId="0">
      <sharedItems containsSemiMixedTypes="0" containsString="0" containsNumber="1" minValue="-8.6116045826043635E-4" maxValue="1.4026174580696576E-3"/>
    </cacheField>
    <cacheField name="EF 3.0 Particulate matter" numFmtId="0">
      <sharedItems containsSemiMixedTypes="0" containsString="0" containsNumber="1" minValue="-6.7763031464392789E-2" maxValue="11.095596039085608"/>
    </cacheField>
    <cacheField name="EF 3.0 Photochemical ozone formation, human health" numFmtId="0">
      <sharedItems containsSemiMixedTypes="0" containsString="0" containsNumber="1" minValue="-3.7151702358328674E-2" maxValue="41.284448502109939"/>
    </cacheField>
    <cacheField name="EF 3.0 Resource use, fossils" numFmtId="0">
      <sharedItems containsSemiMixedTypes="0" containsString="0" containsNumber="1" minValue="-0.13878059982832813" maxValue="127.68187278403786"/>
    </cacheField>
    <cacheField name="EF 3.0 Resource use, mineral and metals" numFmtId="0">
      <sharedItems containsSemiMixedTypes="0" containsString="0" containsNumber="1" minValue="-4.3867116375457664" maxValue="7.4342276214474463"/>
    </cacheField>
    <cacheField name="EF 3.0 Water use" numFmtId="0">
      <sharedItems containsSemiMixedTypes="0" containsString="0" containsNumber="1" minValue="-1.5940418742451448" maxValue="3.68160061162554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IZILLON Xavier" refreshedDate="44614.789674074076" createdVersion="6" refreshedVersion="6" minRefreshableVersion="3" recordCount="259" xr:uid="{00000000-000A-0000-FFFF-FFFF15000000}">
  <cacheSource type="worksheet">
    <worksheetSource ref="A1:G260" sheet="Scoring"/>
  </cacheSource>
  <cacheFields count="7">
    <cacheField name="Type" numFmtId="0">
      <sharedItems count="7">
        <s v="Sous-ensemble"/>
        <s v="IFE"/>
        <s v="Site assemblage"/>
        <s v="Livraison"/>
        <s v="Utilisation"/>
        <s v="Utilisation 7 ans"/>
        <s v="Fin de vie"/>
      </sharedItems>
    </cacheField>
    <cacheField name="Système" numFmtId="0">
      <sharedItems count="46">
        <s v="Brackets set"/>
        <s v="Ceinture de sécurité"/>
        <s v="Commande actionnement ECU"/>
        <s v="Ecran"/>
        <s v="lightning"/>
        <s v="Padding"/>
        <s v="Powerbox"/>
        <s v="Remote extender unit"/>
        <s v="SFCU"/>
        <s v="Support clamps"/>
        <s v="System IFE"/>
        <s v="Site assemblage"/>
        <s v="Accoudoir allée"/>
        <s v="Bumper version porte"/>
        <s v="Capot NFC"/>
        <s v="Coussin ottoman"/>
        <s v="Coussin têtière"/>
        <s v="Ens. Coussin assise"/>
        <s v="Ens.coussin dossier version têtière"/>
        <s v="Ens. Coussin dossier"/>
        <s v="Ens. Stowage latéral"/>
        <s v="Ens. Coque"/>
        <s v="Ens. Equipements latéraux"/>
        <s v="Ens. Palette optimisée"/>
        <s v="Ensemble porte"/>
        <s v="Ens. Structure fauteuil"/>
        <s v="Ens. Structure porte"/>
        <s v="Ens. Structure fixe"/>
        <s v="Ens. Tablette cocktail"/>
        <s v="Ens. Tablette repas"/>
        <s v="Ens. Têtière"/>
        <s v="Habillage sous fauteuil"/>
        <s v="Manchette acc. Mobile"/>
        <s v="Manchette équipée"/>
        <s v="Renfort tubulaire"/>
        <s v="Stowage assemblé avec porte"/>
        <s v="Structure ottoman horizontale"/>
        <s v="Support écran"/>
        <s v="Support équipé"/>
        <s v="Support manchette équipée"/>
        <s v="Support NFC"/>
        <s v="Livraison à Hambourg"/>
        <s v="Consommation passive"/>
        <s v="Entretien"/>
        <s v="Enfouissement"/>
        <s v="Recyclage"/>
      </sharedItems>
    </cacheField>
    <cacheField name="Composant" numFmtId="0">
      <sharedItems containsMixedTypes="1" containsNumber="1" containsInteger="1" minValue="4140" maxValue="4140" count="69">
        <s v="cables"/>
        <s v="packaging"/>
        <s v="Transport"/>
        <s v="acier"/>
        <s v="nylon"/>
        <s v="Commande actionnement ECU"/>
        <s v="Ecran"/>
        <s v="lightning"/>
        <s v="Padding"/>
        <s v="powerbox"/>
        <s v="télécommande"/>
        <s v="Clavier"/>
        <s v="System IFE boitier"/>
        <s v="élec atelier"/>
        <s v="élec bureaux"/>
        <s v="gaz atelier"/>
        <s v="gaz bureaux"/>
        <s v="papierassemblage"/>
        <s v="30NCD6"/>
        <s v="A2017"/>
        <s v="A2024"/>
        <s v="A5086"/>
        <s v="Alu"/>
        <s v="Ertalon"/>
        <s v="inox"/>
        <s v="alliage Cu"/>
        <s v="Copolymere Lexan FST"/>
        <s v="kydex"/>
        <s v="FRMC55"/>
        <s v="tissu"/>
        <s v="velours"/>
        <s v="velcro"/>
        <s v="15CDV6"/>
        <s v="cuir"/>
        <s v="NIDA"/>
        <s v="Résine BR623"/>
        <s v="35NC6"/>
        <s v="Polychloroprene"/>
        <s v="AER film"/>
        <n v="4140"/>
        <s v="Z10CNT18"/>
        <s v="caoutchouc"/>
        <s v="A2075"/>
        <s v="Silicone50 shore"/>
        <s v="A6060"/>
        <s v="Silicone"/>
        <s v="EU-28: Kerosene / Jet A1 at refinery Sphera"/>
        <s v="GLO: Cargo plane, 65 t payload Sphera &lt;u-so&gt;"/>
        <s v="Nettoyage et désinfection"/>
        <s v="Landfill Acier (11,54 kg)"/>
        <s v="Landfill Aluminium (69,53 kg)"/>
        <s v="Landfill DEEE (9,55 kg)"/>
        <s v="landfill plastique (21,36 kg)"/>
        <s v="landfill textile (2,34 kg)"/>
        <s v="Credit Recyclage Acier"/>
        <s v="Credit Recyclage Aluminium"/>
        <s v="Credit Recyclage DEEE"/>
        <s v="Credit Recyclage plastiques"/>
        <s v="incinération Covers"/>
        <s v="Incineration plastiques"/>
        <s v="Mise en décharche Acier"/>
        <s v="Mise en décharge Aluminium"/>
        <s v="Mise en décharge DEEE"/>
        <s v="Mise en décharge Plastiques"/>
        <s v="Mise en décharge Textile"/>
        <s v="Process recyclage Acier"/>
        <s v="Process recyclage Alu"/>
        <s v="Process recyclage DEEE"/>
        <s v="Process recyclage Plastiques"/>
      </sharedItems>
    </cacheField>
    <cacheField name="Score" numFmtId="0">
      <sharedItems containsSemiMixedTypes="0" containsString="0" containsNumber="1" minValue="-7.343169584099277" maxValue="298.52053968338907"/>
    </cacheField>
    <cacheField name="Scenario tout FR" numFmtId="0">
      <sharedItems containsSemiMixedTypes="0" containsString="0" containsNumber="1" minValue="-7.343169584099277" maxValue="298.52053968338907"/>
    </cacheField>
    <cacheField name="Scenario sans IFE Powerbox et Ecran" numFmtId="0">
      <sharedItems containsSemiMixedTypes="0" containsString="0" containsNumber="1" minValue="-7.343169584099277" maxValue="285.90290467972085"/>
    </cacheField>
    <cacheField name="Scenario 1kg de moins" numFmtId="0">
      <sharedItems containsSemiMixedTypes="0" containsString="0" containsNumber="1" minValue="-7.343169584099277" maxValue="295.805902204114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x v="0"/>
    <x v="0"/>
    <x v="0"/>
    <n v="9.3899999999999995E-4"/>
    <n v="2.3600000000000001E-3"/>
    <n v="8.3000000000000002E-6"/>
    <n v="2.3500000000000001E-3"/>
    <n v="1.3200000000000001E-6"/>
    <n v="4.1000000000000003E-3"/>
    <n v="1.42E-3"/>
    <n v="2.65E-3"/>
    <n v="1.9000000000000001E-5"/>
    <n v="1.9400000000000001E-5"/>
    <n v="4.0299999999999998E-4"/>
    <n v="4.8899999999999996E-4"/>
    <n v="2.7799999999999998E-4"/>
    <n v="1.7199999999999999E-14"/>
    <n v="2.02E-4"/>
    <n v="7.6329005154379697E-5"/>
    <n v="1.2638782804543099E-3"/>
    <n v="1.5300527517904701E-4"/>
    <n v="1.10889277819754E-3"/>
    <n v="7.0334151684230297E-6"/>
    <n v="1.3226414116439099E-4"/>
    <n v="3.006552715954E-5"/>
    <n v="2.0331601112320702E-6"/>
    <n v="1.03173644636482E-3"/>
    <n v="6.3255794949373999E-4"/>
    <n v="3.7210589344579799E-3"/>
    <n v="2.9850512866280401E-2"/>
    <n v="1.7980350827603999E-4"/>
  </r>
  <r>
    <x v="0"/>
    <x v="0"/>
    <x v="1"/>
    <n v="1.8499999999999999E-5"/>
    <n v="3.2499999999999997E-5"/>
    <n v="1.1200000000000001E-6"/>
    <n v="3.1399999999999998E-5"/>
    <n v="-1.32E-9"/>
    <n v="-5.1399999999999999E-6"/>
    <n v="-4.08E-7"/>
    <n v="-4.8400000000000002E-6"/>
    <n v="1.06E-7"/>
    <n v="2.0699999999999999E-7"/>
    <n v="6.6800000000000004E-6"/>
    <n v="8.1300000000000001E-6"/>
    <n v="5.4300000000000003E-7"/>
    <n v="-5.3499999999999998E-15"/>
    <n v="-1.5300000000000001E-8"/>
    <n v="5.58063971930616E-7"/>
    <n v="1.0118741617724599E-6"/>
    <n v="1.0605227531524499E-6"/>
    <n v="-1.2286316071187601E-7"/>
    <n v="3.28174489391575E-7"/>
    <n v="-1.0091248292365399E-5"/>
    <n v="-5.5758236701188999E-8"/>
    <n v="-5.4885375716256399E-15"/>
    <n v="1.26383246189776E-5"/>
    <n v="1.11807557380809E-5"/>
    <n v="5.8316379365234399E-5"/>
    <n v="2.09641747473179E-7"/>
    <n v="9.84916411338608E-7"/>
  </r>
  <r>
    <x v="0"/>
    <x v="0"/>
    <x v="2"/>
    <n v="5.6999999999999996E-6"/>
    <n v="6.5400000000000001E-6"/>
    <n v="1.96E-8"/>
    <n v="6.4699999999999999E-6"/>
    <n v="5.3400000000000002E-8"/>
    <n v="1.22E-5"/>
    <n v="1.1800000000000001E-5"/>
    <n v="2.4400000000000001E-7"/>
    <n v="1.4600000000000001E-7"/>
    <n v="9.7699999999999995E-8"/>
    <n v="7.9100000000000005E-6"/>
    <n v="9.6800000000000005E-6"/>
    <n v="6.2500000000000005E-7"/>
    <n v="1.62E-17"/>
    <n v="6.0900000000000001E-7"/>
    <n v="1.6498459108087499E-8"/>
    <n v="2.5531959082239601E-6"/>
    <n v="5.7434190716453999E-7"/>
    <n v="1.9747277647803599E-6"/>
    <n v="1.7944517670603301E-8"/>
    <n v="4.4411567486278397E-8"/>
    <n v="2.9524679735782301E-7"/>
    <n v="1.9449347177992599E-16"/>
    <n v="1.9732692393558302E-6"/>
    <n v="7.3497015222571299E-6"/>
    <n v="1.08293141908409E-5"/>
    <n v="7.3922310219904898E-8"/>
    <n v="4.2763119647730699E-8"/>
  </r>
  <r>
    <x v="0"/>
    <x v="1"/>
    <x v="3"/>
    <n v="1.02E-4"/>
    <n v="2.6699999999999998E-4"/>
    <n v="1.04E-7"/>
    <n v="2.6699999999999998E-4"/>
    <n v="7.5199999999999998E-8"/>
    <n v="8.3200000000000003E-5"/>
    <n v="6.3800000000000006E-5"/>
    <n v="1.9000000000000001E-5"/>
    <n v="4.4799999999999999E-7"/>
    <n v="5.4700000000000001E-7"/>
    <n v="6.6500000000000004E-5"/>
    <n v="7.75E-5"/>
    <n v="1.0900000000000001E-5"/>
    <n v="3.1499999999999999E-15"/>
    <n v="3.9400000000000004E-6"/>
    <n v="7.0136204479553001E-6"/>
    <n v="9.9511021024280302E-5"/>
    <n v="8.0593174518275501E-5"/>
    <n v="1.8860249126725701E-5"/>
    <n v="1.0386803331327699E-6"/>
    <n v="8.0112033327005507E-6"/>
    <n v="1.4118537306960401E-6"/>
    <n v="3.1395676220163E-14"/>
    <n v="1.16413389821471E-4"/>
    <n v="1.07089231118536E-4"/>
    <n v="3.6149094731997898E-4"/>
    <n v="1.1410518224539499E-5"/>
    <n v="6.3450426927855004E-5"/>
  </r>
  <r>
    <x v="0"/>
    <x v="1"/>
    <x v="4"/>
    <n v="5.3699999999999997E-5"/>
    <n v="2.0799999999999999E-4"/>
    <n v="5.4000000000000002E-7"/>
    <n v="2.0799999999999999E-4"/>
    <n v="3.9799999999999999E-8"/>
    <n v="3.4499999999999998E-4"/>
    <n v="3.1599999999999998E-4"/>
    <n v="2.5700000000000001E-5"/>
    <n v="3.58E-6"/>
    <n v="1.28E-6"/>
    <n v="5.5899999999999997E-5"/>
    <n v="6.2899999999999997E-5"/>
    <n v="2.23E-5"/>
    <n v="7.5300000000000005E-15"/>
    <n v="1.6500000000000001E-5"/>
    <n v="5.8119215680283397E-6"/>
    <n v="6.9038499597826798E-5"/>
    <n v="1.32933730121359E-5"/>
    <n v="5.5395530903317701E-5"/>
    <n v="9.7467615215143092E-7"/>
    <n v="1.87094820399915E-5"/>
    <n v="1.3260649677586601E-6"/>
    <n v="8.6314389385749902E-14"/>
    <n v="2.8782934497049401E-5"/>
    <n v="9.1435906915081493E-5"/>
    <n v="4.66466698746371E-4"/>
    <n v="1.9560313796144301E-6"/>
    <n v="1.8425984900801398E-5"/>
  </r>
  <r>
    <x v="0"/>
    <x v="1"/>
    <x v="1"/>
    <n v="1.7399999999999999E-5"/>
    <n v="3.0199999999999999E-5"/>
    <n v="1.1400000000000001E-6"/>
    <n v="2.8200000000000001E-5"/>
    <n v="-1.19E-9"/>
    <n v="-2.83E-6"/>
    <n v="-3.5400000000000002E-7"/>
    <n v="-4.4299999999999999E-6"/>
    <n v="9.8099999999999998E-8"/>
    <n v="2.03E-6"/>
    <n v="6.4899999999999997E-6"/>
    <n v="7.8099999999999998E-6"/>
    <n v="6.4700000000000001E-7"/>
    <n v="-4.9099999999999997E-15"/>
    <n v="-1.16E-8"/>
    <n v="4.9903577268908996E-7"/>
    <n v="1.27241471678102E-6"/>
    <n v="9.5768129916309893E-7"/>
    <n v="-9.5977703770522998E-8"/>
    <n v="3.0229572219656802E-7"/>
    <n v="-8.6741461505595402E-6"/>
    <n v="8.5758957718685604E-7"/>
    <n v="1.28626338426424E-8"/>
    <n v="1.27581056341814E-5"/>
    <n v="1.06832816268494E-5"/>
    <n v="5.3954580775326599E-5"/>
    <n v="2.9665022183254001E-7"/>
    <n v="1.18449318785486E-4"/>
  </r>
  <r>
    <x v="0"/>
    <x v="1"/>
    <x v="2"/>
    <n v="3.8699999999999997E-4"/>
    <n v="6.6399999999999999E-4"/>
    <n v="8.1500000000000003E-7"/>
    <n v="6.6299999999999996E-4"/>
    <n v="1.3799999999999999E-8"/>
    <n v="1.24E-3"/>
    <n v="1.2099999999999999E-3"/>
    <n v="1.9199999999999999E-5"/>
    <n v="9.8200000000000008E-6"/>
    <n v="5.4099999999999999E-7"/>
    <n v="4.9700000000000005E-4"/>
    <n v="6.02E-4"/>
    <n v="5.8E-5"/>
    <n v="6.5399999999999998E-16"/>
    <n v="5.6799999999999998E-5"/>
    <n v="1.1609059438176901E-6"/>
    <n v="1.9343786951919799E-4"/>
    <n v="5.5397283631046199E-5"/>
    <n v="1.3742390678673399E-4"/>
    <n v="2.0897440900883901E-6"/>
    <n v="1.9118921929962699E-6"/>
    <n v="1.8006831262923001E-7"/>
    <n v="7.9186774434187393E-15"/>
    <n v="1.1516564257485099E-4"/>
    <n v="6.81512958359641E-4"/>
    <n v="1.11807277474144E-3"/>
    <n v="2.7893078557520199E-6"/>
    <n v="6.1134889803356305E-7"/>
  </r>
  <r>
    <x v="0"/>
    <x v="2"/>
    <x v="5"/>
    <n v="3.8300000000000001E-2"/>
    <n v="3.5900000000000001E-2"/>
    <n v="0"/>
    <n v="0"/>
    <n v="0"/>
    <n v="0.96199999999999997"/>
    <n v="0"/>
    <n v="0"/>
    <n v="0"/>
    <n v="0.376"/>
    <n v="2.53E-2"/>
    <n v="3.0499999999999999E-2"/>
    <n v="2.5600000000000001E-2"/>
    <n v="0"/>
    <n v="0"/>
    <n v="0"/>
    <n v="6.5536668933669606E-2"/>
    <n v="0"/>
    <n v="0"/>
    <n v="0"/>
    <n v="9.2205547132198501E-3"/>
    <n v="2.1348042759044301E-3"/>
    <n v="6.9463925127403005E-4"/>
    <n v="2.5006427033180699E-2"/>
    <n v="3.2707987656354701E-2"/>
    <n v="5.78648393111715E-2"/>
    <n v="3.0770809691421599"/>
    <n v="1.1469842413861E-2"/>
  </r>
  <r>
    <x v="0"/>
    <x v="2"/>
    <x v="1"/>
    <n v="8.7499999999999999E-5"/>
    <n v="1.15E-4"/>
    <n v="1.34E-5"/>
    <n v="2.6800000000000001E-5"/>
    <n v="-1.9099999999999998E-9"/>
    <n v="1.56E-4"/>
    <n v="7.7400000000000002E-7"/>
    <n v="-1.2099999999999999E-5"/>
    <n v="3.0800000000000001E-7"/>
    <n v="1.66E-4"/>
    <n v="4.9799999999999998E-5"/>
    <n v="5.2500000000000002E-5"/>
    <n v="1.4800000000000001E-5"/>
    <n v="-1.3699999999999999E-14"/>
    <n v="1.7499999999999999E-7"/>
    <n v="2.6810178756876102E-7"/>
    <n v="3.3567391568495299E-5"/>
    <n v="1.34949667248316E-6"/>
    <n v="1.1910595176029599E-6"/>
    <n v="9.52655846365087E-7"/>
    <n v="2.6626709838877201E-5"/>
    <n v="8.1643720882912206E-5"/>
    <n v="1.1576374849208201E-6"/>
    <n v="1.3716353755811701E-4"/>
    <n v="6.7034887369972501E-5"/>
    <n v="1.90601920560635E-4"/>
    <n v="9.92718016707429E-6"/>
    <n v="1.05816453777867E-2"/>
  </r>
  <r>
    <x v="0"/>
    <x v="2"/>
    <x v="2"/>
    <n v="5.8300000000000001E-6"/>
    <n v="6.7000000000000002E-6"/>
    <n v="2E-8"/>
    <n v="6.6200000000000001E-6"/>
    <n v="5.47E-8"/>
    <n v="1.2500000000000001E-5"/>
    <n v="1.2099999999999999E-5"/>
    <n v="2.4999999999999999E-7"/>
    <n v="1.4999999999999999E-7"/>
    <n v="9.9999999999999995E-8"/>
    <n v="8.1100000000000003E-6"/>
    <n v="9.9199999999999999E-6"/>
    <n v="6.4099999999999998E-7"/>
    <n v="1.6600000000000001E-17"/>
    <n v="6.2399999999999998E-7"/>
    <n v="1.6901830525675099E-8"/>
    <n v="2.6156190864209E-6"/>
    <n v="5.8838401302152499E-7"/>
    <n v="2.0230079546217499E-6"/>
    <n v="1.8383243825773001E-8"/>
    <n v="4.5497387490247299E-8"/>
    <n v="3.0246529687999901E-7"/>
    <n v="1.9924864963680401E-16"/>
    <n v="2.0215137696568799E-6"/>
    <n v="7.52939463798724E-6"/>
    <n v="1.1094080481319399E-5"/>
    <n v="7.5729639429826794E-8"/>
    <n v="4.3808636691457898E-8"/>
  </r>
  <r>
    <x v="1"/>
    <x v="3"/>
    <x v="6"/>
    <n v="2.3900000000000001E-2"/>
    <n v="2.1499999999999998E-2"/>
    <n v="0"/>
    <n v="0"/>
    <n v="0"/>
    <n v="0.13500000000000001"/>
    <n v="0"/>
    <n v="0"/>
    <n v="0"/>
    <n v="0.13700000000000001"/>
    <n v="3.7499999999999999E-2"/>
    <n v="1.5299999999999999E-2"/>
    <n v="7.9500000000000005E-3"/>
    <n v="0"/>
    <n v="0"/>
    <n v="0"/>
    <n v="0.119710414808606"/>
    <n v="0"/>
    <n v="0"/>
    <n v="0"/>
    <n v="1.0820115374394699E-2"/>
    <n v="2.9010161230867302E-4"/>
    <n v="1.9877072537563201E-4"/>
    <n v="2.0185192604007501E-2"/>
    <n v="1.5753711435849901E-2"/>
    <n v="3.35564511891129E-2"/>
    <n v="0.42302355128642699"/>
    <n v="2.7038782400305101"/>
  </r>
  <r>
    <x v="1"/>
    <x v="3"/>
    <x v="1"/>
    <n v="1.3100000000000001E-4"/>
    <n v="1.7200000000000001E-4"/>
    <n v="2.0100000000000001E-5"/>
    <n v="4.0200000000000001E-5"/>
    <n v="-2.86E-9"/>
    <n v="2.34E-4"/>
    <n v="1.1599999999999999E-6"/>
    <n v="-1.8099999999999999E-5"/>
    <n v="4.6199999999999998E-7"/>
    <n v="2.4899999999999998E-4"/>
    <n v="7.4599999999999997E-5"/>
    <n v="7.8700000000000002E-5"/>
    <n v="2.2200000000000001E-5"/>
    <n v="-2.0599999999999999E-14"/>
    <n v="2.6199999999999999E-7"/>
    <n v="4.0215268135314198E-7"/>
    <n v="5.0351087352742999E-5"/>
    <n v="2.0242450087247398E-6"/>
    <n v="1.7865892764044401E-6"/>
    <n v="1.42898376954763E-6"/>
    <n v="3.9940064758315803E-5"/>
    <n v="1.22465581324368E-4"/>
    <n v="1.73645622738123E-6"/>
    <n v="2.0574530633717499E-4"/>
    <n v="1.00552331054959E-4"/>
    <n v="2.8590288084095301E-4"/>
    <n v="1.48907702506114E-5"/>
    <n v="1.5872468066679999E-2"/>
  </r>
  <r>
    <x v="1"/>
    <x v="3"/>
    <x v="2"/>
    <n v="1.56E-3"/>
    <n v="2.6700000000000001E-3"/>
    <n v="3.2799999999999999E-6"/>
    <n v="2.6700000000000001E-3"/>
    <n v="5.5700000000000002E-8"/>
    <n v="4.9899999999999996E-3"/>
    <n v="4.8700000000000002E-3"/>
    <n v="7.7399999999999998E-5"/>
    <n v="3.9499999999999998E-5"/>
    <n v="2.1799999999999999E-6"/>
    <n v="2E-3"/>
    <n v="2.4199999999999998E-3"/>
    <n v="2.33E-4"/>
    <n v="2.6300000000000001E-15"/>
    <n v="2.2900000000000001E-4"/>
    <n v="4.6736947732773798E-6"/>
    <n v="7.78762107766211E-4"/>
    <n v="2.23024092812161E-4"/>
    <n v="5.5325532468234199E-4"/>
    <n v="8.4131070939431705E-6"/>
    <n v="7.6970926000183897E-6"/>
    <n v="7.2493756798291402E-7"/>
    <n v="3.18798276257148E-14"/>
    <n v="4.63645711032503E-4"/>
    <n v="2.74370509374054E-3"/>
    <n v="4.5012525874994101E-3"/>
    <n v="1.12294829877596E-5"/>
    <n v="2.46123138967808E-6"/>
  </r>
  <r>
    <x v="0"/>
    <x v="4"/>
    <x v="7"/>
    <n v="2.2599999999999999E-2"/>
    <n v="2.6599999999999999E-2"/>
    <n v="0"/>
    <n v="0"/>
    <n v="0"/>
    <n v="0.13700000000000001"/>
    <n v="0"/>
    <n v="0"/>
    <n v="0"/>
    <n v="7.3800000000000004E-2"/>
    <n v="1.32E-2"/>
    <n v="1.43E-2"/>
    <n v="5.6800000000000002E-3"/>
    <n v="0"/>
    <n v="0"/>
    <n v="0"/>
    <n v="1.2581075785171E-2"/>
    <n v="0"/>
    <n v="0"/>
    <n v="0"/>
    <n v="6.2511745104175198E-3"/>
    <n v="1.38530361098631E-3"/>
    <n v="4.1707619919046302E-6"/>
    <n v="1.81361049873584E-2"/>
    <n v="1.6072072066472799E-2"/>
    <n v="4.1938992384357499E-2"/>
    <n v="9.9349204250042497E-2"/>
    <n v="5.7780848058592198E-3"/>
  </r>
  <r>
    <x v="0"/>
    <x v="4"/>
    <x v="1"/>
    <n v="8.7499999999999999E-5"/>
    <n v="1.15E-4"/>
    <n v="1.34E-5"/>
    <n v="2.6800000000000001E-5"/>
    <n v="-1.9099999999999998E-9"/>
    <n v="1.56E-4"/>
    <n v="7.7400000000000002E-7"/>
    <n v="-1.2099999999999999E-5"/>
    <n v="3.0800000000000001E-7"/>
    <n v="1.66E-4"/>
    <n v="4.9799999999999998E-5"/>
    <n v="5.2500000000000002E-5"/>
    <n v="1.4800000000000001E-5"/>
    <n v="-1.3699999999999999E-14"/>
    <n v="1.7499999999999999E-7"/>
    <n v="2.6810178756876102E-7"/>
    <n v="3.3567391568495299E-5"/>
    <n v="1.34949667248316E-6"/>
    <n v="1.1910595176029599E-6"/>
    <n v="9.52655846365087E-7"/>
    <n v="2.6626709838877201E-5"/>
    <n v="8.1643720882912206E-5"/>
    <n v="1.1576374849208201E-6"/>
    <n v="1.3716353755811701E-4"/>
    <n v="6.7034887369972501E-5"/>
    <n v="1.90601920560635E-4"/>
    <n v="9.92718016707429E-6"/>
    <n v="1.05816453777867E-2"/>
  </r>
  <r>
    <x v="0"/>
    <x v="4"/>
    <x v="2"/>
    <n v="6.0000000000000002E-6"/>
    <n v="6.8900000000000001E-6"/>
    <n v="2.0599999999999999E-8"/>
    <n v="6.81E-6"/>
    <n v="5.62E-8"/>
    <n v="1.29E-5"/>
    <n v="1.2500000000000001E-5"/>
    <n v="2.5699999999999999E-7"/>
    <n v="1.54E-7"/>
    <n v="1.03E-7"/>
    <n v="8.3399999999999998E-6"/>
    <n v="1.0200000000000001E-5"/>
    <n v="6.5899999999999996E-7"/>
    <n v="1.71E-17"/>
    <n v="6.4199999999999995E-7"/>
    <n v="1.73847399692658E-8"/>
    <n v="2.6903510603186399E-6"/>
    <n v="6.0519498482213998E-7"/>
    <n v="2.0808081818966602E-6"/>
    <n v="1.8908479363652301E-8"/>
    <n v="4.6797312847111502E-8"/>
    <n v="3.1110716250514399E-7"/>
    <n v="2.0494146819785499E-16"/>
    <n v="2.0792713059327901E-6"/>
    <n v="7.7445201990725901E-6"/>
    <n v="1.1411054209357101E-5"/>
    <n v="7.7893343413536197E-8"/>
    <n v="4.5060312025502297E-8"/>
  </r>
  <r>
    <x v="0"/>
    <x v="5"/>
    <x v="1"/>
    <n v="7.6600000000000005E-5"/>
    <n v="9.1199999999999994E-5"/>
    <n v="1.3699999999999999E-5"/>
    <n v="-5.1699999999999996E-6"/>
    <n v="-6.5600000000000001E-10"/>
    <n v="1.7899999999999999E-4"/>
    <n v="1.31E-6"/>
    <n v="-8.0399999999999993E-6"/>
    <n v="2.2399999999999999E-7"/>
    <n v="1.84E-4"/>
    <n v="4.7899999999999999E-5"/>
    <n v="4.9299999999999999E-5"/>
    <n v="1.59E-5"/>
    <n v="-9.32E-15"/>
    <n v="2.11E-7"/>
    <n v="-3.2218020484650502E-7"/>
    <n v="3.6172797118581E-5"/>
    <n v="3.2108213258968202E-7"/>
    <n v="1.45991408701649E-6"/>
    <n v="6.93868174415013E-7"/>
    <n v="4.07977312569363E-5"/>
    <n v="9.0777199021792605E-5"/>
    <n v="1.2862638782326199E-6"/>
    <n v="1.3836134771015501E-4"/>
    <n v="6.2060146257657405E-5"/>
    <n v="1.46983934661557E-4"/>
    <n v="1.0797264910667901E-5"/>
    <n v="1.17562894015281E-2"/>
  </r>
  <r>
    <x v="0"/>
    <x v="5"/>
    <x v="8"/>
    <n v="5.1400000000000003E-4"/>
    <n v="4.9100000000000001E-4"/>
    <n v="0"/>
    <n v="4.9100000000000001E-4"/>
    <n v="0"/>
    <n v="4.4200000000000001E-4"/>
    <n v="4.1800000000000002E-4"/>
    <n v="1.6200000000000001E-5"/>
    <n v="7.7999999999999999E-6"/>
    <n v="2.7399999999999999E-5"/>
    <n v="1.8900000000000001E-4"/>
    <n v="2.2499999999999999E-4"/>
    <n v="7.1900000000000006E-2"/>
    <n v="0"/>
    <n v="2.7500000000000001E-5"/>
    <n v="7.18924014753132E-2"/>
    <n v="3.5106170665120701E-4"/>
    <n v="1.2704331650727099E-4"/>
    <n v="2.2326916431040101E-4"/>
    <n v="7.5233448663973096E-6"/>
    <n v="0"/>
    <n v="0"/>
    <n v="0"/>
    <n v="4.5726354748114897E-4"/>
    <n v="2.78458716433917E-4"/>
    <n v="1.6015008928222201E-3"/>
    <n v="6.6086415416599898E-6"/>
    <n v="4.45171575565791E-4"/>
  </r>
  <r>
    <x v="0"/>
    <x v="5"/>
    <x v="2"/>
    <n v="2.8500000000000002E-5"/>
    <n v="3.2799999999999998E-5"/>
    <n v="9.8000000000000004E-8"/>
    <n v="3.2400000000000001E-5"/>
    <n v="2.67E-7"/>
    <n v="6.1299999999999999E-5"/>
    <n v="5.94E-5"/>
    <n v="1.22E-6"/>
    <n v="7.3099999999999997E-7"/>
    <n v="4.8999999999999997E-7"/>
    <n v="3.96E-5"/>
    <n v="4.85E-5"/>
    <n v="3.1300000000000001E-6"/>
    <n v="8.1299999999999997E-17"/>
    <n v="3.05E-6"/>
    <n v="8.2649207292416695E-8"/>
    <n v="1.27902621993051E-5"/>
    <n v="2.8771719244189802E-6"/>
    <n v="9.8924198501311895E-6"/>
    <n v="8.9893253121627196E-8"/>
    <n v="2.2248022214118499E-7"/>
    <n v="1.4790419879446301E-6"/>
    <n v="9.74317126275208E-16"/>
    <n v="9.8851133514234092E-6"/>
    <n v="3.6818408353823201E-5"/>
    <n v="5.42495652187768E-5"/>
    <n v="3.7031460337434299E-7"/>
    <n v="2.14222305069884E-7"/>
  </r>
  <r>
    <x v="1"/>
    <x v="6"/>
    <x v="1"/>
    <n v="8.7499999999999999E-5"/>
    <n v="1.15E-4"/>
    <n v="1.34E-5"/>
    <n v="2.6800000000000001E-5"/>
    <n v="-1.9099999999999998E-9"/>
    <n v="1.56E-4"/>
    <n v="7.7400000000000002E-7"/>
    <n v="-1.2099999999999999E-5"/>
    <n v="3.0800000000000001E-7"/>
    <n v="1.66E-4"/>
    <n v="4.9799999999999998E-5"/>
    <n v="5.2500000000000002E-5"/>
    <n v="1.4800000000000001E-5"/>
    <n v="-1.3699999999999999E-14"/>
    <n v="1.7499999999999999E-7"/>
    <n v="2.6810178756876102E-7"/>
    <n v="3.3567391568495299E-5"/>
    <n v="1.34949667248316E-6"/>
    <n v="1.1910595176029599E-6"/>
    <n v="9.52655846365087E-7"/>
    <n v="2.6626709838877201E-5"/>
    <n v="8.1643720882912206E-5"/>
    <n v="1.1576374849208201E-6"/>
    <n v="1.3716353755811701E-4"/>
    <n v="6.7034887369972501E-5"/>
    <n v="1.90601920560635E-4"/>
    <n v="9.92718016707429E-6"/>
    <n v="1.05816453777867E-2"/>
  </r>
  <r>
    <x v="1"/>
    <x v="6"/>
    <x v="9"/>
    <n v="3.0500000000000002E-3"/>
    <n v="2.7000000000000001E-3"/>
    <n v="0"/>
    <n v="0"/>
    <n v="0"/>
    <n v="1.92"/>
    <n v="0"/>
    <n v="0"/>
    <n v="0"/>
    <n v="1.7299999999999999E-2"/>
    <n v="1.1999999999999999E-3"/>
    <n v="1.32E-3"/>
    <n v="1.24E-3"/>
    <n v="0"/>
    <n v="0"/>
    <n v="0"/>
    <n v="3.47053348970454E-3"/>
    <n v="0"/>
    <n v="0"/>
    <n v="0"/>
    <n v="2.4106939362307398E-3"/>
    <n v="4.2150568957691197E-5"/>
    <n v="3.1647410873130302E-5"/>
    <n v="1.60492772078026E-3"/>
    <n v="2.6999860806286901E-3"/>
    <n v="5.4880221179947801E-3"/>
    <n v="8.95120222412331E-2"/>
    <n v="0.588153751768271"/>
  </r>
  <r>
    <x v="1"/>
    <x v="6"/>
    <x v="2"/>
    <n v="1E-3"/>
    <n v="1.72E-3"/>
    <n v="2.1100000000000001E-6"/>
    <n v="1.72E-3"/>
    <n v="3.5899999999999997E-8"/>
    <n v="3.2100000000000002E-3"/>
    <n v="3.14E-3"/>
    <n v="4.99E-5"/>
    <n v="2.55E-5"/>
    <n v="1.3999999999999999E-6"/>
    <n v="1.2899999999999999E-3"/>
    <n v="1.56E-3"/>
    <n v="1.4999999999999999E-4"/>
    <n v="1.7E-15"/>
    <n v="1.47E-4"/>
    <n v="3.0129543406893901E-6"/>
    <n v="5.0203849133974396E-4"/>
    <n v="1.4377520165817501E-4"/>
    <n v="3.5666279311651701E-4"/>
    <n v="5.4236121028514503E-6"/>
    <n v="4.9620246261077801E-6"/>
    <n v="4.6733984527005599E-7"/>
    <n v="2.0551719717454101E-14"/>
    <n v="2.9889486270790502E-4"/>
    <n v="1.76876295367492E-3"/>
    <n v="2.9017873823487701E-3"/>
    <n v="7.2392231741616898E-6"/>
    <n v="1.58666283501662E-6"/>
  </r>
  <r>
    <x v="0"/>
    <x v="7"/>
    <x v="1"/>
    <n v="8.7499999999999999E-5"/>
    <n v="1.15E-4"/>
    <n v="1.34E-5"/>
    <n v="2.6800000000000001E-5"/>
    <n v="-1.9099999999999998E-9"/>
    <n v="1.56E-4"/>
    <n v="7.7400000000000002E-7"/>
    <n v="-1.2099999999999999E-5"/>
    <n v="3.0800000000000001E-7"/>
    <n v="1.66E-4"/>
    <n v="4.9799999999999998E-5"/>
    <n v="5.2500000000000002E-5"/>
    <n v="1.4800000000000001E-5"/>
    <n v="-1.3699999999999999E-14"/>
    <n v="1.7499999999999999E-7"/>
    <n v="2.6810178756876102E-7"/>
    <n v="3.3567391568495299E-5"/>
    <n v="1.34949667248316E-6"/>
    <n v="1.1910595176029599E-6"/>
    <n v="9.52655846365087E-7"/>
    <n v="2.6626709838877201E-5"/>
    <n v="8.1643720882912206E-5"/>
    <n v="1.1576374849208201E-6"/>
    <n v="1.3716353755811701E-4"/>
    <n v="6.7034887369972501E-5"/>
    <n v="1.90601920560635E-4"/>
    <n v="9.92718016707429E-6"/>
    <n v="1.05816453777867E-2"/>
  </r>
  <r>
    <x v="0"/>
    <x v="7"/>
    <x v="10"/>
    <n v="5.6800000000000002E-3"/>
    <n v="5.4000000000000003E-3"/>
    <n v="0"/>
    <n v="0"/>
    <n v="0"/>
    <n v="0.14899999999999999"/>
    <n v="0"/>
    <n v="0"/>
    <n v="0"/>
    <n v="5.79E-2"/>
    <n v="3.8300000000000001E-3"/>
    <n v="4.6299999999999996E-3"/>
    <n v="3.8700000000000002E-3"/>
    <n v="0"/>
    <n v="0"/>
    <n v="0"/>
    <n v="1.00437946326746E-2"/>
    <n v="0"/>
    <n v="0"/>
    <n v="0"/>
    <n v="1.41280381048417E-3"/>
    <n v="3.2814889831824802E-4"/>
    <n v="1.07297588206641E-4"/>
    <n v="3.7382580321738699E-3"/>
    <n v="4.9490019941003799E-3"/>
    <n v="8.7985054495836098E-3"/>
    <n v="0.47861098111254602"/>
    <n v="1.7687757903191699E-3"/>
  </r>
  <r>
    <x v="0"/>
    <x v="7"/>
    <x v="2"/>
    <n v="3.5700000000000001E-6"/>
    <n v="4.0999999999999997E-6"/>
    <n v="1.22E-8"/>
    <n v="4.0500000000000002E-6"/>
    <n v="3.3400000000000001E-8"/>
    <n v="7.6699999999999994E-6"/>
    <n v="7.4200000000000001E-6"/>
    <n v="1.5300000000000001E-7"/>
    <n v="9.1399999999999998E-8"/>
    <n v="6.1200000000000005E-8"/>
    <n v="4.9599999999999999E-6"/>
    <n v="6.0599999999999996E-6"/>
    <n v="3.9200000000000002E-7"/>
    <n v="1.02E-17"/>
    <n v="3.8099999999999998E-7"/>
    <n v="1.03342620928413E-8"/>
    <n v="1.5992642414116299E-6"/>
    <n v="3.5975479653316098E-7"/>
    <n v="1.2369248636830201E-6"/>
    <n v="1.12400405106155E-8"/>
    <n v="2.7818402636894099E-8"/>
    <n v="1.84935924378056E-7"/>
    <n v="1.2182631720650299E-16"/>
    <n v="1.2360112763044901E-6"/>
    <n v="4.6036870072264801E-6"/>
    <n v="6.7832377800067203E-6"/>
    <n v="4.6303265251379801E-8"/>
    <n v="2.6785852148492699E-8"/>
  </r>
  <r>
    <x v="0"/>
    <x v="8"/>
    <x v="1"/>
    <n v="8.7499999999999999E-5"/>
    <n v="1.15E-4"/>
    <n v="1.34E-5"/>
    <n v="2.6800000000000001E-5"/>
    <n v="-1.9099999999999998E-9"/>
    <n v="1.56E-4"/>
    <n v="7.7400000000000002E-7"/>
    <n v="-1.2099999999999999E-5"/>
    <n v="3.0800000000000001E-7"/>
    <n v="1.66E-4"/>
    <n v="4.9799999999999998E-5"/>
    <n v="5.2500000000000002E-5"/>
    <n v="1.4800000000000001E-5"/>
    <n v="-1.3699999999999999E-14"/>
    <n v="1.7499999999999999E-7"/>
    <n v="2.6810178756876102E-7"/>
    <n v="3.3567391568495299E-5"/>
    <n v="1.34949667248316E-6"/>
    <n v="1.1910595176029599E-6"/>
    <n v="9.52655846365087E-7"/>
    <n v="2.6626709838877201E-5"/>
    <n v="8.1643720882912206E-5"/>
    <n v="1.1576374849208201E-6"/>
    <n v="1.3716353755811701E-4"/>
    <n v="6.7034887369972501E-5"/>
    <n v="1.90601920560635E-4"/>
    <n v="9.92718016707429E-6"/>
    <n v="1.05816453777867E-2"/>
  </r>
  <r>
    <x v="0"/>
    <x v="8"/>
    <x v="11"/>
    <n v="6.2799999999999998E-4"/>
    <n v="6.7699999999999998E-4"/>
    <n v="0"/>
    <n v="0"/>
    <n v="0"/>
    <n v="0.01"/>
    <n v="0"/>
    <n v="0"/>
    <n v="0"/>
    <n v="3.8E-3"/>
    <n v="3.57E-4"/>
    <n v="4.3100000000000001E-4"/>
    <n v="6.1399999999999996E-4"/>
    <n v="0"/>
    <n v="0"/>
    <n v="0"/>
    <n v="1.143984137412E-3"/>
    <n v="0"/>
    <n v="0"/>
    <n v="0"/>
    <n v="1.3491189735019901E-4"/>
    <n v="6.8468254251479797E-5"/>
    <n v="8.0653048776822498E-6"/>
    <n v="4.60991639017621E-4"/>
    <n v="4.9034490226354001E-4"/>
    <n v="1.07141583646945E-3"/>
    <n v="2.4012891876024699E-2"/>
    <n v="1.4250411214141199E-4"/>
  </r>
  <r>
    <x v="0"/>
    <x v="8"/>
    <x v="2"/>
    <n v="2.8400000000000002E-4"/>
    <n v="4.8799999999999999E-4"/>
    <n v="5.99E-7"/>
    <n v="4.8700000000000002E-4"/>
    <n v="1.02E-8"/>
    <n v="9.1E-4"/>
    <n v="8.8800000000000001E-4"/>
    <n v="1.4100000000000001E-5"/>
    <n v="7.2099999999999996E-6"/>
    <n v="3.9700000000000002E-7"/>
    <n v="3.6499999999999998E-4"/>
    <n v="4.4200000000000001E-4"/>
    <n v="4.2599999999999999E-5"/>
    <n v="4.8000000000000001E-16"/>
    <n v="4.1699999999999997E-5"/>
    <n v="8.5281577593628604E-7"/>
    <n v="1.42101836645763E-4"/>
    <n v="4.0695525486940199E-5"/>
    <n v="1.00953291110833E-4"/>
    <n v="1.53515169526677E-6"/>
    <n v="1.40449950554538E-6"/>
    <n v="1.3228039581865501E-7"/>
    <n v="5.8171577846265497E-15"/>
    <n v="8.4602096626956396E-5"/>
    <n v="5.0064779622265704E-4"/>
    <n v="8.2135000343671195E-4"/>
    <n v="2.0490598364116E-6"/>
    <n v="4.4910441506546997E-7"/>
  </r>
  <r>
    <x v="0"/>
    <x v="9"/>
    <x v="3"/>
    <n v="1.8100000000000001E-4"/>
    <n v="4.6999999999999999E-4"/>
    <n v="1.91E-7"/>
    <n v="4.6999999999999999E-4"/>
    <n v="1.3400000000000001E-7"/>
    <n v="1.5200000000000001E-4"/>
    <n v="1.11E-4"/>
    <n v="3.9400000000000002E-5"/>
    <n v="7.7599999999999996E-7"/>
    <n v="9.7699999999999992E-7"/>
    <n v="1.18E-4"/>
    <n v="1.37E-4"/>
    <n v="1.9400000000000001E-5"/>
    <n v="1.4900000000000002E-14"/>
    <n v="6.9399999999999996E-6"/>
    <n v="1.24751936463149E-5"/>
    <n v="1.7732203683073201E-4"/>
    <n v="1.4397745897978999E-4"/>
    <n v="3.3242265037725698E-5"/>
    <n v="1.8290418885293499E-6"/>
    <n v="2.9904269138007799E-5"/>
    <n v="2.5006601033972299E-6"/>
    <n v="5.9595195119743702E-14"/>
    <n v="2.0649402228299201E-4"/>
    <n v="1.8996033343193501E-4"/>
    <n v="6.4249459105547699E-4"/>
    <n v="2.0244531525853701E-5"/>
    <n v="1.12279261827481E-4"/>
  </r>
  <r>
    <x v="0"/>
    <x v="9"/>
    <x v="4"/>
    <n v="3.9300000000000001E-4"/>
    <n v="1.1299999999999999E-3"/>
    <n v="1.4999999999999999E-7"/>
    <n v="1.1299999999999999E-3"/>
    <n v="3.1E-8"/>
    <n v="2.2200000000000001E-2"/>
    <n v="4.2099999999999999E-4"/>
    <n v="8.1600000000000006E-3"/>
    <n v="1.3599999999999999E-2"/>
    <n v="2.0000000000000001E-4"/>
    <n v="3.4200000000000002E-4"/>
    <n v="3.3E-4"/>
    <n v="7.6999999999999996E-4"/>
    <n v="1.56E-10"/>
    <n v="7.4399999999999998E-4"/>
    <n v="2.6080471649734101E-5"/>
    <n v="5.6987424260930104E-3"/>
    <n v="5.0541189857826803E-5"/>
    <n v="5.4945448793084096E-3"/>
    <n v="1.5942311350974E-4"/>
    <n v="5.6434080910387297E-4"/>
    <n v="1.38117430965399E-6"/>
    <n v="7.0066911668310096E-12"/>
    <n v="2.8143065218367701E-4"/>
    <n v="4.5978770423174602E-4"/>
    <n v="2.6016410125760401E-3"/>
    <n v="7.0518206421430694E-5"/>
    <n v="5.75349268998138E-3"/>
  </r>
  <r>
    <x v="0"/>
    <x v="9"/>
    <x v="1"/>
    <n v="3.5000000000000002E-8"/>
    <n v="4.5900000000000001E-8"/>
    <n v="5.3599999999999997E-9"/>
    <n v="1.07E-8"/>
    <n v="-7.6199999999999998E-13"/>
    <n v="6.2499999999999997E-8"/>
    <n v="3.1000000000000002E-10"/>
    <n v="-4.8300000000000001E-9"/>
    <n v="1.2299999999999999E-10"/>
    <n v="6.6399999999999999E-8"/>
    <n v="1.99E-8"/>
    <n v="2.0999999999999999E-8"/>
    <n v="5.93E-9"/>
    <n v="-5.5E-18"/>
    <n v="6.9799999999999994E-11"/>
    <n v="1.07240715027505E-10"/>
    <n v="1.3426956627398101E-8"/>
    <n v="5.3979866899326495E-10"/>
    <n v="4.7642380704118499E-10"/>
    <n v="3.8106233854603502E-10"/>
    <n v="1.06506839355509E-8"/>
    <n v="3.2657488353164897E-8"/>
    <n v="4.6305499396832802E-10"/>
    <n v="5.4865415023246699E-8"/>
    <n v="2.6813954947989001E-8"/>
    <n v="7.6240768224254203E-8"/>
    <n v="3.9708720668297202E-9"/>
    <n v="4.23265815111466E-6"/>
  </r>
  <r>
    <x v="1"/>
    <x v="10"/>
    <x v="1"/>
    <n v="8.7499999999999999E-5"/>
    <n v="1.15E-4"/>
    <n v="1.34E-5"/>
    <n v="2.6800000000000001E-5"/>
    <n v="-1.9099999999999998E-9"/>
    <n v="1.56E-4"/>
    <n v="7.7400000000000002E-7"/>
    <n v="-1.2099999999999999E-5"/>
    <n v="3.0800000000000001E-7"/>
    <n v="1.66E-4"/>
    <n v="4.9799999999999998E-5"/>
    <n v="5.2500000000000002E-5"/>
    <n v="1.4800000000000001E-5"/>
    <n v="-1.3699999999999999E-14"/>
    <n v="1.7499999999999999E-7"/>
    <n v="2.6810178756876102E-7"/>
    <n v="3.3567391568495299E-5"/>
    <n v="1.34949667248316E-6"/>
    <n v="1.1910595176029599E-6"/>
    <n v="9.52655846365087E-7"/>
    <n v="2.6626709838877201E-5"/>
    <n v="8.1643720882912206E-5"/>
    <n v="1.1576374849208201E-6"/>
    <n v="1.3716353755811701E-4"/>
    <n v="6.7034887369972501E-5"/>
    <n v="1.90601920560635E-4"/>
    <n v="9.92718016707429E-6"/>
    <n v="1.05816453777867E-2"/>
  </r>
  <r>
    <x v="1"/>
    <x v="10"/>
    <x v="12"/>
    <n v="2.2599999999999999E-2"/>
    <n v="7.1800000000000003E-2"/>
    <n v="0"/>
    <n v="0"/>
    <n v="0"/>
    <n v="1.92"/>
    <n v="0"/>
    <n v="0"/>
    <n v="0"/>
    <n v="0.753"/>
    <n v="5.0599999999999999E-2"/>
    <n v="6.0999999999999999E-2"/>
    <n v="5.1299999999999998E-2"/>
    <n v="0"/>
    <n v="0"/>
    <n v="0"/>
    <n v="0.13107290243957001"/>
    <n v="0"/>
    <n v="0"/>
    <n v="0"/>
    <n v="1.8441109428809301E-2"/>
    <n v="4.2696085518088497E-3"/>
    <n v="1.3892803665507701E-3"/>
    <n v="5.0012854066361398E-2"/>
    <n v="6.5415975312709304E-2"/>
    <n v="0.115729678637727"/>
    <n v="6.15416193828431"/>
    <n v="2.2939684827722E-2"/>
  </r>
  <r>
    <x v="1"/>
    <x v="10"/>
    <x v="2"/>
    <n v="5.8300000000000001E-6"/>
    <n v="6.7000000000000002E-6"/>
    <n v="2E-8"/>
    <n v="6.6200000000000001E-6"/>
    <n v="5.47E-8"/>
    <n v="1.2500000000000001E-5"/>
    <n v="1.2099999999999999E-5"/>
    <n v="2.4999999999999999E-7"/>
    <n v="1.4999999999999999E-7"/>
    <n v="9.9999999999999995E-8"/>
    <n v="8.1100000000000003E-6"/>
    <n v="9.9199999999999999E-6"/>
    <n v="6.4099999999999998E-7"/>
    <n v="1.6600000000000001E-17"/>
    <n v="6.2399999999999998E-7"/>
    <n v="1.6901830525675099E-8"/>
    <n v="2.6156190864209E-6"/>
    <n v="5.8838401302152499E-7"/>
    <n v="2.0230079546217499E-6"/>
    <n v="1.8383243825773001E-8"/>
    <n v="4.5497387490247299E-8"/>
    <n v="3.0246529687999901E-7"/>
    <n v="1.9924864963680401E-16"/>
    <n v="2.0215137696568799E-6"/>
    <n v="7.52939463798724E-6"/>
    <n v="1.1094080481319399E-5"/>
    <n v="7.5729639429826794E-8"/>
    <n v="4.3808636691457898E-8"/>
  </r>
  <r>
    <x v="2"/>
    <x v="11"/>
    <x v="13"/>
    <n v="4.44E-4"/>
    <n v="1.2999999999999999E-3"/>
    <n v="1.04E-5"/>
    <n v="1.2899999999999999E-3"/>
    <n v="2.1500000000000002E-6"/>
    <n v="9.5999999999999992E-3"/>
    <n v="1.2800000000000001E-3"/>
    <n v="8.3099999999999997E-3"/>
    <n v="9.7899999999999994E-6"/>
    <n v="2.23E-5"/>
    <n v="3.7399999999999998E-4"/>
    <n v="4.1300000000000001E-4"/>
    <n v="2.5799999999999998E-4"/>
    <n v="8.7400000000000003E-12"/>
    <n v="4.5306599574582301E-5"/>
    <n v="2.1219829416913201E-4"/>
    <n v="8.4653631717639805E-4"/>
    <n v="5.9127968526161102E-4"/>
    <n v="2.5425865781338199E-4"/>
    <n v="4.3601209176370996E-6"/>
    <n v="1.64796342052075E-2"/>
    <n v="9.5381539890171903E-5"/>
    <n v="8.9821616639585693E-12"/>
    <n v="3.6129879903056E-4"/>
    <n v="4.5760733405686698E-4"/>
    <n v="1.26305278469257E-2"/>
    <n v="8.9818773871685795E-5"/>
    <n v="2.5044298374080098E-4"/>
  </r>
  <r>
    <x v="2"/>
    <x v="11"/>
    <x v="14"/>
    <n v="2.3600000000000001E-5"/>
    <n v="6.9099999999999999E-5"/>
    <n v="5.5400000000000001E-7"/>
    <n v="6.8499999999999998E-5"/>
    <n v="1.14E-7"/>
    <n v="5.0900000000000001E-4"/>
    <n v="6.7999999999999999E-5"/>
    <n v="4.4099999999999999E-4"/>
    <n v="5.1900000000000003E-7"/>
    <n v="1.1799999999999999E-6"/>
    <n v="1.98E-5"/>
    <n v="2.19E-5"/>
    <n v="1.3699999999999999E-5"/>
    <n v="4.6400000000000004E-13"/>
    <n v="2.40371148057405E-6"/>
    <n v="1.12580392402419E-5"/>
    <n v="4.4912420782542097E-5"/>
    <n v="3.1369950096429201E-5"/>
    <n v="1.34895238344978E-5"/>
    <n v="2.3132331282471901E-7"/>
    <n v="8.7431602253684E-4"/>
    <n v="5.0604041049565699E-6"/>
    <n v="4.7654260780458004E-13"/>
    <n v="1.91684672719202E-5"/>
    <n v="2.4278052486738998E-5"/>
    <n v="6.7010424698476102E-4"/>
    <n v="4.7652752568872602E-6"/>
    <n v="1.3287085786611999E-5"/>
  </r>
  <r>
    <x v="2"/>
    <x v="11"/>
    <x v="15"/>
    <n v="1.66E-4"/>
    <n v="1.6900000000000001E-3"/>
    <n v="1.4300000000000001E-6"/>
    <n v="1.6900000000000001E-3"/>
    <n v="4.5900000000000001E-8"/>
    <n v="3.9199999999999997E-5"/>
    <n v="3.1099999999999997E-5"/>
    <n v="7.1999999999999997E-6"/>
    <n v="8.3200000000000004E-7"/>
    <n v="3.4499999999999998E-7"/>
    <n v="2.14E-4"/>
    <n v="2.61E-4"/>
    <n v="8.1799999999999996E-5"/>
    <n v="3.9199999999999998E-15"/>
    <n v="1.8456287217407001E-5"/>
    <n v="6.3361933661318999E-5"/>
    <n v="1.8012657720561999E-4"/>
    <n v="2.7919160669953299E-5"/>
    <n v="1.51913498761171E-4"/>
    <n v="4.2605408498611398E-6"/>
    <n v="7.9237430857528102E-6"/>
    <n v="4.7585928185905802E-7"/>
    <n v="1.76444592835202E-14"/>
    <n v="1.449509161494E-4"/>
    <n v="2.9573399333324699E-4"/>
    <n v="3.5168528010920698E-3"/>
    <n v="6.1636713047660499E-6"/>
    <n v="8.7030290012456201E-7"/>
  </r>
  <r>
    <x v="2"/>
    <x v="11"/>
    <x v="16"/>
    <n v="1.2500000000000001E-5"/>
    <n v="1.2799999999999999E-4"/>
    <n v="1.08E-7"/>
    <n v="1.2799999999999999E-4"/>
    <n v="3.46E-9"/>
    <n v="2.9500000000000001E-6"/>
    <n v="2.3499999999999999E-6"/>
    <n v="5.4300000000000003E-7"/>
    <n v="6.2800000000000006E-8"/>
    <n v="2.6000000000000001E-8"/>
    <n v="1.6099999999999998E-5"/>
    <n v="1.9700000000000001E-5"/>
    <n v="6.1700000000000002E-6"/>
    <n v="2.9500000000000001E-16"/>
    <n v="1.39167301888697E-6"/>
    <n v="4.7777265525970801E-6"/>
    <n v="1.3582216971845601E-5"/>
    <n v="2.1052090356341499E-6"/>
    <n v="1.14548454377783E-5"/>
    <n v="3.2126069976984898E-7"/>
    <n v="5.9747983606551304E-7"/>
    <n v="3.58815679204211E-8"/>
    <n v="1.3304581592426301E-15"/>
    <n v="1.09298406928676E-5"/>
    <n v="2.22994481198478E-5"/>
    <n v="2.6518384207094699E-4"/>
    <n v="4.6476384719677498E-7"/>
    <n v="6.5624090592833901E-8"/>
  </r>
  <r>
    <x v="2"/>
    <x v="11"/>
    <x v="17"/>
    <n v="2.0800000000000001E-7"/>
    <n v="1.7800000000000001E-7"/>
    <n v="0"/>
    <n v="0"/>
    <n v="0"/>
    <n v="6.3399999999999999E-7"/>
    <n v="0"/>
    <n v="0"/>
    <n v="0"/>
    <n v="1.9400000000000001E-6"/>
    <n v="2.11E-7"/>
    <n v="2.2399999999999999E-7"/>
    <n v="7.1499999999999998E-8"/>
    <n v="0"/>
    <n v="0"/>
    <n v="0"/>
    <n v="9.6584084000639298E-8"/>
    <n v="0"/>
    <n v="0"/>
    <n v="0"/>
    <n v="7.1441601951793804E-8"/>
    <n v="3.5669043640509599E-6"/>
    <n v="3.1440226971506499E-9"/>
    <n v="2.15734494642873E-7"/>
    <n v="2.7682150622205199E-7"/>
    <n v="3.2342005594962098E-7"/>
    <n v="1.6896414188859501E-7"/>
    <n v="8.7287917834286104E-8"/>
  </r>
  <r>
    <x v="0"/>
    <x v="12"/>
    <x v="18"/>
    <n v="3.8099999999999999E-6"/>
    <n v="9.8900000000000002E-6"/>
    <n v="4.0199999999999998E-9"/>
    <n v="9.8800000000000003E-6"/>
    <n v="2.8200000000000002E-9"/>
    <n v="3.19E-6"/>
    <n v="2.34E-6"/>
    <n v="8.2900000000000002E-7"/>
    <n v="1.63E-8"/>
    <n v="2.0500000000000002E-8"/>
    <n v="2.48E-6"/>
    <n v="2.8899999999999999E-6"/>
    <n v="4.08E-7"/>
    <n v="3.1300000000000001E-16"/>
    <n v="1.4589293465767499E-7"/>
    <n v="2.6232883835708999E-7"/>
    <n v="3.72873441933782E-6"/>
    <n v="3.02756338976193E-6"/>
    <n v="6.9901959191479296E-7"/>
    <n v="3.8461161207392997E-8"/>
    <n v="6.2882808935063305E-7"/>
    <n v="5.2583974136857702E-8"/>
    <n v="1.2531699908357299E-15"/>
    <n v="4.3421640199694501E-6"/>
    <n v="3.9944929927276102E-6"/>
    <n v="1.3510400279204E-5"/>
    <n v="4.2570276573057002E-7"/>
    <n v="2.3610125150638702E-6"/>
  </r>
  <r>
    <x v="0"/>
    <x v="12"/>
    <x v="19"/>
    <n v="2.3700000000000001E-3"/>
    <n v="3.5400000000000002E-3"/>
    <n v="4.4000000000000002E-6"/>
    <n v="3.3800000000000002E-3"/>
    <n v="1.5999999999999999E-6"/>
    <n v="3.0899999999999999E-3"/>
    <n v="1.8500000000000001E-3"/>
    <n v="8.0400000000000003E-4"/>
    <n v="8.4300000000000003E-5"/>
    <n v="6.6299999999999999E-5"/>
    <n v="1.0200000000000001E-3"/>
    <n v="1.23E-3"/>
    <n v="8.0599999999999997E-4"/>
    <n v="4.6300000000000005E-13"/>
    <n v="1.87774229018423E-4"/>
    <n v="5.7842102787501997E-4"/>
    <n v="1.40790282523102E-3"/>
    <n v="1.8726063206427201E-4"/>
    <n v="1.1525311956799001E-3"/>
    <n v="1.26772690897843E-5"/>
    <n v="1.0714830056642399E-3"/>
    <n v="6.5694914368190496E-5"/>
    <n v="5.2253473519245298E-6"/>
    <n v="2.3342653382163099E-3"/>
    <n v="1.51722026367213E-3"/>
    <n v="5.8940823897170201E-3"/>
    <n v="7.0656498923800503E-3"/>
    <n v="8.71756253470801E-4"/>
  </r>
  <r>
    <x v="0"/>
    <x v="12"/>
    <x v="20"/>
    <n v="1.44E-4"/>
    <n v="2.0100000000000001E-4"/>
    <n v="2.6600000000000003E-7"/>
    <n v="2.0100000000000001E-4"/>
    <n v="9.8900000000000005E-8"/>
    <n v="1.7100000000000001E-4"/>
    <n v="1.1900000000000001E-4"/>
    <n v="4.5500000000000001E-5"/>
    <n v="5.6799999999999998E-6"/>
    <n v="4.8999999999999997E-7"/>
    <n v="5.4799999999999997E-5"/>
    <n v="6.5900000000000003E-5"/>
    <n v="5.0800000000000002E-5"/>
    <n v="2.6999999999999999E-14"/>
    <n v="1.25719277952994E-5"/>
    <n v="3.82709261746946E-5"/>
    <n v="8.8727947194234904E-5"/>
    <n v="1.1111458517179001E-5"/>
    <n v="7.7450242164993799E-5"/>
    <n v="7.2887661110275101E-7"/>
    <n v="5.7049189597922102E-5"/>
    <n v="2.9389826507709199E-6"/>
    <n v="7.1473931766876604E-13"/>
    <n v="1.42932130179985E-4"/>
    <n v="8.2197322660405406E-5"/>
    <n v="3.1889956021994502E-4"/>
    <n v="4.7440217455490099E-4"/>
    <n v="2.2581199795316399E-5"/>
  </r>
  <r>
    <x v="0"/>
    <x v="12"/>
    <x v="21"/>
    <n v="2.5399999999999999E-4"/>
    <n v="3.9399999999999998E-4"/>
    <n v="4.6699999999999999E-7"/>
    <n v="3.9399999999999998E-4"/>
    <n v="1.5300000000000001E-7"/>
    <n v="3.0200000000000002E-4"/>
    <n v="2.1000000000000001E-4"/>
    <n v="8.2200000000000006E-5"/>
    <n v="1.0200000000000001E-5"/>
    <n v="8.4E-7"/>
    <n v="1.0399999999999999E-4"/>
    <n v="1.25E-4"/>
    <n v="9.1899999999999998E-5"/>
    <n v="5.0100000000000002E-14"/>
    <n v="2.1249752099936199E-5"/>
    <n v="7.0664030946227704E-5"/>
    <n v="1.4656033987319299E-4"/>
    <n v="2.0269894552124499E-5"/>
    <n v="1.25986597437944E-4"/>
    <n v="1.43733159973471E-6"/>
    <n v="1.0599437158582E-4"/>
    <n v="3.8502843222027703E-6"/>
    <n v="1.86635328121168E-12"/>
    <n v="2.7050994048361898E-4"/>
    <n v="1.5411639760894001E-4"/>
    <n v="6.05282313332289E-4"/>
    <n v="7.7981178595884607E-5"/>
    <n v="4.1401969559345901E-5"/>
  </r>
  <r>
    <x v="0"/>
    <x v="12"/>
    <x v="3"/>
    <n v="1E-4"/>
    <n v="2.5999999999999998E-4"/>
    <n v="1.06E-7"/>
    <n v="2.5999999999999998E-4"/>
    <n v="7.4000000000000001E-8"/>
    <n v="8.3800000000000004E-5"/>
    <n v="6.1600000000000007E-5"/>
    <n v="2.1800000000000001E-5"/>
    <n v="4.2899999999999999E-7"/>
    <n v="5.4000000000000002E-7"/>
    <n v="6.5199999999999999E-5"/>
    <n v="7.5900000000000002E-5"/>
    <n v="1.0699999999999999E-5"/>
    <n v="8.23E-15"/>
    <n v="3.8364438372944099E-6"/>
    <n v="6.8982768605012504E-6"/>
    <n v="9.8051905101105596E-5"/>
    <n v="7.9613703952998905E-5"/>
    <n v="1.8381626305907499E-5"/>
    <n v="1.01138609100922E-6"/>
    <n v="1.6535849756998101E-5"/>
    <n v="1.3827637643395901E-6"/>
    <n v="3.2953729388643399E-14"/>
    <n v="1.14182831636234E-4"/>
    <n v="1.0504037129024501E-4"/>
    <n v="3.5527348882351202E-4"/>
    <n v="1.11944060618039E-5"/>
    <n v="6.2085884655382599E-5"/>
  </r>
  <r>
    <x v="0"/>
    <x v="12"/>
    <x v="22"/>
    <n v="9.4526244050554501E-5"/>
    <n v="1.3156528521732E-4"/>
    <n v="1.73361162297123E-7"/>
    <n v="1.31327223774952E-4"/>
    <n v="6.4700280070789998E-8"/>
    <n v="1.105469308984E-4"/>
    <n v="7.70564099459736E-5"/>
    <n v="2.9772208632121899E-5"/>
    <n v="3.7183123203046899E-6"/>
    <n v="3.1793112801901198E-7"/>
    <n v="3.5818332495575501E-5"/>
    <n v="4.30899295436966E-5"/>
    <n v="3.3272707154154403E-5"/>
    <n v="1.7688524374858601E-14"/>
    <n v="8.1939838975568498E-6"/>
    <n v="2.5078723238909099E-5"/>
    <n v="5.78032276336762E-5"/>
    <n v="7.0870892674505703E-6"/>
    <n v="5.06086557640659E-5"/>
    <n v="4.7476755199361101E-7"/>
    <n v="3.73677056071927E-5"/>
    <n v="1.9229223929637E-6"/>
    <n v="4.6833914317346603E-13"/>
    <n v="9.3614786887654606E-5"/>
    <n v="5.3612442380498798E-5"/>
    <n v="2.07876556487527E-4"/>
    <n v="3.10991987152132E-4"/>
    <n v="1.47714437376354E-5"/>
  </r>
  <r>
    <x v="0"/>
    <x v="12"/>
    <x v="23"/>
    <n v="2.9104916030148401E-6"/>
    <n v="9.0409901881237997E-6"/>
    <n v="1.1644289574957899E-9"/>
    <n v="9.0395840826401107E-6"/>
    <n v="2.4167652618795002E-10"/>
    <n v="4.3084319981006599E-5"/>
    <n v="8.7208119026917504E-7"/>
    <n v="4.1977868360418898E-5"/>
    <n v="2.3437043031848701E-7"/>
    <n v="1.37566032407964E-6"/>
    <n v="2.44014149081642E-6"/>
    <n v="2.8698956732038301E-6"/>
    <n v="1.29016431379515E-6"/>
    <n v="1.92569639025435E-12"/>
    <n v="1.22249005767046E-6"/>
    <n v="6.7672330428300004E-8"/>
    <n v="7.8680472138927108E-6"/>
    <n v="2.6282906940673399E-7"/>
    <n v="7.5860272504578004E-6"/>
    <n v="6.1582647394237105E-8"/>
    <n v="2.5595142220717199E-6"/>
    <n v="1.0756809265217899E-8"/>
    <n v="1.7593546903347102E-14"/>
    <n v="1.5020367081532E-6"/>
    <n v="3.1840224672573699E-6"/>
    <n v="1.8804177657170999E-5"/>
    <n v="-2.19889424332995E-8"/>
    <n v="-3.26658733321947E-7"/>
  </r>
  <r>
    <x v="0"/>
    <x v="12"/>
    <x v="24"/>
    <n v="9.2923978351354E-6"/>
    <n v="9.7526438710214503E-6"/>
    <n v="8.2342724158861595E-9"/>
    <n v="9.7258366262106001E-6"/>
    <n v="1.8572972394966502E-8"/>
    <n v="1.14074217839767E-5"/>
    <n v="7.7336856472204406E-6"/>
    <n v="3.6319158984049201E-6"/>
    <n v="4.1820238351373397E-8"/>
    <n v="6.50514519410837E-8"/>
    <n v="4.6031648669538799E-6"/>
    <n v="5.5266794243557901E-6"/>
    <n v="3.4561592411584398E-4"/>
    <n v="1.2557925701782901E-16"/>
    <n v="5.6653656909612899E-6"/>
    <n v="3.3995055842475701E-4"/>
    <n v="5.5276917883786101E-6"/>
    <n v="1.61078127730046E-6"/>
    <n v="3.9143087948467004E-6"/>
    <n v="3.7066705462884102E-8"/>
    <n v="1.1460744690428399E-6"/>
    <n v="3.1655707998915699E-7"/>
    <n v="5.1192753090831203E-15"/>
    <n v="1.5073480149393401E-5"/>
    <n v="6.6222110375280497E-6"/>
    <n v="1.5739742730651199E-5"/>
    <n v="2.1344291808107301E-5"/>
    <n v="5.7309085329721199E-6"/>
  </r>
  <r>
    <x v="0"/>
    <x v="12"/>
    <x v="1"/>
    <n v="1.9700933530121798E-6"/>
    <n v="2.21419364329401E-6"/>
    <n v="1.9142626770516301E-6"/>
    <n v="-5.6597053025741901E-8"/>
    <n v="7.4503299177017601E-9"/>
    <n v="1.8438671534418501E-6"/>
    <n v="2.37471421303436E-6"/>
    <n v="-1.3509750182872899E-6"/>
    <n v="3.5887165430600202E-8"/>
    <n v="9.9462339202795306E-7"/>
    <n v="2.0353708839753101E-6"/>
    <n v="2.2613989212387801E-6"/>
    <n v="4.3712287211278898E-7"/>
    <n v="-2.2389471018669501E-15"/>
    <n v="2.1040044302366901E-7"/>
    <n v="1.5927515556256901E-7"/>
    <n v="2.3013526706175799E-6"/>
    <n v="7.3591427297113303E-7"/>
    <n v="1.32180039288194E-6"/>
    <n v="1.0242477803978399E-7"/>
    <n v="-3.4466487795231798E-6"/>
    <n v="2.8188734068139799E-5"/>
    <n v="5.4280320597085504E-9"/>
    <n v="2.3278832312043501E-6"/>
    <n v="2.7725844364196699E-6"/>
    <n v="-1.10699428108093E-6"/>
    <n v="6.7187902748050299E-8"/>
    <n v="5.0352113704336997E-5"/>
  </r>
  <r>
    <x v="0"/>
    <x v="12"/>
    <x v="2"/>
    <n v="3.6350602413257498E-5"/>
    <n v="4.1738688857323701E-5"/>
    <n v="1.2480777640655699E-7"/>
    <n v="4.1273284676089501E-5"/>
    <n v="3.4059640482768798E-7"/>
    <n v="7.8117442890787207E-5"/>
    <n v="7.5630983360829905E-5"/>
    <n v="1.5546524694668E-6"/>
    <n v="9.3180706049047401E-7"/>
    <n v="6.2369387162974195E-7"/>
    <n v="5.0501714880288697E-5"/>
    <n v="6.1801070273628103E-5"/>
    <n v="3.9918814468107601E-6"/>
    <n v="1.03624888105318E-16"/>
    <n v="3.8865749286795897E-6"/>
    <n v="1.05306518027543E-7"/>
    <n v="1.6296562556283601E-5"/>
    <n v="3.6659148593548299E-6"/>
    <n v="1.2604310717683599E-5"/>
    <n v="1.14536434050901E-7"/>
    <n v="2.8347056543193399E-7"/>
    <n v="1.8845040003338801E-6"/>
    <n v="1.24141473807043E-15"/>
    <n v="1.25950012280576E-5"/>
    <n v="4.6911743137953401E-5"/>
    <n v="6.9121447196525705E-5"/>
    <n v="4.7183200823852002E-7"/>
    <n v="2.7294883725778398E-7"/>
  </r>
  <r>
    <x v="0"/>
    <x v="13"/>
    <x v="21"/>
    <n v="1.9400000000000001E-5"/>
    <n v="3.0000000000000001E-5"/>
    <n v="3.5700000000000002E-8"/>
    <n v="3.0000000000000001E-5"/>
    <n v="1.16E-8"/>
    <n v="2.3200000000000001E-5"/>
    <n v="1.6200000000000001E-5"/>
    <n v="6.2500000000000003E-6"/>
    <n v="7.7700000000000004E-7"/>
    <n v="6.4399999999999994E-8"/>
    <n v="7.9000000000000006E-6"/>
    <n v="9.5200000000000003E-6"/>
    <n v="6.99E-6"/>
    <n v="3.81E-15"/>
    <n v="1.6199999999999999E-6"/>
    <n v="5.3700000000000003E-6"/>
    <n v="1.1199999999999999E-5"/>
    <n v="1.5799999999999999E-6"/>
    <n v="9.5999999999999996E-6"/>
    <n v="1.1000000000000001E-7"/>
    <n v="8.0600000000000008E-6"/>
    <n v="2.9299999999999999E-7"/>
    <n v="1.42E-13"/>
    <n v="2.0599999999999999E-5"/>
    <n v="1.1800000000000001E-5"/>
    <n v="4.6199999999999998E-5"/>
    <n v="5.9200000000000001E-6"/>
    <n v="3.1499999999999999E-6"/>
  </r>
  <r>
    <x v="0"/>
    <x v="13"/>
    <x v="3"/>
    <n v="3.3900000000000002E-6"/>
    <n v="8.7900000000000005E-6"/>
    <n v="3.58E-9"/>
    <n v="8.7800000000000006E-6"/>
    <n v="2.5000000000000001E-9"/>
    <n v="2.83E-6"/>
    <n v="2.08E-6"/>
    <n v="7.3600000000000003E-7"/>
    <n v="1.4500000000000001E-8"/>
    <n v="1.8299999999999998E-8"/>
    <n v="2.2000000000000001E-6"/>
    <n v="2.57E-6"/>
    <n v="3.6300000000000001E-7"/>
    <n v="2.7799999999999998E-16"/>
    <n v="1.3E-7"/>
    <n v="2.3300000000000001E-7"/>
    <n v="3.3100000000000001E-6"/>
    <n v="2.6900000000000001E-6"/>
    <n v="6.2099999999999996E-7"/>
    <n v="3.4200000000000002E-8"/>
    <n v="5.5899999999999996E-7"/>
    <n v="4.6700000000000001E-8"/>
    <n v="1.1100000000000001E-15"/>
    <n v="3.8600000000000003E-6"/>
    <n v="3.5499999999999999E-6"/>
    <n v="1.2E-5"/>
    <n v="3.7800000000000002E-7"/>
    <n v="2.0999999999999998E-6"/>
  </r>
  <r>
    <x v="0"/>
    <x v="13"/>
    <x v="25"/>
    <n v="1.66E-6"/>
    <n v="1.4100000000000001E-6"/>
    <n v="1.21E-10"/>
    <n v="1.4100000000000001E-6"/>
    <n v="3.7000000000000001E-10"/>
    <n v="3.4900000000000003E-4"/>
    <n v="9.6899999999999996E-7"/>
    <n v="3.4699999999999998E-4"/>
    <n v="1.8300000000000001E-6"/>
    <n v="3.1900000000000001E-8"/>
    <n v="6.2900000000000003E-7"/>
    <n v="7.6400000000000001E-7"/>
    <n v="1.4E-3"/>
    <n v="5.2800000000000001E-12"/>
    <n v="1.4E-3"/>
    <n v="7.7599999999999993E-8"/>
    <n v="1.32E-2"/>
    <n v="1.91E-7"/>
    <n v="1.32E-2"/>
    <n v="5.1799999999999999E-9"/>
    <n v="2.35E-7"/>
    <n v="8.3099999999999996E-9"/>
    <n v="6.03E-12"/>
    <n v="3.9299999999999996E-6"/>
    <n v="9.2800000000000005E-7"/>
    <n v="2.0999999999999998E-6"/>
    <n v="6.8399999999999996E-5"/>
    <n v="6.5099999999999999E-7"/>
  </r>
  <r>
    <x v="0"/>
    <x v="13"/>
    <x v="26"/>
    <n v="2.0299999999999999E-5"/>
    <n v="7.2999999999999999E-5"/>
    <n v="7.7000000000000001E-8"/>
    <n v="6.8200000000000004E-5"/>
    <n v="2.6499999999999999E-8"/>
    <n v="1.6899999999999999E-4"/>
    <n v="1.3899999999999999E-4"/>
    <n v="1.2500000000000001E-5"/>
    <n v="9.3799999999999996E-7"/>
    <n v="6.46E-6"/>
    <n v="1.56E-5"/>
    <n v="1.77E-5"/>
    <n v="2.5700000000000001E-5"/>
    <n v="0"/>
    <n v="6.2999999999999998E-6"/>
    <n v="1.7600000000000001E-5"/>
    <n v="2.97E-5"/>
    <n v="6.6200000000000001E-6"/>
    <n v="2.1699999999999999E-5"/>
    <n v="3.9099999999999999E-7"/>
    <n v="3.3099999999999998E-5"/>
    <n v="1.1200000000000001E-6"/>
    <n v="2.8599999999999999E-7"/>
    <n v="1.4800000000000001E-5"/>
    <n v="2.5599999999999999E-5"/>
    <n v="2.6200000000000003E-4"/>
    <n v="4.8400000000000002E-6"/>
    <n v="1.01E-5"/>
  </r>
  <r>
    <x v="0"/>
    <x v="13"/>
    <x v="1"/>
    <n v="1.22E-5"/>
    <n v="1.4399999999999999E-5"/>
    <n v="2.2800000000000002E-6"/>
    <n v="-8.6099999999999999E-7"/>
    <n v="-1.09E-10"/>
    <n v="2.8900000000000001E-5"/>
    <n v="2.1899999999999999E-7"/>
    <n v="-1.3400000000000001E-6"/>
    <n v="3.7300000000000003E-8"/>
    <n v="3.4100000000000002E-5"/>
    <n v="7.9200000000000004E-6"/>
    <n v="8.1899999999999995E-6"/>
    <n v="2.6199999999999999E-6"/>
    <n v="-1.5499999999999999E-15"/>
    <n v="3.5199999999999998E-8"/>
    <n v="-5.3699999999999998E-8"/>
    <n v="5.7899999999999996E-6"/>
    <n v="5.3500000000000003E-8"/>
    <n v="2.4299999999999999E-7"/>
    <n v="1.1600000000000001E-7"/>
    <n v="6.0700000000000003E-6"/>
    <n v="2.55E-5"/>
    <n v="2.03E-7"/>
    <n v="2.1500000000000001E-5"/>
    <n v="1.03E-5"/>
    <n v="2.27E-5"/>
    <n v="2.1799999999999999E-6"/>
    <n v="1.7600000000000001E-3"/>
  </r>
  <r>
    <x v="0"/>
    <x v="13"/>
    <x v="2"/>
    <n v="2.34E-5"/>
    <n v="2.69E-5"/>
    <n v="8.0400000000000005E-8"/>
    <n v="2.6599999999999999E-5"/>
    <n v="2.1899999999999999E-7"/>
    <n v="5.0300000000000003E-5"/>
    <n v="4.8699999999999998E-5"/>
    <n v="9.9999999999999995E-7"/>
    <n v="5.9999999999999997E-7"/>
    <n v="4.0200000000000003E-7"/>
    <n v="3.2499999999999997E-5"/>
    <n v="3.9799999999999998E-5"/>
    <n v="2.57E-6"/>
    <n v="6.6700000000000004E-17"/>
    <n v="2.5000000000000002E-6"/>
    <n v="6.7799999999999998E-8"/>
    <n v="1.0499999999999999E-5"/>
    <n v="2.3599999999999999E-6"/>
    <n v="8.1200000000000002E-6"/>
    <n v="7.3700000000000005E-8"/>
    <n v="1.8300000000000001E-7"/>
    <n v="1.2100000000000001E-6"/>
    <n v="7.9899999999999997E-16"/>
    <n v="8.1100000000000003E-6"/>
    <n v="3.0199999999999999E-5"/>
    <n v="4.4499999999999997E-5"/>
    <n v="3.0400000000000002E-7"/>
    <n v="1.7599999999999999E-7"/>
  </r>
  <r>
    <x v="0"/>
    <x v="14"/>
    <x v="27"/>
    <n v="7.79E-6"/>
    <n v="2.02E-5"/>
    <n v="1.3199999999999999E-7"/>
    <n v="1.8E-5"/>
    <n v="4.0899999999999998E-10"/>
    <n v="4.57E-5"/>
    <n v="3.6699999999999998E-5"/>
    <n v="9.4499999999999995E-7"/>
    <n v="3.9099999999999999E-7"/>
    <n v="5.0100000000000003E-6"/>
    <n v="5.2499999999999997E-6"/>
    <n v="5.8100000000000003E-6"/>
    <n v="3.6799999999999999E-6"/>
    <n v="0"/>
    <n v="1.99E-6"/>
    <n v="8.9565116442392299E-7"/>
    <n v="1.3578164861221399E-5"/>
    <n v="1.7004449056811E-6"/>
    <n v="1.1213860332123601E-5"/>
    <n v="1.0957513283338E-7"/>
    <n v="1.42623137951295E-5"/>
    <n v="3.1835438972353102E-7"/>
    <n v="3.7296537149724397E-8"/>
    <n v="6.2271034662118596E-6"/>
    <n v="9.3293270009384103E-6"/>
    <n v="7.6733783169035603E-5"/>
    <n v="1.67270645135122E-6"/>
    <n v="2.0495027674894798E-5"/>
  </r>
  <r>
    <x v="0"/>
    <x v="14"/>
    <x v="1"/>
    <n v="9.1700000000000003E-6"/>
    <n v="1.08E-5"/>
    <n v="1.7099999999999999E-6"/>
    <n v="-6.4600000000000004E-7"/>
    <n v="-8.1899999999999996E-11"/>
    <n v="2.1699999999999999E-5"/>
    <n v="1.6400000000000001E-7"/>
    <n v="-9.9999999999999995E-7"/>
    <n v="2.7999999999999999E-8"/>
    <n v="2.5599999999999999E-5"/>
    <n v="5.9399999999999999E-6"/>
    <n v="6.1399999999999997E-6"/>
    <n v="1.9599999999999999E-6"/>
    <n v="-1.1700000000000001E-15"/>
    <n v="2.6400000000000001E-8"/>
    <n v="-4.0272525605813201E-8"/>
    <n v="4.3418542894465003E-6"/>
    <n v="4.0135266573710298E-8"/>
    <n v="1.8248926087706101E-7"/>
    <n v="8.6733521801876599E-8"/>
    <n v="4.5491250475297396E-6"/>
    <n v="1.9129084228466699E-5"/>
    <n v="1.5256474293810901E-7"/>
    <n v="1.61201002578609E-5"/>
    <n v="7.7172604303990792E-6"/>
    <n v="1.70309623513629E-5"/>
    <n v="1.63582489385836E-6"/>
    <n v="1.32286681147992E-3"/>
  </r>
  <r>
    <x v="0"/>
    <x v="14"/>
    <x v="2"/>
    <n v="4.3500000000000002E-7"/>
    <n v="4.9900000000000001E-7"/>
    <n v="1.49E-9"/>
    <n v="4.9399999999999995E-7"/>
    <n v="4.0700000000000002E-9"/>
    <n v="9.3399999999999997E-7"/>
    <n v="9.0500000000000002E-7"/>
    <n v="1.8600000000000001E-8"/>
    <n v="1.11E-8"/>
    <n v="7.4600000000000003E-9"/>
    <n v="6.0399999999999996E-7"/>
    <n v="7.3900000000000004E-7"/>
    <n v="4.7699999999999997E-8"/>
    <n v="1.24E-18"/>
    <n v="4.6499999999999999E-8"/>
    <n v="1.2596226158870501E-9"/>
    <n v="1.9493113191477699E-7"/>
    <n v="4.3849795352192398E-8"/>
    <n v="1.5076630711034599E-7"/>
    <n v="1.37002614250179E-9"/>
    <n v="3.3907296703415999E-9"/>
    <n v="2.2541471344910401E-8"/>
    <n v="1.4849167070171401E-17"/>
    <n v="1.5065495176506499E-7"/>
    <n v="5.6113423664615602E-7"/>
    <n v="8.2679533767143899E-7"/>
    <n v="5.6438127440620002E-9"/>
    <n v="3.26487414862643E-9"/>
  </r>
  <r>
    <x v="0"/>
    <x v="15"/>
    <x v="28"/>
    <n v="1.66E-4"/>
    <n v="4.5600000000000003E-4"/>
    <n v="1.4600000000000001E-7"/>
    <n v="4.55E-4"/>
    <n v="8.9799999999999997E-8"/>
    <n v="2.0300000000000001E-3"/>
    <n v="3.8999999999999999E-4"/>
    <n v="1.64E-3"/>
    <n v="2.61E-6"/>
    <n v="1.5400000000000002E-5"/>
    <n v="1.25E-4"/>
    <n v="1.3999999999999999E-4"/>
    <n v="8.4699999999999999E-5"/>
    <n v="0"/>
    <n v="7.4587415631566107E-5"/>
    <n v="1.00791733160122E-5"/>
    <n v="4.2633027713842602E-4"/>
    <n v="2.9424336116428599E-5"/>
    <n v="3.9632477295363299E-4"/>
    <n v="2.53929644646611E-6"/>
    <n v="3.7741342059286498E-5"/>
    <n v="3.9188305522303603E-6"/>
    <n v="3.5755871142017198E-7"/>
    <n v="2.0538863448205799E-4"/>
    <n v="1.9088168036304201E-4"/>
    <n v="1.2749075888371E-3"/>
    <n v="3.5389643819306102E-4"/>
    <n v="9.5799728814753904E-5"/>
  </r>
  <r>
    <x v="0"/>
    <x v="15"/>
    <x v="27"/>
    <n v="4.1799999999999998E-6"/>
    <n v="1.08E-5"/>
    <n v="7.0599999999999997E-8"/>
    <n v="9.6299999999999993E-6"/>
    <n v="2.1899999999999999E-10"/>
    <n v="2.4499999999999999E-5"/>
    <n v="1.9700000000000001E-5"/>
    <n v="5.06E-7"/>
    <n v="2.1E-7"/>
    <n v="2.6800000000000002E-6"/>
    <n v="2.8200000000000001E-6"/>
    <n v="3.1200000000000002E-6"/>
    <n v="1.9700000000000002E-6"/>
    <n v="0"/>
    <n v="1.0672242520395101E-6"/>
    <n v="4.80276711357756E-7"/>
    <n v="7.2810449255825E-6"/>
    <n v="9.1183277551015703E-7"/>
    <n v="6.0132294534575802E-6"/>
    <n v="5.8757679925145799E-8"/>
    <n v="7.6479073973882999E-6"/>
    <n v="1.7071177419957499E-7"/>
    <n v="1.9999592384634799E-8"/>
    <n v="3.3391714239107098E-6"/>
    <n v="5.0026825947060999E-6"/>
    <n v="4.1147101119627799E-5"/>
    <n v="8.9695853188398695E-7"/>
    <n v="1.0990087303929101E-5"/>
  </r>
  <r>
    <x v="0"/>
    <x v="15"/>
    <x v="1"/>
    <n v="5.8699999999999997E-5"/>
    <n v="6.9200000000000002E-5"/>
    <n v="1.0900000000000001E-5"/>
    <n v="-4.1300000000000003E-6"/>
    <n v="-5.2400000000000005E-10"/>
    <n v="1.3899999999999999E-4"/>
    <n v="1.0499999999999999E-6"/>
    <n v="-6.4300000000000003E-6"/>
    <n v="1.79E-7"/>
    <n v="1.64E-4"/>
    <n v="3.8000000000000002E-5"/>
    <n v="3.93E-5"/>
    <n v="1.26E-5"/>
    <n v="-7.4600000000000005E-15"/>
    <n v="1.6879100403587E-7"/>
    <n v="-2.5774416387720399E-7"/>
    <n v="2.7787867452457599E-5"/>
    <n v="2.56865706071746E-7"/>
    <n v="1.1679312696131899E-6"/>
    <n v="5.5509453953201004E-7"/>
    <n v="2.9114400304190301E-5"/>
    <n v="1.22426139062187E-4"/>
    <n v="9.7641435480389892E-7"/>
    <n v="1.0316864165031001E-4"/>
    <n v="4.9390466754554101E-5"/>
    <n v="1.0899815904872301E-4"/>
    <n v="1.04692793206935E-5"/>
    <n v="8.4663475934715193E-3"/>
  </r>
  <r>
    <x v="0"/>
    <x v="15"/>
    <x v="29"/>
    <n v="3.1700000000000001E-3"/>
    <n v="8.8099999999999995E-4"/>
    <n v="0"/>
    <n v="0"/>
    <n v="0"/>
    <n v="1.0300000000000001E-3"/>
    <n v="0"/>
    <n v="0"/>
    <n v="0"/>
    <n v="1.09E-3"/>
    <n v="1.8E-3"/>
    <n v="4.4099999999999999E-3"/>
    <n v="4.9100000000000001E-5"/>
    <n v="0"/>
    <n v="0"/>
    <n v="0"/>
    <n v="2.02700988147081E-4"/>
    <n v="0"/>
    <n v="0"/>
    <n v="0"/>
    <n v="3.21179998450385E-5"/>
    <n v="1.0228004555303801E-3"/>
    <n v="1.71481231686872E-6"/>
    <n v="2.0607879069401902E-3"/>
    <n v="1.7774557567510599E-4"/>
    <n v="1.8012302087768299E-4"/>
    <n v="4.1170506682847799E-5"/>
    <n v="7.9903547662563794E-3"/>
  </r>
  <r>
    <x v="0"/>
    <x v="15"/>
    <x v="2"/>
    <n v="4.4700000000000002E-5"/>
    <n v="5.13E-5"/>
    <n v="1.54E-7"/>
    <n v="5.0800000000000002E-5"/>
    <n v="4.1899999999999998E-7"/>
    <n v="9.6100000000000005E-5"/>
    <n v="9.2999999999999997E-5"/>
    <n v="1.9099999999999999E-6"/>
    <n v="1.15E-6"/>
    <n v="7.6700000000000003E-7"/>
    <n v="6.2100000000000005E-5"/>
    <n v="7.6000000000000004E-5"/>
    <n v="4.9100000000000004E-6"/>
    <n v="1.2699999999999999E-16"/>
    <n v="4.7801220465012901E-6"/>
    <n v="1.2951712438353999E-7"/>
    <n v="2.0043240999330001E-5"/>
    <n v="4.50873089065906E-6"/>
    <n v="1.55021180983692E-5"/>
    <n v="1.40869054008012E-7"/>
    <n v="3.4864216545948001E-7"/>
    <n v="2.3177628848072301E-6"/>
    <n v="1.5268235058363101E-15"/>
    <n v="1.5490668300688802E-5"/>
    <n v="5.7697037038655597E-5"/>
    <n v="8.5012886588665105E-5"/>
    <n v="5.8030904490812802E-7"/>
    <n v="3.3570142824601099E-7"/>
  </r>
  <r>
    <x v="0"/>
    <x v="15"/>
    <x v="30"/>
    <n v="7.8800000000000008E-6"/>
    <n v="2.7399999999999999E-5"/>
    <n v="5.3400000000000002E-8"/>
    <n v="2.73E-5"/>
    <n v="5.28E-9"/>
    <n v="6.7000000000000002E-5"/>
    <n v="3.65E-5"/>
    <n v="3.0199999999999999E-5"/>
    <n v="3.8299999999999998E-7"/>
    <n v="3.8000000000000001E-7"/>
    <n v="7.4000000000000003E-6"/>
    <n v="8.3100000000000001E-6"/>
    <n v="3.54E-6"/>
    <n v="7.1100000000000002E-16"/>
    <n v="2.81845363974502E-6"/>
    <n v="7.19397182624442E-7"/>
    <n v="1.3731859666514399E-5"/>
    <n v="1.7532103174605501E-6"/>
    <n v="1.1935801275408E-5"/>
    <n v="1.3500602092699501E-7"/>
    <n v="2.4054173983121699E-6"/>
    <n v="1.9152814518508399E-7"/>
    <n v="6.0482649620070203E-9"/>
    <n v="6.1926238662088798E-6"/>
    <n v="1.18644577753183E-5"/>
    <n v="6.5620789220139801E-5"/>
    <n v="6.1710442066969501E-6"/>
    <n v="3.3607248325225E-6"/>
  </r>
  <r>
    <x v="0"/>
    <x v="16"/>
    <x v="28"/>
    <n v="2.0000000000000002E-5"/>
    <n v="5.49E-5"/>
    <n v="1.7599999999999999E-8"/>
    <n v="5.4799999999999997E-5"/>
    <n v="1.0800000000000001E-8"/>
    <n v="2.4499999999999999E-4"/>
    <n v="4.6999999999999997E-5"/>
    <n v="1.9799999999999999E-4"/>
    <n v="3.15E-7"/>
    <n v="1.8500000000000001E-6"/>
    <n v="1.5099999999999999E-5"/>
    <n v="1.6799999999999998E-5"/>
    <n v="1.0200000000000001E-5"/>
    <n v="0"/>
    <n v="8.9801764093726397E-6"/>
    <n v="1.21351240919152E-6"/>
    <n v="5.13293169490045E-5"/>
    <n v="3.54263151252523E-6"/>
    <n v="4.7716713957601598E-5"/>
    <n v="3.0572623882825802E-7"/>
    <n v="4.5439824767897197E-6"/>
    <n v="4.7181939982076999E-7"/>
    <n v="4.3049357295363997E-8"/>
    <n v="2.4728382858038801E-5"/>
    <n v="2.2981774451669799E-5"/>
    <n v="1.53496336566457E-4"/>
    <n v="4.26084268869257E-5"/>
    <n v="1.15340967030697E-5"/>
  </r>
  <r>
    <x v="0"/>
    <x v="16"/>
    <x v="1"/>
    <n v="1.22E-5"/>
    <n v="1.4399999999999999E-5"/>
    <n v="2.2800000000000002E-6"/>
    <n v="-8.6099999999999999E-7"/>
    <n v="-1.09E-10"/>
    <n v="2.8900000000000001E-5"/>
    <n v="2.1899999999999999E-7"/>
    <n v="-1.3400000000000001E-6"/>
    <n v="3.7300000000000003E-8"/>
    <n v="3.4100000000000002E-5"/>
    <n v="7.9200000000000004E-6"/>
    <n v="8.1899999999999995E-6"/>
    <n v="2.6199999999999999E-6"/>
    <n v="-1.5499999999999999E-15"/>
    <n v="3.5164792577802497E-8"/>
    <n v="-5.3696700915144301E-8"/>
    <n v="5.7891390598597203E-6"/>
    <n v="5.35136888719744E-8"/>
    <n v="2.43319014989386E-7"/>
    <n v="1.1564469596712499E-7"/>
    <n v="6.0655000622897897E-6"/>
    <n v="2.5505445875732901E-5"/>
    <n v="2.03419657460414E-7"/>
    <n v="2.1493467025266501E-5"/>
    <n v="1.0289680593478599E-5"/>
    <n v="2.2707949815024399E-5"/>
    <n v="2.18109986970802E-6"/>
    <n v="1.76382241531415E-3"/>
  </r>
  <r>
    <x v="0"/>
    <x v="16"/>
    <x v="29"/>
    <n v="1.8799999999999999E-3"/>
    <n v="5.2300000000000003E-4"/>
    <n v="0"/>
    <n v="0"/>
    <n v="0"/>
    <n v="6.1200000000000002E-4"/>
    <n v="0"/>
    <n v="0"/>
    <n v="0"/>
    <n v="6.4899999999999995E-4"/>
    <n v="1.07E-3"/>
    <n v="2.6199999999999999E-3"/>
    <n v="2.9200000000000002E-5"/>
    <n v="0"/>
    <n v="0"/>
    <n v="0"/>
    <n v="1.20291406080727E-4"/>
    <n v="0"/>
    <n v="0"/>
    <n v="0"/>
    <n v="1.9060190071973701E-5"/>
    <n v="6.0697338508524301E-4"/>
    <n v="1.0176427191909501E-6"/>
    <n v="1.22295938083991E-3"/>
    <n v="1.05481800646538E-4"/>
    <n v="1.06892677963477E-4"/>
    <n v="2.44323334740835E-5"/>
    <n v="4.7418170907947699E-3"/>
  </r>
  <r>
    <x v="0"/>
    <x v="16"/>
    <x v="2"/>
    <n v="8.0499999999999992E-6"/>
    <n v="9.2399999999999996E-6"/>
    <n v="2.7599999999999999E-8"/>
    <n v="9.1400000000000006E-6"/>
    <n v="7.54E-8"/>
    <n v="1.73E-5"/>
    <n v="1.6699999999999999E-5"/>
    <n v="3.4400000000000001E-7"/>
    <n v="2.0599999999999999E-7"/>
    <n v="1.3799999999999999E-7"/>
    <n v="1.1199999999999999E-5"/>
    <n v="1.3699999999999999E-5"/>
    <n v="8.8400000000000003E-7"/>
    <n v="2.29E-17"/>
    <n v="8.6029016904071302E-7"/>
    <n v="2.33095112939922E-8"/>
    <n v="3.6072307400724201E-6"/>
    <n v="8.1144724388850901E-7"/>
    <n v="2.78995382745435E-6"/>
    <n v="2.5352545626708401E-8"/>
    <n v="6.2745976889311105E-8"/>
    <n v="4.1713341303210702E-7"/>
    <n v="2.7478613289647102E-16"/>
    <n v="2.7878931795700201E-6"/>
    <n v="1.0383875822472701E-5"/>
    <n v="1.52999755785591E-5"/>
    <n v="1.04439627583415E-7"/>
    <n v="6.0417000997779498E-8"/>
  </r>
  <r>
    <x v="0"/>
    <x v="16"/>
    <x v="31"/>
    <n v="1.6199999999999999E-6"/>
    <n v="5.6400000000000002E-6"/>
    <n v="1.0999999999999999E-8"/>
    <n v="5.6200000000000004E-6"/>
    <n v="1.09E-9"/>
    <n v="1.38E-5"/>
    <n v="7.5100000000000001E-6"/>
    <n v="6.2199999999999997E-6"/>
    <n v="7.8800000000000004E-8"/>
    <n v="7.8300000000000006E-8"/>
    <n v="1.5200000000000001E-6"/>
    <n v="1.7099999999999999E-6"/>
    <n v="7.2799999999999995E-7"/>
    <n v="1.4600000000000001E-16"/>
    <n v="5.8026986700632801E-7"/>
    <n v="1.48111184657974E-7"/>
    <n v="2.8271475784000198E-6"/>
    <n v="3.60955065359525E-7"/>
    <n v="2.45737085081929E-6"/>
    <n v="2.7795357249675501E-8"/>
    <n v="4.9523299377015303E-7"/>
    <n v="3.9432265185164202E-8"/>
    <n v="1.2452310215896801E-9"/>
    <n v="1.27495197245477E-6"/>
    <n v="2.4426824831537602E-6"/>
    <n v="1.35101624864994E-5"/>
    <n v="1.27050910137878E-6"/>
    <n v="6.9191393610761801E-7"/>
  </r>
  <r>
    <x v="0"/>
    <x v="16"/>
    <x v="30"/>
    <n v="6.9567480404293403E-7"/>
    <n v="2.41500790022292E-6"/>
    <n v="4.7142850996649E-9"/>
    <n v="2.4098280432666701E-6"/>
    <n v="4.6557185658314099E-10"/>
    <n v="5.9139835242028699E-6"/>
    <n v="3.21659018331894E-6"/>
    <n v="2.66362329563186E-6"/>
    <n v="3.3770045252068001E-8"/>
    <n v="3.3572474739944401E-8"/>
    <n v="6.5288450832462596E-7"/>
    <n v="7.3319875063823598E-7"/>
    <n v="3.12163307918877E-7"/>
    <n v="6.2747890260512902E-17"/>
    <n v="2.4868708585985501E-7"/>
    <n v="6.3476221996274395E-8"/>
    <n v="1.21163467645715E-6"/>
    <n v="1.5469502801122501E-7"/>
    <n v="1.05315893606541E-6"/>
    <n v="1.19122959641467E-8"/>
    <n v="2.1224271161578E-7"/>
    <n v="1.68995422222132E-8"/>
    <n v="5.3367043782414904E-10"/>
    <n v="5.4640798819490105E-7"/>
    <n v="1.0468639213516099E-6"/>
    <n v="5.7900696370711598E-6"/>
    <n v="5.4450390059090797E-7"/>
    <n v="2.96534544046124E-7"/>
  </r>
  <r>
    <x v="0"/>
    <x v="17"/>
    <x v="28"/>
    <n v="1.44E-4"/>
    <n v="3.9500000000000001E-4"/>
    <n v="1.2700000000000001E-7"/>
    <n v="3.9500000000000001E-4"/>
    <n v="7.7799999999999995E-8"/>
    <n v="1.7600000000000001E-3"/>
    <n v="3.3799999999999998E-4"/>
    <n v="1.42E-3"/>
    <n v="2.26E-6"/>
    <n v="1.33E-5"/>
    <n v="1.08E-4"/>
    <n v="1.21E-4"/>
    <n v="7.3399999999999995E-5"/>
    <n v="0"/>
    <n v="6.4599999999999998E-5"/>
    <n v="8.7399999999999993E-6"/>
    <n v="3.6900000000000002E-4"/>
    <n v="2.55E-5"/>
    <n v="3.4299999999999999E-4"/>
    <n v="2.2000000000000001E-6"/>
    <n v="3.2700000000000002E-5"/>
    <n v="3.4000000000000001E-6"/>
    <n v="3.09884216564149E-7"/>
    <n v="1.7800348321778399E-4"/>
    <n v="1.6543078964797E-4"/>
    <n v="1.1049199103254899E-3"/>
    <n v="3.0671024643398598E-4"/>
    <n v="8.3026431639454106E-5"/>
  </r>
  <r>
    <x v="0"/>
    <x v="17"/>
    <x v="1"/>
    <n v="5.3199999999999999E-5"/>
    <n v="6.2700000000000006E-5"/>
    <n v="9.9000000000000001E-6"/>
    <n v="-3.7500000000000001E-6"/>
    <n v="-4.7500000000000001E-10"/>
    <n v="1.26E-4"/>
    <n v="9.5199999999999995E-7"/>
    <n v="-5.8300000000000001E-6"/>
    <n v="1.6199999999999999E-7"/>
    <n v="1.4799999999999999E-4"/>
    <n v="3.4499999999999998E-5"/>
    <n v="3.5599999999999998E-5"/>
    <n v="1.1399999999999999E-5"/>
    <n v="-6.7600000000000002E-15"/>
    <n v="1.5300000000000001E-7"/>
    <n v="-2.34E-7"/>
    <n v="2.5199999999999999E-5"/>
    <n v="2.3300000000000001E-7"/>
    <n v="1.06E-6"/>
    <n v="5.0299999999999999E-7"/>
    <n v="2.6400000000000001E-5"/>
    <n v="1.11E-4"/>
    <n v="8.8487550904103396E-7"/>
    <n v="9.3496581495593404E-5"/>
    <n v="4.4760110496314598E-5"/>
    <n v="9.8779581637904802E-5"/>
    <n v="9.48778438437849E-6"/>
    <n v="7.6726275065835603E-3"/>
  </r>
  <r>
    <x v="0"/>
    <x v="17"/>
    <x v="29"/>
    <n v="4.1099999999999999E-3"/>
    <n v="1.14E-3"/>
    <n v="0"/>
    <n v="0"/>
    <n v="0"/>
    <n v="1.33E-3"/>
    <n v="0"/>
    <n v="0"/>
    <n v="0"/>
    <n v="1.42E-3"/>
    <n v="2.33E-3"/>
    <n v="5.7200000000000003E-3"/>
    <n v="6.3600000000000001E-5"/>
    <n v="0"/>
    <n v="0"/>
    <n v="0"/>
    <n v="2.63E-4"/>
    <n v="0"/>
    <n v="0"/>
    <n v="0"/>
    <n v="4.1600000000000002E-5"/>
    <n v="1.32E-3"/>
    <n v="2.2208225087316199E-6"/>
    <n v="2.6688892565290999E-3"/>
    <n v="2.3019508980874401E-4"/>
    <n v="2.3327407621863801E-4"/>
    <n v="5.3319180785983198E-5"/>
    <n v="1.0348164369413999E-2"/>
  </r>
  <r>
    <x v="0"/>
    <x v="17"/>
    <x v="2"/>
    <n v="3.3899999999999997E-5"/>
    <n v="3.8899999999999997E-5"/>
    <n v="1.1600000000000001E-7"/>
    <n v="3.8500000000000001E-5"/>
    <n v="3.1800000000000002E-7"/>
    <n v="7.2799999999999994E-5"/>
    <n v="7.0500000000000006E-5"/>
    <n v="1.4500000000000001E-6"/>
    <n v="8.6899999999999996E-7"/>
    <n v="5.8100000000000003E-7"/>
    <n v="4.71E-5"/>
    <n v="5.7599999999999997E-5"/>
    <n v="3.72E-6"/>
    <n v="9.6599999999999994E-17"/>
    <n v="3.6200000000000001E-6"/>
    <n v="9.8200000000000006E-8"/>
    <n v="1.52E-5"/>
    <n v="3.4199999999999999E-6"/>
    <n v="1.1800000000000001E-5"/>
    <n v="1.0700000000000001E-7"/>
    <n v="2.6399999999999998E-7"/>
    <n v="1.7600000000000001E-6"/>
    <n v="1.15731652629377E-15"/>
    <n v="1.17417673746793E-5"/>
    <n v="4.3733761124174601E-5"/>
    <n v="6.4438894358722506E-5"/>
    <n v="4.3986829221761598E-7"/>
    <n v="2.54458232614615E-7"/>
  </r>
  <r>
    <x v="0"/>
    <x v="17"/>
    <x v="30"/>
    <n v="5.8000000000000004E-6"/>
    <n v="2.0100000000000001E-5"/>
    <n v="3.9300000000000001E-8"/>
    <n v="2.0100000000000001E-5"/>
    <n v="3.8799999999999998E-9"/>
    <n v="4.9299999999999999E-5"/>
    <n v="2.6800000000000001E-5"/>
    <n v="2.2200000000000001E-5"/>
    <n v="2.8099999999999999E-7"/>
    <n v="2.8000000000000002E-7"/>
    <n v="5.4399999999999996E-6"/>
    <n v="6.1099999999999999E-6"/>
    <n v="2.6000000000000001E-6"/>
    <n v="5.2300000000000002E-16"/>
    <n v="2.0700000000000001E-6"/>
    <n v="5.2900000000000004E-7"/>
    <n v="1.01E-5"/>
    <n v="1.2899999999999999E-6"/>
    <n v="8.7800000000000006E-6"/>
    <n v="9.9299999999999996E-8"/>
    <n v="1.77E-6"/>
    <n v="1.4100000000000001E-7"/>
    <n v="4.44725364853457E-9"/>
    <n v="4.55339990162417E-6"/>
    <n v="8.7238660112634392E-6"/>
    <n v="4.8250580308926299E-5"/>
    <n v="4.5375325049242302E-6"/>
    <n v="2.4711212003844299E-6"/>
  </r>
  <r>
    <x v="0"/>
    <x v="18"/>
    <x v="28"/>
    <n v="1.4100000000000001E-4"/>
    <n v="3.8699999999999997E-4"/>
    <n v="1.24E-7"/>
    <n v="3.8699999999999997E-4"/>
    <n v="7.6300000000000002E-8"/>
    <n v="1.73E-3"/>
    <n v="3.3199999999999999E-4"/>
    <n v="1.39E-3"/>
    <n v="2.2199999999999999E-6"/>
    <n v="1.2999999999999999E-5"/>
    <n v="1.06E-4"/>
    <n v="1.1900000000000001E-4"/>
    <n v="7.1899999999999999E-5"/>
    <n v="0"/>
    <n v="6.3380749203340798E-5"/>
    <n v="8.5647900615666108E-6"/>
    <n v="3.6227468325991598E-4"/>
    <n v="2.5003366212368201E-5"/>
    <n v="3.3677746875861002E-4"/>
    <n v="2.1577703137134898E-6"/>
    <n v="3.2070752356846497E-5"/>
    <n v="3.3300311359251E-6"/>
    <n v="3.03835959754057E-7"/>
    <n v="1.7452924760962899E-4"/>
    <n v="1.6220194530352101E-4"/>
    <n v="1.08335430932028E-3"/>
    <n v="3.0072393852425302E-4"/>
    <n v="8.1405938714230206E-5"/>
  </r>
  <r>
    <x v="0"/>
    <x v="18"/>
    <x v="1"/>
    <n v="5.8699999999999997E-5"/>
    <n v="6.9200000000000002E-5"/>
    <n v="1.0900000000000001E-5"/>
    <n v="-4.1300000000000003E-6"/>
    <n v="-5.2400000000000005E-10"/>
    <n v="1.3899999999999999E-4"/>
    <n v="1.0499999999999999E-6"/>
    <n v="-6.4300000000000003E-6"/>
    <n v="1.79E-7"/>
    <n v="1.64E-4"/>
    <n v="3.8000000000000002E-5"/>
    <n v="3.93E-5"/>
    <n v="1.26E-5"/>
    <n v="-7.4600000000000005E-15"/>
    <n v="1.6879100403587E-7"/>
    <n v="-2.5774416387720399E-7"/>
    <n v="2.7787867452457599E-5"/>
    <n v="2.56865706071746E-7"/>
    <n v="1.1679312696131899E-6"/>
    <n v="5.5509453953201004E-7"/>
    <n v="2.9114400304190301E-5"/>
    <n v="1.22426139062187E-4"/>
    <n v="9.7641435480389892E-7"/>
    <n v="1.0316864165031001E-4"/>
    <n v="4.9390466754554101E-5"/>
    <n v="1.0899815904872301E-4"/>
    <n v="1.04692793206935E-5"/>
    <n v="8.4663475934715193E-3"/>
  </r>
  <r>
    <x v="0"/>
    <x v="18"/>
    <x v="29"/>
    <n v="7.6400000000000001E-3"/>
    <n v="2.1199999999999999E-3"/>
    <n v="0"/>
    <n v="0"/>
    <n v="0"/>
    <n v="2.48E-3"/>
    <n v="0"/>
    <n v="0"/>
    <n v="0"/>
    <n v="2.64E-3"/>
    <n v="4.3299999999999996E-3"/>
    <n v="1.06E-2"/>
    <n v="1.18E-4"/>
    <n v="0"/>
    <n v="0"/>
    <n v="0"/>
    <n v="4.8847615176427698E-4"/>
    <n v="0"/>
    <n v="0"/>
    <n v="0"/>
    <n v="7.7399114380666595E-5"/>
    <n v="2.4647814256223998E-3"/>
    <n v="4.1324165668803601E-6"/>
    <n v="4.9661610216427503E-3"/>
    <n v="4.2833769875804198E-4"/>
    <n v="4.3406695195113699E-4"/>
    <n v="9.9214171842272605E-5"/>
    <n v="1.9255445092453902E-2"/>
  </r>
  <r>
    <x v="0"/>
    <x v="18"/>
    <x v="2"/>
    <n v="4.0399999999999999E-5"/>
    <n v="4.6400000000000003E-5"/>
    <n v="1.3899999999999999E-7"/>
    <n v="4.5800000000000002E-5"/>
    <n v="3.7800000000000002E-7"/>
    <n v="8.6799999999999996E-5"/>
    <n v="8.3999999999999995E-5"/>
    <n v="1.73E-6"/>
    <n v="1.04E-6"/>
    <n v="6.9299999999999997E-7"/>
    <n v="5.6100000000000002E-5"/>
    <n v="6.86E-5"/>
    <n v="4.4299999999999999E-6"/>
    <n v="1.15E-16"/>
    <n v="4.31702712960124E-6"/>
    <n v="1.16969594975284E-7"/>
    <n v="1.810146567755E-5"/>
    <n v="4.0719281611842601E-6"/>
    <n v="1.40002836216128E-5"/>
    <n v="1.27221757511184E-7"/>
    <n v="3.1486595366599998E-7"/>
    <n v="2.09321961999257E-6"/>
    <n v="1.37890590087185E-15"/>
    <n v="1.3989943072410599E-5"/>
    <n v="5.2107388006084999E-5"/>
    <n v="7.6776896949231805E-5"/>
    <n v="5.2408910610452002E-7"/>
    <n v="3.0317890612115302E-7"/>
  </r>
  <r>
    <x v="0"/>
    <x v="18"/>
    <x v="31"/>
    <n v="1.1599999999999999E-6"/>
    <n v="4.0300000000000004E-6"/>
    <n v="7.8600000000000006E-9"/>
    <n v="4.0199999999999996E-6"/>
    <n v="7.7600000000000001E-10"/>
    <n v="9.8600000000000005E-6"/>
    <n v="5.3600000000000004E-6"/>
    <n v="4.4399999999999998E-6"/>
    <n v="5.6300000000000001E-8"/>
    <n v="5.5999999999999999E-8"/>
    <n v="1.0899999999999999E-6"/>
    <n v="1.22E-6"/>
    <n v="5.2E-7"/>
    <n v="1.0500000000000001E-16"/>
    <n v="4.1447847643309199E-7"/>
    <n v="1.05793703327124E-7"/>
    <n v="2.01939112742859E-6"/>
    <n v="2.5782504668537502E-7"/>
    <n v="1.75526489344235E-6"/>
    <n v="1.9853826606911099E-8"/>
    <n v="3.53737852692966E-7"/>
    <n v="2.8165903703688699E-8"/>
    <n v="8.89450729706914E-10"/>
    <n v="9.1067998032483505E-7"/>
    <n v="1.74477320225269E-6"/>
    <n v="9.6501160617852595E-6"/>
    <n v="9.0750650098484602E-7"/>
    <n v="4.9422424007686804E-7"/>
  </r>
  <r>
    <x v="0"/>
    <x v="18"/>
    <x v="30"/>
    <n v="1.86E-6"/>
    <n v="6.4400000000000002E-6"/>
    <n v="1.26E-8"/>
    <n v="6.4300000000000003E-6"/>
    <n v="1.2400000000000001E-9"/>
    <n v="1.5800000000000001E-5"/>
    <n v="8.5799999999999992E-6"/>
    <n v="7.0999999999999998E-6"/>
    <n v="9.0100000000000006E-8"/>
    <n v="8.9500000000000001E-8"/>
    <n v="1.7400000000000001E-6"/>
    <n v="1.9599999999999999E-6"/>
    <n v="8.3200000000000004E-7"/>
    <n v="1.67E-16"/>
    <n v="6.6316556229294695E-7"/>
    <n v="1.69269925323398E-7"/>
    <n v="3.23102580388574E-6"/>
    <n v="4.125200746966E-7"/>
    <n v="2.8084238295077598E-6"/>
    <n v="3.1766122571057801E-8"/>
    <n v="5.6598056430874602E-7"/>
    <n v="4.5065445925902302E-8"/>
    <n v="1.42312116753106E-9"/>
    <n v="1.45708796851974E-6"/>
    <n v="2.7916371236043002E-6"/>
    <n v="1.5440185698856399E-5"/>
    <n v="1.4520104015757501E-6"/>
    <n v="7.9075878412292005E-7"/>
  </r>
  <r>
    <x v="0"/>
    <x v="19"/>
    <x v="28"/>
    <n v="1.8032929712351401E-4"/>
    <n v="4.9469494086293796E-4"/>
    <n v="1.5867012675641801E-7"/>
    <n v="4.9443879117531703E-4"/>
    <n v="9.7479560864853106E-8"/>
    <n v="2.20816922084095E-3"/>
    <n v="4.2356632280126798E-4"/>
    <n v="1.7817663461976599E-3"/>
    <n v="2.8365518420235002E-6"/>
    <n v="1.6667157773702101E-5"/>
    <n v="1.3585358475305499E-4"/>
    <n v="1.51818879501617E-4"/>
    <n v="9.1911690091351205E-5"/>
    <n v="0"/>
    <n v="8.0970020352277296E-5"/>
    <n v="1.0941669739074E-5"/>
    <n v="4.6281227100300801E-4"/>
    <n v="3.1942239505496097E-5"/>
    <n v="4.3023913163424301E-4"/>
    <n v="2.75658947571595E-6"/>
    <n v="4.0970949439484202E-5"/>
    <n v="4.25417326615256E-6"/>
    <n v="3.88155775282993E-7"/>
    <n v="2.22964179323309E-4"/>
    <n v="2.07215834105551E-4"/>
    <n v="1.38400415862814E-3"/>
    <n v="3.84180113501124E-4"/>
    <n v="1.0399751655412899E-4"/>
  </r>
  <r>
    <x v="0"/>
    <x v="19"/>
    <x v="1"/>
    <n v="5.8699999999999997E-5"/>
    <n v="6.9200000000000002E-5"/>
    <n v="1.0900000000000001E-5"/>
    <n v="-4.1300000000000003E-6"/>
    <n v="-5.2400000000000005E-10"/>
    <n v="1.3899999999999999E-4"/>
    <n v="1.0499999999999999E-6"/>
    <n v="-6.4300000000000003E-6"/>
    <n v="1.79E-7"/>
    <n v="1.64E-4"/>
    <n v="3.8000000000000002E-5"/>
    <n v="3.93E-5"/>
    <n v="1.26E-5"/>
    <n v="-7.4600000000000005E-15"/>
    <n v="1.6879100403587E-7"/>
    <n v="-2.5774416387720399E-7"/>
    <n v="2.7787867452457599E-5"/>
    <n v="2.56865706071746E-7"/>
    <n v="1.1679312696131899E-6"/>
    <n v="5.5509453953201004E-7"/>
    <n v="2.9114400304190301E-5"/>
    <n v="1.22426139062187E-4"/>
    <n v="9.7641435480389892E-7"/>
    <n v="1.0316864165031001E-4"/>
    <n v="4.9390466754554101E-5"/>
    <n v="1.0899815904872301E-4"/>
    <n v="1.04692793206935E-5"/>
    <n v="8.4663475934715193E-3"/>
  </r>
  <r>
    <x v="0"/>
    <x v="19"/>
    <x v="29"/>
    <n v="7.43E-3"/>
    <n v="2.0699999999999998E-3"/>
    <n v="0"/>
    <n v="0"/>
    <n v="0"/>
    <n v="2.4199999999999998E-3"/>
    <n v="0"/>
    <n v="0"/>
    <n v="0"/>
    <n v="2.5600000000000002E-3"/>
    <n v="4.2100000000000002E-3"/>
    <n v="1.03E-2"/>
    <n v="1.15E-4"/>
    <n v="0"/>
    <n v="0"/>
    <n v="0"/>
    <n v="4.75184283689058E-4"/>
    <n v="0"/>
    <n v="0"/>
    <n v="0"/>
    <n v="7.5293016030172306E-5"/>
    <n v="2.3977125432925401E-3"/>
    <n v="4.01996985757749E-6"/>
    <n v="4.8310273884007698E-3"/>
    <n v="4.1668225117278898E-4"/>
    <n v="4.22255606319813E-4"/>
    <n v="9.6514466486020294E-5"/>
    <n v="1.87314874028633E-2"/>
  </r>
  <r>
    <x v="0"/>
    <x v="19"/>
    <x v="2"/>
    <n v="4.4299999999999999E-5"/>
    <n v="5.0800000000000002E-5"/>
    <n v="1.5200000000000001E-7"/>
    <n v="5.0300000000000003E-5"/>
    <n v="4.15E-7"/>
    <n v="9.5099999999999994E-5"/>
    <n v="9.2100000000000003E-5"/>
    <n v="1.8899999999999999E-6"/>
    <n v="1.13E-6"/>
    <n v="7.6000000000000003E-7"/>
    <n v="6.1500000000000004E-5"/>
    <n v="7.5300000000000001E-5"/>
    <n v="4.8600000000000001E-6"/>
    <n v="1.26E-16"/>
    <n v="4.7339922811697202E-6"/>
    <n v="1.2826724111777601E-7"/>
    <n v="1.98498170668888E-5"/>
    <n v="4.4652201401162898E-6"/>
    <n v="1.5352517510128299E-5"/>
    <n v="1.3950962085114901E-7"/>
    <n v="3.4527765277112502E-7"/>
    <n v="2.2953957031892101E-6"/>
    <n v="1.51208915191359E-15"/>
    <n v="1.5341178206798301E-5"/>
    <n v="5.7140241468787699E-5"/>
    <n v="8.4192483998449903E-5"/>
    <n v="5.7470886989146805E-7"/>
    <n v="3.3246179796965199E-7"/>
  </r>
  <r>
    <x v="0"/>
    <x v="19"/>
    <x v="31"/>
    <n v="1.39E-6"/>
    <n v="4.8300000000000003E-6"/>
    <n v="9.4300000000000007E-9"/>
    <n v="4.8199999999999996E-6"/>
    <n v="9.3099999999999999E-10"/>
    <n v="1.1800000000000001E-5"/>
    <n v="6.4300000000000003E-6"/>
    <n v="5.3299999999999998E-6"/>
    <n v="6.7500000000000002E-8"/>
    <n v="6.7099999999999999E-8"/>
    <n v="1.31E-6"/>
    <n v="1.4699999999999999E-6"/>
    <n v="6.2399999999999998E-7"/>
    <n v="1.2500000000000001E-16"/>
    <n v="4.9737417171971003E-7"/>
    <n v="1.26952443992549E-7"/>
    <n v="2.4232693529143E-6"/>
    <n v="3.0939005602245001E-7"/>
    <n v="2.1063178721308201E-6"/>
    <n v="2.38245919282933E-8"/>
    <n v="4.2448542323155999E-7"/>
    <n v="3.3799084444426498E-8"/>
    <n v="1.0673408756482999E-9"/>
    <n v="1.0928159763898E-6"/>
    <n v="2.09372784270323E-6"/>
    <n v="1.1580139274142299E-5"/>
    <n v="1.08900780118182E-6"/>
    <n v="5.9306908809224801E-7"/>
  </r>
  <r>
    <x v="0"/>
    <x v="19"/>
    <x v="30"/>
    <n v="5.1000000000000003E-6"/>
    <n v="1.77E-5"/>
    <n v="3.4599999999999999E-8"/>
    <n v="1.77E-5"/>
    <n v="3.41E-9"/>
    <n v="4.3399999999999998E-5"/>
    <n v="2.3600000000000001E-5"/>
    <n v="1.95E-5"/>
    <n v="2.48E-7"/>
    <n v="2.4600000000000001E-7"/>
    <n v="4.7899999999999999E-6"/>
    <n v="5.3800000000000002E-6"/>
    <n v="2.2900000000000001E-6"/>
    <n v="4.5999999999999998E-16"/>
    <n v="1.8237052963055999E-6"/>
    <n v="4.65492294639345E-7"/>
    <n v="8.8853209606857808E-6"/>
    <n v="1.1344302054156499E-6"/>
    <n v="7.7231655311463296E-6"/>
    <n v="8.7356837070408803E-8"/>
    <n v="1.55644655184905E-6"/>
    <n v="1.2392997629622999E-7"/>
    <n v="3.9135832107104196E-9"/>
    <n v="4.0069919134292701E-6"/>
    <n v="7.6770020899118308E-6"/>
    <n v="4.2460510671855202E-5"/>
    <n v="3.9930286043333199E-6"/>
    <n v="2.1745866563380299E-6"/>
  </r>
  <r>
    <x v="0"/>
    <x v="20"/>
    <x v="32"/>
    <n v="3.1E-6"/>
    <n v="8.0600000000000008E-6"/>
    <n v="3.2799999999999998E-9"/>
    <n v="8.0499999999999992E-6"/>
    <n v="2.2900000000000002E-9"/>
    <n v="2.6000000000000001E-6"/>
    <n v="1.9099999999999999E-6"/>
    <n v="6.75E-7"/>
    <n v="1.33E-8"/>
    <n v="1.6700000000000001E-8"/>
    <n v="2.0200000000000001E-6"/>
    <n v="2.3499999999999999E-6"/>
    <n v="3.3299999999999998E-7"/>
    <n v="2.55E-16"/>
    <n v="1.1887572453588299E-7"/>
    <n v="2.1374942384651799E-7"/>
    <n v="3.0382280453863698E-6"/>
    <n v="2.46690350276898E-6"/>
    <n v="5.6957151933797995E-7"/>
    <n v="3.1338723946764699E-8"/>
    <n v="5.1237844317459096E-7"/>
    <n v="4.2846201148550699E-8"/>
    <n v="1.0211014740143001E-15"/>
    <n v="3.53805957182696E-6"/>
    <n v="3.2547720681484201E-6"/>
    <n v="1.1008474301573599E-5"/>
    <n v="3.4686892022490899E-7"/>
    <n v="1.9237879752372198E-6"/>
  </r>
  <r>
    <x v="0"/>
    <x v="20"/>
    <x v="19"/>
    <n v="1.12E-4"/>
    <n v="1.73E-4"/>
    <n v="2.1400000000000001E-7"/>
    <n v="1.65E-4"/>
    <n v="7.6799999999999999E-8"/>
    <n v="1.4899999999999999E-4"/>
    <n v="8.7200000000000005E-5"/>
    <n v="4.0299999999999997E-5"/>
    <n v="3.8299999999999998E-6"/>
    <n v="3.3699999999999999E-6"/>
    <n v="5.0399999999999999E-5"/>
    <n v="6.0600000000000003E-5"/>
    <n v="3.7200000000000003E-5"/>
    <n v="2.2800000000000001E-14"/>
    <n v="8.58977968978457E-6"/>
    <n v="2.6565447570112601E-5"/>
    <n v="6.52367298008233E-5"/>
    <n v="9.2717227219221896E-6"/>
    <n v="5.2517824180548298E-5"/>
    <n v="6.3094607430724598E-7"/>
    <n v="5.4569365191645599E-5"/>
    <n v="3.2458411028305299E-6"/>
    <n v="2.6525449004560701E-7"/>
    <n v="1.0871841641545299E-4"/>
    <n v="7.4640760875718906E-5"/>
    <n v="2.9491021836548602E-4"/>
    <n v="3.1961166014980101E-4"/>
    <n v="4.2557280044161803E-5"/>
  </r>
  <r>
    <x v="0"/>
    <x v="20"/>
    <x v="21"/>
    <n v="1.74E-4"/>
    <n v="2.7E-4"/>
    <n v="3.1899999999999998E-7"/>
    <n v="2.6899999999999998E-4"/>
    <n v="1.04E-7"/>
    <n v="2.0599999999999999E-4"/>
    <n v="1.4300000000000001E-4"/>
    <n v="5.6199999999999997E-5"/>
    <n v="6.9800000000000001E-6"/>
    <n v="5.7400000000000003E-7"/>
    <n v="7.1000000000000005E-5"/>
    <n v="8.5500000000000005E-5"/>
    <n v="6.2799999999999995E-5"/>
    <n v="3.4300000000000003E-14"/>
    <n v="1.45251470050197E-5"/>
    <n v="4.8301995836661997E-5"/>
    <n v="1.0018048548294199E-4"/>
    <n v="1.385537095968E-5"/>
    <n v="8.6117421033531094E-5"/>
    <n v="9.8247982766676306E-7"/>
    <n v="7.2451848932079501E-5"/>
    <n v="2.6318399164423798E-6"/>
    <n v="1.2757351542459601E-12"/>
    <n v="1.8490552893817E-4"/>
    <n v="1.05345385707377E-4"/>
    <n v="4.13737277467641E-4"/>
    <n v="5.3303590432630001E-5"/>
    <n v="2.8300080458315601E-5"/>
  </r>
  <r>
    <x v="0"/>
    <x v="20"/>
    <x v="3"/>
    <n v="2.1399999999999998E-6"/>
    <n v="5.57E-6"/>
    <n v="2.2699999999999998E-9"/>
    <n v="5.5600000000000001E-6"/>
    <n v="1.5799999999999999E-9"/>
    <n v="1.79E-6"/>
    <n v="1.3200000000000001E-6"/>
    <n v="4.6600000000000002E-7"/>
    <n v="9.1800000000000001E-9"/>
    <n v="1.16E-8"/>
    <n v="1.3999999999999999E-6"/>
    <n v="1.6300000000000001E-6"/>
    <n v="2.2999999999999999E-7"/>
    <n v="1.76E-16"/>
    <n v="8.2123673263007694E-8"/>
    <n v="1.4766587469949599E-7"/>
    <n v="2.0989184147727401E-6"/>
    <n v="1.7042266452947301E-6"/>
    <n v="3.9348071725028898E-7"/>
    <n v="2.16499300923867E-8"/>
    <n v="3.5396966048839499E-7"/>
    <n v="2.9599713797096899E-8"/>
    <n v="7.0541402921177099E-16"/>
    <n v="2.4442202089297701E-6"/>
    <n v="2.24851490002486E-6"/>
    <n v="7.6050543556834598E-6"/>
    <n v="2.3962966350664802E-7"/>
    <n v="1.32902268922023E-6"/>
  </r>
  <r>
    <x v="0"/>
    <x v="20"/>
    <x v="33"/>
    <n v="4.6100000000000002E-5"/>
    <n v="4.3999999999999999E-5"/>
    <n v="0"/>
    <n v="4.3999999999999999E-5"/>
    <n v="0"/>
    <n v="3.96E-5"/>
    <n v="3.7400000000000001E-5"/>
    <n v="1.4500000000000001E-6"/>
    <n v="6.99E-7"/>
    <n v="2.4600000000000002E-6"/>
    <n v="1.6900000000000001E-5"/>
    <n v="2.02E-5"/>
    <n v="6.4400000000000004E-3"/>
    <n v="0"/>
    <n v="2.4672223043845799E-6"/>
    <n v="6.4415591721880602E-3"/>
    <n v="3.1455128915948198E-5"/>
    <n v="1.1383081159051501E-5"/>
    <n v="2.0004917122211901E-5"/>
    <n v="6.7409170002919902E-7"/>
    <n v="0"/>
    <n v="0"/>
    <n v="0"/>
    <n v="4.0970813854310898E-5"/>
    <n v="2.4949900992478899E-5"/>
    <n v="1.43494479996871E-4"/>
    <n v="5.92134282132735E-7"/>
    <n v="3.9887373170694899E-5"/>
  </r>
  <r>
    <x v="0"/>
    <x v="20"/>
    <x v="23"/>
    <n v="8.6777410223253399E-7"/>
    <n v="2.69534072999387E-6"/>
    <n v="3.6330038305444001E-10"/>
    <n v="2.6949027394642301E-6"/>
    <n v="7.4690146580844206E-11"/>
    <n v="1.2935320439556201E-5"/>
    <n v="2.6266359417123699E-7"/>
    <n v="1.26023413901632E-5"/>
    <n v="7.0315455221820393E-8"/>
    <n v="4.12719552731943E-7"/>
    <n v="7.2377773749208102E-7"/>
    <n v="8.5080683621724605E-7"/>
    <n v="3.8755960324265E-7"/>
    <n v="5.7771842245322397E-13"/>
    <n v="3.6684014608353499E-7"/>
    <n v="2.0718879440691999E-8"/>
    <n v="2.3617116884100201E-6"/>
    <n v="7.9467553156123896E-8"/>
    <n v="2.27648562464307E-6"/>
    <n v="1.84939861629958E-8"/>
    <n v="7.8575155122045501E-7"/>
    <n v="3.3175726212565302E-9"/>
    <n v="5.2872479462383204E-15"/>
    <n v="4.5013118830710603E-7"/>
    <n v="9.4519824945446703E-7"/>
    <n v="5.6679815443656003E-6"/>
    <n v="-6.4857157361377803E-9"/>
    <n v="-9.9596645133774704E-8"/>
  </r>
  <r>
    <x v="0"/>
    <x v="20"/>
    <x v="28"/>
    <n v="2.6446093070359498E-6"/>
    <n v="7.2549212225545397E-6"/>
    <n v="2.3269679450987001E-9"/>
    <n v="7.25116467351518E-6"/>
    <n v="1.4295810942599899E-9"/>
    <n v="3.2383783257062499E-5"/>
    <n v="6.21178841871703E-6"/>
    <n v="2.61303955446036E-5"/>
    <n v="4.1599293741866202E-8"/>
    <n v="2.4443127807445902E-7"/>
    <n v="1.9923532136103399E-6"/>
    <n v="2.22649135841052E-6"/>
    <n v="1.3479257941902999E-6"/>
    <n v="0"/>
    <n v="1.1874613433881199E-6"/>
    <n v="1.6046445080218501E-7"/>
    <n v="6.7873476957361404E-6"/>
    <n v="4.6844714215209699E-7"/>
    <n v="6.3096481266250104E-6"/>
    <n v="4.0426610092992799E-8"/>
    <n v="6.0085718701351701E-7"/>
    <n v="6.2389342125060497E-8"/>
    <n v="5.6924769977340798E-9"/>
    <n v="3.2698688076745502E-6"/>
    <n v="3.0389123241877398E-6"/>
    <n v="2.02970362401927E-5"/>
    <n v="5.6341721503372904E-6"/>
    <n v="1.5251698119761899E-6"/>
  </r>
  <r>
    <x v="0"/>
    <x v="20"/>
    <x v="27"/>
    <n v="1.3107124527670099E-4"/>
    <n v="3.3991604932999799E-4"/>
    <n v="2.2165273554545502E-6"/>
    <n v="3.0204157456064599E-4"/>
    <n v="6.8816518459221897E-9"/>
    <n v="7.68905504984407E-4"/>
    <n v="6.1790076647768298E-4"/>
    <n v="1.5892326769830198E-5"/>
    <n v="6.5810778748463498E-6"/>
    <n v="8.42447014142636E-5"/>
    <n v="8.83376967170679E-5"/>
    <n v="9.7807083532675399E-5"/>
    <n v="6.1912707962748903E-5"/>
    <n v="0"/>
    <n v="3.3487766395077602E-5"/>
    <n v="1.50703043753069E-5"/>
    <n v="2.28467382664899E-4"/>
    <n v="2.8611833847764699E-5"/>
    <n v="1.88685389066601E-4"/>
    <n v="1.8437207133268699E-6"/>
    <n v="2.3997893211804899E-4"/>
    <n v="5.35665864447854E-6"/>
    <n v="6.2755477725840603E-7"/>
    <n v="1.04777784409739E-4"/>
    <n v="1.5697606736361601E-4"/>
    <n v="1.2911293081050801E-3"/>
    <n v="2.8145104203170499E-5"/>
    <n v="3.44851117834099E-4"/>
  </r>
  <r>
    <x v="0"/>
    <x v="20"/>
    <x v="4"/>
    <n v="1.83826168530672E-6"/>
    <n v="5.2645457796929902E-6"/>
    <n v="6.9865737449747603E-10"/>
    <n v="5.26370211640278E-6"/>
    <n v="1.4500591571277E-10"/>
    <n v="1.0371607684631101E-4"/>
    <n v="1.9680595189114E-6"/>
    <n v="3.8133131746637202E-5"/>
    <n v="6.3614885580762196E-5"/>
    <n v="9.3287302817747097E-7"/>
    <n v="1.59695687905238E-6"/>
    <n v="1.5402083101425501E-6"/>
    <n v="3.59925434425118E-6"/>
    <n v="7.2997625410542202E-13"/>
    <n v="3.4773822514257002E-6"/>
    <n v="1.21871362849225E-7"/>
    <n v="2.6629637505107499E-5"/>
    <n v="2.36173784382368E-7"/>
    <n v="2.5675443361254201E-5"/>
    <n v="7.4496782013896996E-7"/>
    <n v="2.6371065845975401E-6"/>
    <n v="6.4540855591307201E-9"/>
    <n v="3.2741547508556102E-14"/>
    <n v="1.3150965055312E-6"/>
    <n v="2.1485406739801199E-6"/>
    <n v="1.2157200993345999E-5"/>
    <n v="3.2952432907210599E-7"/>
    <n v="2.68854798597261E-5"/>
  </r>
  <r>
    <x v="0"/>
    <x v="20"/>
    <x v="1"/>
    <n v="1.7489872997041401E-6"/>
    <n v="1.9658986913797301E-6"/>
    <n v="1.69914847629014E-6"/>
    <n v="-5.0062097139020199E-8"/>
    <n v="6.6129437300141398E-9"/>
    <n v="1.6382185308148901E-6"/>
    <n v="2.10858986005675E-6"/>
    <n v="-1.1991265473231301E-6"/>
    <n v="3.1858778569250798E-8"/>
    <n v="8.8362583133614703E-7"/>
    <n v="1.80681171746087E-6"/>
    <n v="2.0074376948478001E-6"/>
    <n v="3.8809031443019501E-7"/>
    <n v="-1.9873230565051501E-15"/>
    <n v="1.8677898088022E-7"/>
    <n v="1.41375960153266E-7"/>
    <n v="2.0429463441376801E-6"/>
    <n v="6.5323209226136303E-7"/>
    <n v="1.1733126648338E-6"/>
    <n v="9.0914983744078496E-8"/>
    <n v="-3.0590493149140602E-6"/>
    <n v="2.50204461749856E-5"/>
    <n v="4.8234882064892399E-9"/>
    <n v="2.0668009732699298E-6"/>
    <n v="2.4612389369792502E-6"/>
    <n v="-9.8150841120463592E-7"/>
    <n v="5.9685901137597294E-8"/>
    <n v="4.4743351115467798E-5"/>
  </r>
  <r>
    <x v="0"/>
    <x v="20"/>
    <x v="2"/>
    <n v="1.3741199868162999E-5"/>
    <n v="1.5777996174676299E-5"/>
    <n v="4.7179647291843097E-8"/>
    <n v="1.5602064788419899E-5"/>
    <n v="1.2875173896452699E-7"/>
    <n v="2.95298378758264E-5"/>
    <n v="2.85899101965871E-5"/>
    <n v="5.8768738040735198E-7"/>
    <n v="3.5224029883189102E-7"/>
    <n v="2.3576781614730601E-7"/>
    <n v="1.9090582047738899E-5"/>
    <n v="2.3361947321857601E-5"/>
    <n v="1.5090050004407301E-6"/>
    <n v="3.9172123822956898E-17"/>
    <n v="1.46919718937312E-6"/>
    <n v="3.9807811028436502E-8"/>
    <n v="6.1604019846516596E-6"/>
    <n v="1.3857836029614601E-6"/>
    <n v="4.7646625165406504E-6"/>
    <n v="4.3296889954871698E-8"/>
    <n v="1.0715711536380899E-7"/>
    <n v="7.1237735833220503E-7"/>
    <n v="4.6927772588680895E-16"/>
    <n v="4.7611433573210201E-6"/>
    <n v="1.7733506347268701E-5"/>
    <n v="2.6129185159190901E-5"/>
    <n v="1.7836122372039801E-7"/>
    <n v="1.03179707557588E-7"/>
  </r>
  <r>
    <x v="0"/>
    <x v="21"/>
    <x v="3"/>
    <n v="3.3800000000000002E-5"/>
    <n v="1.22E-4"/>
    <n v="-2.9900000000000003E-8"/>
    <n v="1.22E-4"/>
    <n v="8.1699999999999997E-9"/>
    <n v="2.1699999999999999E-5"/>
    <n v="1.3200000000000001E-5"/>
    <n v="8.3299999999999999E-6"/>
    <n v="1.31E-7"/>
    <n v="1.5800000000000001E-7"/>
    <n v="1.9300000000000002E-5"/>
    <n v="2.1800000000000001E-5"/>
    <n v="2.76E-5"/>
    <n v="2.4600000000000001E-15"/>
    <n v="6.0121382810211997E-8"/>
    <n v="2.7562169961207598E-5"/>
    <n v="5.0913194149988802E-5"/>
    <n v="5.7013884105445501E-5"/>
    <n v="-6.1465879079814097E-6"/>
    <n v="4.94091546313669E-7"/>
    <n v="3.5666655803587102E-6"/>
    <n v="-1.8569786079266099E-8"/>
    <n v="4.2608920091865503E-14"/>
    <n v="5.5433661495982301E-5"/>
    <n v="3.8966823285981902E-5"/>
    <n v="1.5481324771217099E-4"/>
    <n v="3.3340190606405702E-5"/>
    <n v="2.02599942883815E-4"/>
  </r>
  <r>
    <x v="0"/>
    <x v="21"/>
    <x v="34"/>
    <n v="1.0300000000000001E-3"/>
    <n v="2.7100000000000002E-3"/>
    <n v="4.7700000000000001E-6"/>
    <n v="2.63E-3"/>
    <n v="3.9999999999999998E-7"/>
    <n v="1.4800000000000001E-2"/>
    <n v="7.2700000000000004E-3"/>
    <n v="7.2500000000000004E-3"/>
    <n v="6.3499999999999999E-5"/>
    <n v="9.01E-4"/>
    <n v="8.5599999999999999E-4"/>
    <n v="9.1399999999999999E-4"/>
    <n v="4.7699999999999999E-4"/>
    <n v="4.9199999999999996E-10"/>
    <n v="3.76883317931E-4"/>
    <n v="7.0813539677564994E-5"/>
    <n v="2.9691943037810599E-3"/>
    <n v="5.7384967237104304E-4"/>
    <n v="2.35236739228954E-3"/>
    <n v="2.64507487151046E-5"/>
    <n v="1.54758703902777E-3"/>
    <n v="1.4706995169613899E-3"/>
    <n v="1.04167620241902E-5"/>
    <n v="1.24524470935948E-3"/>
    <n v="1.26891770273596E-3"/>
    <n v="7.0051954688055496E-3"/>
    <n v="1.20520274227921E-4"/>
    <n v="1.23130246794383E-3"/>
  </r>
  <r>
    <x v="0"/>
    <x v="21"/>
    <x v="1"/>
    <n v="3.97E-4"/>
    <n v="7.4200000000000004E-4"/>
    <n v="5.5999999999999995E-4"/>
    <n v="-8.6300000000000005E-4"/>
    <n v="-2.3199999999999998E-6"/>
    <n v="1.1999999999999999E-3"/>
    <n v="-5.7399999999999997E-4"/>
    <n v="-8.2100000000000001E-4"/>
    <n v="-4.6E-6"/>
    <n v="2.0100000000000001E-3"/>
    <n v="9.8300000000000004E-5"/>
    <n v="1.35E-4"/>
    <n v="5.0699999999999996E-4"/>
    <n v="-6.5800000000000002E-13"/>
    <n v="-5.4728038528054799E-5"/>
    <n v="-9.2238840167143898E-5"/>
    <n v="1.05446008603927E-4"/>
    <n v="-2.1652100367624199E-4"/>
    <n v="-3.6508098996870802E-4"/>
    <n v="2.4923090901426901E-5"/>
    <n v="-7.9028418478319898E-4"/>
    <n v="-7.6741634878286199E-3"/>
    <n v="1.3428746289965E-5"/>
    <n v="8.4563754750340003E-4"/>
    <n v="6.9897627395771103E-4"/>
    <n v="-2.2381961841740501E-4"/>
    <n v="2.5576391059887598E-4"/>
    <n v="0.112611719084648"/>
  </r>
  <r>
    <x v="0"/>
    <x v="21"/>
    <x v="35"/>
    <n v="2.33E-4"/>
    <n v="5.9500000000000004E-4"/>
    <n v="5.91E-8"/>
    <n v="5.9500000000000004E-4"/>
    <n v="1.2100000000000001E-8"/>
    <n v="3.64E-3"/>
    <n v="3.4399999999999999E-3"/>
    <n v="1.9000000000000001E-4"/>
    <n v="4.3900000000000003E-6"/>
    <n v="5.6199999999999997E-5"/>
    <n v="1.37E-4"/>
    <n v="1.65E-4"/>
    <n v="1.49E-5"/>
    <n v="4.9499999999999997E-14"/>
    <n v="1.2438788357573701E-5"/>
    <n v="2.45518266471415E-6"/>
    <n v="3.6932167078350999E-4"/>
    <n v="2.7452205098949802E-4"/>
    <n v="9.4648886418688605E-5"/>
    <n v="1.09684657053735E-5"/>
    <n v="9.3239995410397398E-5"/>
    <n v="5.3965847972439003E-7"/>
    <n v="5.0820103279859102E-14"/>
    <n v="5.0072112226083295E-4"/>
    <n v="1.9785530413652999E-4"/>
    <n v="1.06783987234714E-3"/>
    <n v="1.05235087634556E-5"/>
    <n v="6.6160021418156401E-4"/>
  </r>
  <r>
    <x v="0"/>
    <x v="21"/>
    <x v="2"/>
    <n v="8.1299999999999997E-5"/>
    <n v="9.3399999999999993E-5"/>
    <n v="2.79E-7"/>
    <n v="9.2299999999999994E-5"/>
    <n v="7.6199999999999997E-7"/>
    <n v="1.75E-4"/>
    <n v="1.6899999999999999E-4"/>
    <n v="3.4800000000000001E-6"/>
    <n v="2.08E-6"/>
    <n v="1.3999999999999999E-6"/>
    <n v="1.13E-4"/>
    <n v="1.3799999999999999E-4"/>
    <n v="8.9299999999999992E-6"/>
    <n v="2.3200000000000002E-16"/>
    <n v="8.6934837750582208E-6"/>
    <n v="2.3554942917087699E-7"/>
    <n v="3.6452121668063302E-5"/>
    <n v="8.1999117308599706E-6"/>
    <n v="2.81932994296348E-5"/>
    <n v="2.56194888647834E-7"/>
    <n v="6.3406644835387898E-7"/>
    <n v="4.2152551414982696E-6"/>
    <n v="2.77679424212205E-15"/>
    <n v="2.81724759800672E-5"/>
    <n v="1.04932102252831E-4"/>
    <n v="1.5461072814455901E-4"/>
    <n v="1.0553929831395899E-6"/>
    <n v="6.1053146579318401E-7"/>
  </r>
  <r>
    <x v="0"/>
    <x v="22"/>
    <x v="21"/>
    <n v="2.9299999999999999E-3"/>
    <n v="4.5500000000000002E-3"/>
    <n v="5.4099999999999999E-6"/>
    <n v="4.5399999999999998E-3"/>
    <n v="1.7600000000000001E-6"/>
    <n v="3.5200000000000001E-3"/>
    <n v="2.4499999999999999E-3"/>
    <n v="9.4700000000000003E-4"/>
    <n v="1.18E-4"/>
    <n v="9.7599999999999997E-6"/>
    <n v="1.1999999999999999E-3"/>
    <n v="1.4400000000000001E-3"/>
    <n v="1.06E-3"/>
    <n v="5.7699999999999996E-13"/>
    <n v="2.4597409658609902E-4"/>
    <n v="8.1339265244733099E-4"/>
    <n v="1.69755508149076E-3"/>
    <n v="2.3930540220228999E-4"/>
    <n v="1.45470724292334E-3"/>
    <n v="1.66324616820192E-5"/>
    <n v="1.2205693501535901E-3"/>
    <n v="4.44180633970957E-5"/>
    <n v="2.1481441692046699E-11"/>
    <n v="3.1152047532576601E-3"/>
    <n v="1.7817120777989799E-3"/>
    <n v="7.0009412096546601E-3"/>
    <n v="8.9743217135974604E-4"/>
    <n v="4.7736479458948598E-4"/>
  </r>
  <r>
    <x v="0"/>
    <x v="22"/>
    <x v="3"/>
    <n v="1.4100000000000001E-5"/>
    <n v="3.65E-5"/>
    <n v="1.4899999999999999E-8"/>
    <n v="3.65E-5"/>
    <n v="1.04E-8"/>
    <n v="1.1800000000000001E-5"/>
    <n v="8.6400000000000003E-6"/>
    <n v="3.0599999999999999E-6"/>
    <n v="6.0199999999999996E-8"/>
    <n v="7.5800000000000004E-8"/>
    <n v="9.1500000000000005E-6"/>
    <n v="1.0699999999999999E-5"/>
    <n v="1.5099999999999999E-6"/>
    <n v="1.15E-15"/>
    <n v="5.3842544017298304E-7"/>
    <n v="9.6813818019290403E-7"/>
    <n v="1.3761087716350901E-5"/>
    <n v="1.11733796746848E-5"/>
    <n v="2.5797680494218701E-6"/>
    <n v="1.41942909718317E-7"/>
    <n v="2.3207226696494401E-6"/>
    <n v="1.9406388312850999E-7"/>
    <n v="4.6248888303639902E-15"/>
    <n v="1.6024981464942701E-5"/>
    <n v="1.4741883511520101E-5"/>
    <n v="4.9860832769675999E-5"/>
    <n v="1.57107813040541E-6"/>
    <n v="8.7134391097142993E-6"/>
  </r>
  <r>
    <x v="0"/>
    <x v="22"/>
    <x v="23"/>
    <n v="5.0400000000000001E-8"/>
    <n v="1.5599999999999999E-7"/>
    <n v="2.01E-11"/>
    <n v="1.5599999999999999E-7"/>
    <n v="4.1800000000000004E-12"/>
    <n v="7.4499999999999996E-7"/>
    <n v="1.51E-8"/>
    <n v="7.2600000000000002E-7"/>
    <n v="4.0499999999999999E-9"/>
    <n v="2.3800000000000001E-8"/>
    <n v="4.2200000000000001E-8"/>
    <n v="4.9600000000000001E-8"/>
    <n v="2.2300000000000001E-8"/>
    <n v="3.3300000000000001E-14"/>
    <n v="2.1149077997699E-8"/>
    <n v="1.1707313164095899E-9"/>
    <n v="1.36117216800344E-7"/>
    <n v="4.5469429007365002E-9"/>
    <n v="1.3123827143292E-7"/>
    <n v="1.0653797999202999E-9"/>
    <n v="4.4279596041840702E-8"/>
    <n v="1.8609280028827101E-10"/>
    <n v="3.04368361427905E-16"/>
    <n v="2.5985235051050401E-8"/>
    <n v="5.5083588683552597E-8"/>
    <n v="3.2531227346905898E-7"/>
    <n v="-3.8040870409608102E-10"/>
    <n v="-5.6511960864695702E-9"/>
  </r>
  <r>
    <x v="0"/>
    <x v="22"/>
    <x v="4"/>
    <n v="7.8999999999999995E-7"/>
    <n v="2.26E-6"/>
    <n v="3E-10"/>
    <n v="2.26E-6"/>
    <n v="6.2299999999999994E-11"/>
    <n v="4.46E-5"/>
    <n v="8.4600000000000003E-7"/>
    <n v="1.6399999999999999E-5"/>
    <n v="2.73E-5"/>
    <n v="4.01E-7"/>
    <n v="6.8599999999999998E-7"/>
    <n v="6.6199999999999997E-7"/>
    <n v="1.55E-6"/>
    <n v="3.1400000000000003E-13"/>
    <n v="1.49405728432505E-6"/>
    <n v="5.2362031048169403E-8"/>
    <n v="1.1441423754069501E-5"/>
    <n v="1.01472066459884E-7"/>
    <n v="1.1031454240162901E-5"/>
    <n v="3.20075423922709E-7"/>
    <n v="1.13303284407233E-6"/>
    <n v="2.7729978604805301E-9"/>
    <n v="1.4067405887051099E-14"/>
    <n v="5.6503121360148099E-7"/>
    <n v="9.2312050057555998E-7"/>
    <n v="5.2233414067911001E-6"/>
    <n v="1.4158012798583101E-7"/>
    <n v="1.1551346421731301E-5"/>
  </r>
  <r>
    <x v="0"/>
    <x v="22"/>
    <x v="1"/>
    <n v="4.2399999999999998E-10"/>
    <n v="4.7700000000000001E-10"/>
    <n v="4.1200000000000002E-10"/>
    <n v="-1.1900000000000001E-11"/>
    <n v="1.6E-12"/>
    <n v="3.9900000000000002E-10"/>
    <n v="5.1199999999999999E-10"/>
    <n v="-2.9099999999999998E-10"/>
    <n v="7.7300000000000004E-12"/>
    <n v="2.1500000000000001E-10"/>
    <n v="4.3799999999999999E-10"/>
    <n v="4.8699999999999997E-10"/>
    <n v="9.4199999999999995E-11"/>
    <n v="-4.8200000000000002E-19"/>
    <n v="4.53018380288576E-11"/>
    <n v="3.4269112688256501E-11"/>
    <n v="4.9549992058115699E-10"/>
    <n v="1.58365527754137E-10"/>
    <n v="2.8447508290561101E-10"/>
    <n v="2.20392614780741E-11"/>
    <n v="-7.4115892427332599E-10"/>
    <n v="6.0645235599710398E-9"/>
    <n v="1.1769311248179499E-12"/>
    <n v="5.0174971417419698E-10"/>
    <n v="5.9694382962458905E-10"/>
    <n v="-2.36510320004753E-10"/>
    <n v="1.45357635513915E-11"/>
    <n v="1.09162325166411E-8"/>
  </r>
  <r>
    <x v="0"/>
    <x v="22"/>
    <x v="2"/>
    <n v="8.9082600336887202E-5"/>
    <n v="1.02286913867116E-4"/>
    <n v="3.0586016534642099E-7"/>
    <n v="1.01146371154765E-4"/>
    <n v="8.3468254700449704E-7"/>
    <n v="1.9143850396937599E-4"/>
    <n v="1.8534506215944801E-4"/>
    <n v="3.8099089260142599E-6"/>
    <n v="2.2835328839141499E-6"/>
    <n v="1.5284553270207899E-6"/>
    <n v="1.2376202275446801E-4"/>
    <n v="1.5145278697140999E-4"/>
    <n v="9.7827038868765506E-6"/>
    <n v="2.5394832215143601E-16"/>
    <n v="9.5246344782626592E-6"/>
    <n v="2.58069408359942E-7"/>
    <n v="3.9937169474171602E-5"/>
    <n v="8.9838739004187403E-6"/>
    <n v="3.08887528580778E-5"/>
    <n v="2.80688701182224E-7"/>
    <n v="6.9468711413802195E-7"/>
    <n v="4.6182595486720399E-6"/>
    <n v="3.0422729094447302E-15"/>
    <n v="3.0865938558213702E-5"/>
    <n v="1.1496425884653E-4"/>
    <n v="1.6939246797928299E-4"/>
    <n v="1.15629506598585E-6"/>
    <n v="6.6890204199162598E-7"/>
  </r>
  <r>
    <x v="0"/>
    <x v="22"/>
    <x v="30"/>
    <n v="1.8551328107811601E-6"/>
    <n v="6.4400210672611102E-6"/>
    <n v="1.25714269324397E-8"/>
    <n v="6.4262081153777804E-6"/>
    <n v="1.24152495088838E-9"/>
    <n v="1.5770622731207702E-5"/>
    <n v="8.5775738221838298E-6"/>
    <n v="7.1029954550182999E-6"/>
    <n v="9.0053454005514606E-8"/>
    <n v="8.9526599306518505E-8"/>
    <n v="1.74102535553234E-6"/>
    <n v="1.9551966683686301E-6"/>
    <n v="8.3243548778367303E-7"/>
    <n v="1.6732770736136799E-16"/>
    <n v="6.6316556229294695E-7"/>
    <n v="1.69269925323398E-7"/>
    <n v="3.23102580388574E-6"/>
    <n v="4.125200746966E-7"/>
    <n v="2.8084238295077598E-6"/>
    <n v="3.1766122571057801E-8"/>
    <n v="5.6598056430874602E-7"/>
    <n v="4.5065445925902302E-8"/>
    <n v="1.42312116753106E-9"/>
    <n v="1.45708796851974E-6"/>
    <n v="2.7916371236043002E-6"/>
    <n v="1.5440185698856399E-5"/>
    <n v="1.4520104015757501E-6"/>
    <n v="7.9075878412292005E-7"/>
  </r>
  <r>
    <x v="0"/>
    <x v="23"/>
    <x v="36"/>
    <n v="8.0399999999999993E-6"/>
    <n v="2.09E-5"/>
    <n v="8.5E-9"/>
    <n v="2.09E-5"/>
    <n v="5.9399999999999998E-9"/>
    <n v="6.7299999999999999E-6"/>
    <n v="4.9400000000000001E-6"/>
    <n v="1.75E-6"/>
    <n v="3.4399999999999997E-8"/>
    <n v="4.3399999999999998E-8"/>
    <n v="5.2399999999999998E-6"/>
    <n v="6.1E-6"/>
    <n v="8.6199999999999996E-7"/>
    <n v="6.5999999999999998E-16"/>
    <n v="3.0799619538842498E-7"/>
    <n v="5.5380532542052395E-7"/>
    <n v="7.8717726630465099E-6"/>
    <n v="6.3915227117196303E-6"/>
    <n v="1.47570802737567E-6"/>
    <n v="8.1195784771162994E-8"/>
    <n v="1.32752596640689E-6"/>
    <n v="1.11010612066699E-7"/>
    <n v="2.6455810917643301E-15"/>
    <n v="9.1667907088244E-6"/>
    <n v="8.4328185402027406E-6"/>
    <n v="2.8521956144986201E-5"/>
    <n v="8.9870583876453699E-7"/>
    <n v="4.9843597540236699E-6"/>
  </r>
  <r>
    <x v="0"/>
    <x v="23"/>
    <x v="19"/>
    <n v="1.2800000000000001E-2"/>
    <n v="1.9599999999999999E-2"/>
    <n v="2.4300000000000001E-5"/>
    <n v="1.8800000000000001E-2"/>
    <n v="8.7800000000000006E-6"/>
    <n v="1.6899999999999998E-2"/>
    <n v="0.01"/>
    <n v="4.5300000000000002E-3"/>
    <n v="4.46E-4"/>
    <n v="3.6699999999999998E-4"/>
    <n v="5.6800000000000002E-3"/>
    <n v="6.8399999999999997E-3"/>
    <n v="4.3E-3"/>
    <n v="2.5799999999999999E-12"/>
    <n v="9.978681312199679E-4"/>
    <n v="3.0817058538691001E-3"/>
    <n v="7.5317408837233899E-3"/>
    <n v="1.0477700090299399E-3"/>
    <n v="6.1094758133031501E-3"/>
    <n v="7.1176014429585494E-5"/>
    <n v="6.1040439285536896E-3"/>
    <n v="3.6409693487992099E-4"/>
    <n v="2.8753371295817101E-5"/>
    <n v="1.2521972580317601E-2"/>
    <n v="8.4298520981209608E-3"/>
    <n v="3.3154553439403503E-2"/>
    <n v="3.72640947808828E-2"/>
    <n v="4.7334201299009697E-3"/>
  </r>
  <r>
    <x v="0"/>
    <x v="23"/>
    <x v="3"/>
    <n v="8.1799999999999996E-5"/>
    <n v="2.12E-4"/>
    <n v="8.6400000000000006E-8"/>
    <n v="2.12E-4"/>
    <n v="6.0500000000000006E-8"/>
    <n v="6.8499999999999998E-5"/>
    <n v="5.0300000000000003E-5"/>
    <n v="1.7799999999999999E-5"/>
    <n v="3.4999999999999998E-7"/>
    <n v="4.4099999999999999E-7"/>
    <n v="5.3300000000000001E-5"/>
    <n v="6.2000000000000003E-5"/>
    <n v="8.7700000000000007E-6"/>
    <n v="6.7200000000000003E-15"/>
    <n v="3.1339963741278301E-6"/>
    <n v="5.6352120832263803E-6"/>
    <n v="8.0098739378367997E-5"/>
    <n v="6.5036546891182194E-5"/>
    <n v="1.5015976418910399E-5"/>
    <n v="8.26202722232887E-7"/>
    <n v="1.3508158956421E-5"/>
    <n v="1.1295816666436101E-6"/>
    <n v="2.6919947951286101E-14"/>
    <n v="9.3276115984528899E-5"/>
    <n v="8.5807627251185698E-5"/>
    <n v="2.9022341340512197E-4"/>
    <n v="9.1447260786566892E-6"/>
    <n v="5.0718046619890299E-5"/>
  </r>
  <r>
    <x v="0"/>
    <x v="23"/>
    <x v="22"/>
    <n v="1.73E-4"/>
    <n v="2.72E-4"/>
    <n v="3.1699999999999999E-7"/>
    <n v="2.72E-4"/>
    <n v="1.02E-7"/>
    <n v="2.05E-4"/>
    <n v="1.4300000000000001E-4"/>
    <n v="5.5899999999999997E-5"/>
    <n v="6.9600000000000003E-6"/>
    <n v="5.6899999999999997E-7"/>
    <n v="7.1199999999999996E-5"/>
    <n v="8.5900000000000001E-5"/>
    <n v="6.2700000000000006E-5"/>
    <n v="3.4100000000000001E-14"/>
    <n v="1.4354646244906299E-5"/>
    <n v="4.8323182252650198E-5"/>
    <n v="9.8643177475404094E-5"/>
    <n v="1.3877249659970301E-5"/>
    <n v="8.4558062283380601E-5"/>
    <n v="9.9221587398470109E-7"/>
    <n v="7.2243726173717003E-5"/>
    <n v="2.47953462997366E-6"/>
    <n v="1.2684667343668001E-12"/>
    <n v="1.8563840428740901E-4"/>
    <n v="1.05660047803765E-4"/>
    <n v="4.1548027320575899E-4"/>
    <n v="-2.35867054223172E-5"/>
    <n v="2.8289526878545099E-5"/>
  </r>
  <r>
    <x v="0"/>
    <x v="23"/>
    <x v="24"/>
    <n v="1.22E-5"/>
    <n v="1.2799999999999999E-5"/>
    <n v="1.0800000000000001E-8"/>
    <n v="1.2799999999999999E-5"/>
    <n v="2.44E-8"/>
    <n v="1.5E-5"/>
    <n v="1.01E-5"/>
    <n v="4.7600000000000002E-6"/>
    <n v="5.4900000000000002E-8"/>
    <n v="8.5300000000000003E-8"/>
    <n v="6.0399999999999998E-6"/>
    <n v="7.25E-6"/>
    <n v="4.5300000000000001E-4"/>
    <n v="1.6499999999999999E-16"/>
    <n v="7.4316451712980004E-6"/>
    <n v="4.4593624909828802E-4"/>
    <n v="7.2510489575399701E-6"/>
    <n v="2.1129712633671201E-6"/>
    <n v="5.1346648461903502E-6"/>
    <n v="4.86229164533291E-8"/>
    <n v="1.5033837634521599E-6"/>
    <n v="4.1524943371174E-7"/>
    <n v="6.7153013073790403E-15"/>
    <n v="1.9772908242378299E-5"/>
    <n v="8.6868042355816793E-6"/>
    <n v="2.0646890146621599E-5"/>
    <n v="2.7998758033143199E-5"/>
    <n v="7.5176221711797199E-6"/>
  </r>
  <r>
    <x v="0"/>
    <x v="23"/>
    <x v="4"/>
    <n v="1.2300000000000001E-5"/>
    <n v="3.5099999999999999E-5"/>
    <n v="4.66E-9"/>
    <n v="3.5099999999999999E-5"/>
    <n v="9.6700000000000007E-10"/>
    <n v="6.9099999999999999E-4"/>
    <n v="1.31E-5"/>
    <n v="2.5399999999999999E-4"/>
    <n v="4.2400000000000001E-4"/>
    <n v="6.2199999999999997E-6"/>
    <n v="1.06E-5"/>
    <n v="1.03E-5"/>
    <n v="2.4000000000000001E-5"/>
    <n v="4.87E-12"/>
    <n v="2.3182548342838E-5"/>
    <n v="8.12475752328165E-7"/>
    <n v="1.7753091670071701E-4"/>
    <n v="1.57449189588245E-6"/>
    <n v="1.7116962240836201E-4"/>
    <n v="4.9664521342598003E-6"/>
    <n v="1.75807105639836E-5"/>
    <n v="4.3027237060871597E-8"/>
    <n v="2.1827698339037399E-13"/>
    <n v="8.7673100368746906E-6"/>
    <n v="1.4323604493200801E-5"/>
    <n v="8.1048006622306599E-5"/>
    <n v="2.1968288604807102E-6"/>
    <n v="1.7923653239817401E-4"/>
  </r>
  <r>
    <x v="0"/>
    <x v="23"/>
    <x v="1"/>
    <n v="9.1942829248520208E-6"/>
    <n v="1.0333514758737599E-5"/>
    <n v="8.93332022812501E-6"/>
    <n v="-2.6415436735813999E-7"/>
    <n v="3.4768215458093103E-8"/>
    <n v="8.6059097870922894E-6"/>
    <n v="1.1082011622038901E-5"/>
    <n v="-6.3046061193393498E-6"/>
    <n v="1.6747498882298001E-7"/>
    <n v="4.6428049330790399E-6"/>
    <n v="9.49871986072372E-6"/>
    <n v="1.05535272228963E-5"/>
    <n v="2.0400131777836802E-6"/>
    <n v="-1.04484859886605E-14"/>
    <n v="9.8187048515932801E-7"/>
    <n v="7.4328219772205297E-7"/>
    <n v="1.07398907128472E-5"/>
    <n v="3.4342700405671301E-6"/>
    <n v="6.1684138578762199E-6"/>
    <n v="4.7798710513629696E-7"/>
    <n v="-1.6084095614292299E-5"/>
    <n v="1.3154808192529001E-4"/>
    <n v="2.5339391371158401E-8"/>
    <n v="1.0864380707030701E-5"/>
    <n v="1.2939145649030599E-5"/>
    <n v="-5.1649971682446201E-6"/>
    <n v="3.1361556285380198E-7"/>
    <n v="2.3505490732732E-4"/>
  </r>
  <r>
    <x v="0"/>
    <x v="23"/>
    <x v="37"/>
    <n v="4.1742579708839001E-7"/>
    <n v="1.76324581576136E-6"/>
    <n v="8.0910771545004797E-9"/>
    <n v="1.7542475752805301E-6"/>
    <n v="9.0716332633582795E-10"/>
    <n v="5.0357561774529203E-6"/>
    <n v="4.2092242806096302E-6"/>
    <n v="7.9497843908831498E-7"/>
    <n v="3.1553457754967799E-8"/>
    <n v="1.4269701697514999E-8"/>
    <n v="3.5332651330724802E-7"/>
    <n v="4.2435918147153902E-7"/>
    <n v="2.78932243498533E-7"/>
    <n v="5.6607146687135002E-16"/>
    <n v="2.1732756563971299E-7"/>
    <n v="6.1604677292748398E-8"/>
    <n v="9.782736019189061E-7"/>
    <n v="2.02828194188469E-7"/>
    <n v="7.7353872149412604E-7"/>
    <n v="9.9703904253031006E-9"/>
    <n v="1.1118008783734599E-6"/>
    <n v="2.3919240857291301E-8"/>
    <n v="1.4901970418067301E-15"/>
    <n v="3.36318482840748E-7"/>
    <n v="5.8877409344188705E-7"/>
    <n v="6.80201161924272E-6"/>
    <n v="1.22175024721284E-7"/>
    <n v="1.37531968671398E-7"/>
  </r>
  <r>
    <x v="0"/>
    <x v="23"/>
    <x v="2"/>
    <n v="1.47731872727083E-4"/>
    <n v="1.69629504346717E-4"/>
    <n v="5.0722918783649002E-7"/>
    <n v="1.6773806303063999E-4"/>
    <n v="1.3842121282412301E-6"/>
    <n v="3.1747578760064801E-4"/>
    <n v="3.0737060918724297E-4"/>
    <n v="6.3182369893916699E-6"/>
    <n v="3.78694142401257E-6"/>
    <n v="2.5347437881981901E-6"/>
    <n v="2.0524317122384801E-4"/>
    <n v="2.5116469169521397E-4"/>
    <n v="1.6223338340790999E-5"/>
    <n v="4.2114016727683499E-16"/>
    <n v="1.57953638891706E-5"/>
    <n v="4.2797445119928402E-7"/>
    <n v="6.6230586169757204E-5"/>
    <n v="1.48985830076096E-5"/>
    <n v="5.12249674871503E-5"/>
    <n v="4.6548559788517901E-7"/>
    <n v="1.15204796383213E-6"/>
    <n v="7.6587810558392901E-6"/>
    <n v="5.0452127863294603E-15"/>
    <n v="5.1187132946722299E-5"/>
    <n v="1.90653227362586E-4"/>
    <n v="2.8091531259533299E-4"/>
    <n v="1.9175645398447302E-6"/>
    <n v="1.1092867850813699E-6"/>
  </r>
  <r>
    <x v="0"/>
    <x v="24"/>
    <x v="3"/>
    <n v="6.0800000000000002E-6"/>
    <n v="1.5800000000000001E-5"/>
    <n v="6.4199999999999998E-9"/>
    <n v="1.5800000000000001E-5"/>
    <n v="4.49E-9"/>
    <n v="5.0799999999999996E-6"/>
    <n v="3.7400000000000002E-6"/>
    <n v="1.3200000000000001E-6"/>
    <n v="2.6000000000000001E-8"/>
    <n v="3.2800000000000003E-8"/>
    <n v="3.9600000000000002E-6"/>
    <n v="4.6099999999999999E-6"/>
    <n v="6.5099999999999999E-7"/>
    <n v="4.9900000000000002E-16"/>
    <n v="2.3275920898546199E-7"/>
    <n v="4.18522343479772E-7"/>
    <n v="5.9488643229939998E-6"/>
    <n v="4.8302082716193996E-6"/>
    <n v="1.1152236238252199E-6"/>
    <n v="6.1361363936510394E-8"/>
    <n v="1.0032393207287701E-6"/>
    <n v="8.3893056604321903E-8"/>
    <n v="1.9993213274903401E-15"/>
    <n v="6.92753672372615E-6"/>
    <n v="6.3728585038531099E-6"/>
    <n v="2.1554642721000699E-5"/>
    <n v="6.7917092247728197E-7"/>
    <n v="3.7667856000052799E-6"/>
  </r>
  <r>
    <x v="0"/>
    <x v="24"/>
    <x v="38"/>
    <n v="4.4299999999999999E-5"/>
    <n v="1.15E-4"/>
    <n v="7.4799999999999997E-7"/>
    <n v="1.02E-4"/>
    <n v="2.3199999999999998E-9"/>
    <n v="2.5999999999999998E-4"/>
    <n v="2.0900000000000001E-4"/>
    <n v="5.3700000000000003E-6"/>
    <n v="2.2199999999999999E-6"/>
    <n v="2.8399999999999999E-5"/>
    <n v="2.9799999999999999E-5"/>
    <n v="3.3000000000000003E-5"/>
    <n v="2.09E-5"/>
    <n v="0"/>
    <n v="1.1306808291878099E-5"/>
    <n v="5.0883370500605497E-6"/>
    <n v="7.7139719211576695E-5"/>
    <n v="9.6604985945940994E-6"/>
    <n v="6.3707728263658707E-5"/>
    <n v="6.2251379812586904E-7"/>
    <n v="8.1026478372330199E-5"/>
    <n v="1.80862204016847E-6"/>
    <n v="2.1188757337234701E-7"/>
    <n v="3.5377167518189103E-5"/>
    <n v="5.3001393976345799E-5"/>
    <n v="4.3593685510524599E-4"/>
    <n v="9.5029120134735901E-6"/>
    <n v="1.1643551954432999E-4"/>
  </r>
  <r>
    <x v="0"/>
    <x v="24"/>
    <x v="22"/>
    <n v="5.64E-3"/>
    <n v="7.9000000000000008E-3"/>
    <n v="1.01E-5"/>
    <n v="7.6499999999999997E-3"/>
    <n v="3.7699999999999999E-6"/>
    <n v="6.9699999999999996E-3"/>
    <n v="4.4900000000000001E-3"/>
    <n v="1.73E-3"/>
    <n v="2.1699999999999999E-4"/>
    <n v="1.06E-4"/>
    <n v="2.2100000000000002E-3"/>
    <n v="2.65E-3"/>
    <n v="2E-3"/>
    <n v="1.0300000000000001E-12"/>
    <n v="4.7719540122043001E-4"/>
    <n v="1.46051683133715E-3"/>
    <n v="3.4661360552259101E-3"/>
    <n v="4.1273285971118898E-4"/>
    <n v="2.9473108678869601E-3"/>
    <n v="2.7649174722882202E-5"/>
    <n v="2.2122504705443902E-3"/>
    <n v="1.36314123298462E-4"/>
    <n v="7.9568397385377708E-6"/>
    <n v="5.6752144777911899E-3"/>
    <n v="3.3149860809041599E-3"/>
    <n v="1.2549403550950701E-2"/>
    <n v="1.82334875062636E-2"/>
    <n v="1.67206783707019E-3"/>
  </r>
  <r>
    <x v="0"/>
    <x v="24"/>
    <x v="23"/>
    <n v="5.7899999999999998E-7"/>
    <n v="1.7999999999999999E-6"/>
    <n v="2.4199999999999999E-10"/>
    <n v="1.7999999999999999E-6"/>
    <n v="4.9799999999999999E-11"/>
    <n v="8.6200000000000005E-6"/>
    <n v="1.7499999999999999E-7"/>
    <n v="8.3999999999999992E-6"/>
    <n v="4.6900000000000003E-8"/>
    <n v="2.7500000000000001E-7"/>
    <n v="4.8299999999999997E-7"/>
    <n v="5.6700000000000003E-7"/>
    <n v="2.5800000000000001E-7"/>
    <n v="3.8499999999999998E-13"/>
    <n v="2.4456009738902301E-7"/>
    <n v="1.3812586293794699E-8"/>
    <n v="1.5744744589400101E-6"/>
    <n v="5.2978368770749297E-8"/>
    <n v="1.5176570830953801E-6"/>
    <n v="1.2329324108663899E-8"/>
    <n v="5.2383436748030295E-7"/>
    <n v="2.2117150808376402E-9"/>
    <n v="3.52483196415888E-15"/>
    <n v="3.0008745887140402E-7"/>
    <n v="6.3013216630297798E-7"/>
    <n v="3.7786543629104001E-6"/>
    <n v="-4.3238104907585102E-9"/>
    <n v="-6.63977634225195E-8"/>
  </r>
  <r>
    <x v="0"/>
    <x v="24"/>
    <x v="24"/>
    <n v="2.4399999999999999E-6"/>
    <n v="2.5600000000000001E-6"/>
    <n v="2.1700000000000002E-9"/>
    <n v="2.5600000000000001E-6"/>
    <n v="4.8799999999999997E-9"/>
    <n v="3.0000000000000001E-6"/>
    <n v="2.03E-6"/>
    <n v="9.5499999999999996E-7"/>
    <n v="1.0999999999999999E-8"/>
    <n v="1.7100000000000001E-8"/>
    <n v="1.2100000000000001E-6"/>
    <n v="1.4500000000000001E-6"/>
    <n v="9.09E-5"/>
    <n v="3.3E-17"/>
    <n v="1.4896468727305499E-6"/>
    <n v="8.93863368870222E-5"/>
    <n v="1.4534470032735599E-6"/>
    <n v="4.2353758314521301E-7"/>
    <n v="1.02922532687483E-6"/>
    <n v="9.7462908640308205E-9"/>
    <n v="3.0134793442368398E-7"/>
    <n v="8.3235273761568105E-8"/>
    <n v="1.3460582901098601E-15"/>
    <n v="3.9634092114360802E-6"/>
    <n v="1.7412390480554399E-6"/>
    <n v="4.1385957792107703E-6"/>
    <n v="5.6122515786267696E-6"/>
    <n v="1.5068806569127401E-6"/>
  </r>
  <r>
    <x v="0"/>
    <x v="24"/>
    <x v="27"/>
    <n v="1.5624685914121799E-4"/>
    <n v="4.0520569532533697E-4"/>
    <n v="2.6422686132205899E-6"/>
    <n v="3.6005645063904798E-4"/>
    <n v="8.2034506070252503E-9"/>
    <n v="9.1659364246203295E-4"/>
    <n v="7.3658454849708302E-4"/>
    <n v="1.8944858095990501E-5"/>
    <n v="7.8451436509796294E-6"/>
    <n v="1.0042606955843301E-4"/>
    <n v="1.0530523019502301E-4"/>
    <n v="1.1659345702775399E-4"/>
    <n v="7.3804640672217399E-5"/>
    <n v="0"/>
    <n v="3.9919955806018502E-5"/>
    <n v="1.7964945095111701E-5"/>
    <n v="2.7235043721638298E-4"/>
    <n v="3.4107474629893497E-5"/>
    <n v="2.2492728550230499E-4"/>
    <n v="2.1978548382811298E-6"/>
    <n v="2.8607307670230902E-4"/>
    <n v="6.3855431214111101E-6"/>
    <n v="7.4809286109012401E-7"/>
    <n v="1.24903060829525E-4"/>
    <n v="1.8712737056954701E-4"/>
    <n v="1.5391239986368901E-3"/>
    <n v="3.3551097516957797E-5"/>
    <n v="4.1108867104426599E-4"/>
  </r>
  <r>
    <x v="0"/>
    <x v="24"/>
    <x v="4"/>
    <n v="3.1863202545316401E-6"/>
    <n v="9.1252126848011807E-6"/>
    <n v="1.21100611579563E-9"/>
    <n v="9.1237503350981505E-6"/>
    <n v="2.5134358723546799E-10"/>
    <n v="1.79774533200272E-4"/>
    <n v="3.41130316611309E-6"/>
    <n v="6.6097428360837796E-5"/>
    <n v="1.10265801673321E-4"/>
    <n v="1.6169799155076201E-6"/>
    <n v="2.7680585903574502E-6"/>
    <n v="2.6696944042470902E-6"/>
    <n v="6.2387075300353696E-6"/>
    <n v="1.26529217378273E-12"/>
    <n v="6.0274625691378702E-6"/>
    <n v="2.11243695605323E-7"/>
    <n v="4.6158038342186401E-5"/>
    <n v="4.0936789292943803E-7"/>
    <n v="4.4504101826173998E-5"/>
    <n v="1.29127755490755E-6"/>
    <n v="4.5709847466357299E-6"/>
    <n v="1.1187081635826599E-8"/>
    <n v="5.6752015681497297E-14"/>
    <n v="2.2795006095874198E-6"/>
    <n v="3.7241371682322101E-6"/>
    <n v="2.1072481721799699E-5"/>
    <n v="5.7117550372498397E-7"/>
    <n v="4.66014984235252E-5"/>
  </r>
  <r>
    <x v="0"/>
    <x v="24"/>
    <x v="1"/>
    <n v="9.1942829248520208E-6"/>
    <n v="1.0333514758737599E-5"/>
    <n v="8.93332022812501E-6"/>
    <n v="-2.6415436735813999E-7"/>
    <n v="3.4768215458093103E-8"/>
    <n v="8.6059097870922894E-6"/>
    <n v="1.1082011622038901E-5"/>
    <n v="-6.3046061193393498E-6"/>
    <n v="1.6747498882298001E-7"/>
    <n v="4.6428049330790399E-6"/>
    <n v="9.49871986072372E-6"/>
    <n v="1.05535272228963E-5"/>
    <n v="2.0400131777836802E-6"/>
    <n v="-1.04484859886605E-14"/>
    <n v="9.8187048515932801E-7"/>
    <n v="7.4328219772205297E-7"/>
    <n v="1.07398907128472E-5"/>
    <n v="3.4342700405671301E-6"/>
    <n v="6.1684138578762199E-6"/>
    <n v="4.7798710513629696E-7"/>
    <n v="-1.6084095614292299E-5"/>
    <n v="1.3154808192529001E-4"/>
    <n v="2.5339391371158401E-8"/>
    <n v="1.0864380707030701E-5"/>
    <n v="1.2939145649030599E-5"/>
    <n v="-5.1649971682446201E-6"/>
    <n v="3.1361556285380198E-7"/>
    <n v="2.3505490732732E-4"/>
  </r>
  <r>
    <x v="0"/>
    <x v="24"/>
    <x v="2"/>
    <n v="7.2201070645151196E-5"/>
    <n v="8.2903110891073697E-5"/>
    <n v="2.4789836985225798E-7"/>
    <n v="8.1978705848598097E-5"/>
    <n v="6.7650667262338497E-7"/>
    <n v="1.5516009744914901E-4"/>
    <n v="1.5022138864488201E-4"/>
    <n v="3.0879150639796002E-6"/>
    <n v="1.85079374028714E-6"/>
    <n v="1.2388065753227599E-6"/>
    <n v="1.00308595778406E-4"/>
    <n v="1.2275184301058001E-4"/>
    <n v="7.9288401075613399E-6"/>
    <n v="2.0582404059304499E-16"/>
    <n v="7.7196759438276897E-6"/>
    <n v="2.09164163527825E-7"/>
    <n v="3.2368906875948501E-5"/>
    <n v="7.2813917835610499E-6"/>
    <n v="2.5035203494427099E-5"/>
    <n v="2.2749700465312699E-7"/>
    <n v="5.6304096663629295E-7"/>
    <n v="3.7430798233360802E-6"/>
    <n v="2.4657493205852701E-15"/>
    <n v="2.5016712600919501E-5"/>
    <n v="9.3178045356278705E-5"/>
    <n v="1.37291878560761E-4"/>
    <n v="9.3717225844511503E-7"/>
    <n v="5.4214227476387199E-7"/>
  </r>
  <r>
    <x v="0"/>
    <x v="25"/>
    <x v="36"/>
    <n v="2.2100000000000001E-4"/>
    <n v="5.44E-4"/>
    <n v="1.2700000000000001E-7"/>
    <n v="5.44E-4"/>
    <n v="2.8500000000000002E-7"/>
    <n v="1.74E-4"/>
    <n v="1.3799999999999999E-4"/>
    <n v="3.4400000000000003E-5"/>
    <n v="1.48E-6"/>
    <n v="3.7299999999999999E-6"/>
    <n v="1.2E-4"/>
    <n v="1.4100000000000001E-4"/>
    <n v="6.9200000000000002E-5"/>
    <n v="-7.7499999999999997E-16"/>
    <n v="5.6231505914748101E-6"/>
    <n v="6.3588350646797597E-5"/>
    <n v="2.0712327223751099E-4"/>
    <n v="1.84613736510603E-4"/>
    <n v="2.2383703638698999E-5"/>
    <n v="2.1386002262705101E-6"/>
    <n v="-2.0560341193211201E-7"/>
    <n v="4.9505758634904396E-6"/>
    <n v="6.6128966577539004E-14"/>
    <n v="9.0566959847386704E-4"/>
    <n v="2.0508680110730199E-4"/>
    <n v="7.7653442245413098E-4"/>
    <n v="1.4361257209754099E-4"/>
    <n v="2.6500707558673301E-3"/>
  </r>
  <r>
    <x v="0"/>
    <x v="25"/>
    <x v="39"/>
    <n v="3.1300000000000001E-7"/>
    <n v="7.6799999999999999E-7"/>
    <n v="1.79E-10"/>
    <n v="7.6799999999999999E-7"/>
    <n v="4.0200000000000001E-10"/>
    <n v="2.4499999999999998E-7"/>
    <n v="1.9500000000000001E-7"/>
    <n v="4.8499999999999998E-8"/>
    <n v="2.09E-9"/>
    <n v="5.2700000000000002E-9"/>
    <n v="1.6999999999999999E-7"/>
    <n v="1.9999999999999999E-7"/>
    <n v="9.7699999999999995E-8"/>
    <n v="-1.09E-18"/>
    <n v="7.9366980825332508E-9"/>
    <n v="8.9750671343398094E-8"/>
    <n v="2.9234053950248502E-7"/>
    <n v="2.6056984687452799E-7"/>
    <n v="3.1593089116018403E-8"/>
    <n v="3.0184900864791899E-9"/>
    <n v="-2.9019535911377498E-10"/>
    <n v="6.9874041827670202E-9"/>
    <n v="9.3336579502525002E-17"/>
    <n v="1.2782915998219699E-6"/>
    <n v="2.8946619775201399E-7"/>
    <n v="1.09602600205241E-6"/>
    <n v="2.02699466616148E-7"/>
    <n v="3.7403962679849298E-6"/>
  </r>
  <r>
    <x v="0"/>
    <x v="25"/>
    <x v="19"/>
    <n v="1.4E-2"/>
    <n v="1.9900000000000001E-2"/>
    <n v="2.3900000000000002E-5"/>
    <n v="1.9199999999999998E-2"/>
    <n v="1.7900000000000001E-5"/>
    <n v="1.6400000000000001E-2"/>
    <n v="1.0500000000000001E-2"/>
    <n v="3.9899999999999996E-3"/>
    <n v="4.6099999999999998E-4"/>
    <n v="3.0699999999999998E-4"/>
    <n v="5.9300000000000004E-3"/>
    <n v="7.1500000000000001E-3"/>
    <n v="4.4200000000000003E-3"/>
    <n v="2.0499999999999999E-12"/>
    <n v="1.06470735564619E-3"/>
    <n v="3.1869467121709801E-3"/>
    <n v="7.8723769881609892E-3"/>
    <n v="1.11483154437069E-3"/>
    <n v="6.4683599076294403E-3"/>
    <n v="7.2225460655446196E-5"/>
    <n v="4.9538360518767404E-3"/>
    <n v="4.4090427555613498E-4"/>
    <n v="2.18834473239069E-5"/>
    <n v="1.3656339321192401E-2"/>
    <n v="8.8022053666121994E-3"/>
    <n v="3.2468639354503302E-2"/>
    <n v="3.8239917341226497E-2"/>
    <n v="4.1124632007578698E-3"/>
  </r>
  <r>
    <x v="0"/>
    <x v="25"/>
    <x v="20"/>
    <n v="5.7299999999999999E-3"/>
    <n v="8.0700000000000008E-3"/>
    <n v="9.6700000000000006E-6"/>
    <n v="7.6400000000000001E-3"/>
    <n v="6.4300000000000003E-6"/>
    <n v="7.0099999999999997E-3"/>
    <n v="4.28E-3"/>
    <n v="1.6100000000000001E-3"/>
    <n v="1.93E-4"/>
    <n v="1.76E-4"/>
    <n v="2.4099999999999998E-3"/>
    <n v="2.8999999999999998E-3"/>
    <n v="1.8699999999999999E-3"/>
    <n v="8.6099999999999997E-13"/>
    <n v="4.3948710875653802E-4"/>
    <n v="1.3218568989255099E-3"/>
    <n v="3.2979252542852601E-3"/>
    <n v="4.3730218489604301E-4"/>
    <n v="2.68161502359949E-3"/>
    <n v="2.84975948440144E-5"/>
    <n v="2.0352879625466398E-3"/>
    <n v="1.83577055266748E-4"/>
    <n v="1.3792453708230101E-5"/>
    <n v="5.6785043378027302E-3"/>
    <n v="3.5954880743500799E-3"/>
    <n v="1.31192953771039E-2"/>
    <n v="1.6123881891220899E-2"/>
    <n v="2.1869578112722098E-3"/>
  </r>
  <r>
    <x v="0"/>
    <x v="25"/>
    <x v="21"/>
    <n v="3.8299999999999999E-4"/>
    <n v="5.7799999999999995E-4"/>
    <n v="6.7400000000000003E-7"/>
    <n v="5.7700000000000004E-4"/>
    <n v="3.2399999999999999E-7"/>
    <n v="4.3800000000000002E-4"/>
    <n v="3.0899999999999998E-4"/>
    <n v="1.1400000000000001E-4"/>
    <n v="1.4800000000000001E-5"/>
    <n v="1.4100000000000001E-6"/>
    <n v="1.55E-4"/>
    <n v="1.8699999999999999E-4"/>
    <n v="1.34E-4"/>
    <n v="6.7000000000000005E-14"/>
    <n v="3.1295874612028903E-5"/>
    <n v="1.02886532985328E-4"/>
    <n v="2.1572852093628799E-4"/>
    <n v="3.0332874287491101E-5"/>
    <n v="1.8494714554032201E-4"/>
    <n v="2.1106263565781801E-6"/>
    <n v="1.43066888168219E-4"/>
    <n v="6.7193257563025797E-6"/>
    <n v="2.69945135644648E-12"/>
    <n v="4.04842751991508E-4"/>
    <n v="2.3051646370278599E-4"/>
    <n v="8.8154330496438202E-4"/>
    <n v="1.13145597890848E-4"/>
    <n v="6.0450539939624402E-5"/>
  </r>
  <r>
    <x v="0"/>
    <x v="25"/>
    <x v="3"/>
    <n v="2.6361445368437302E-4"/>
    <n v="6.4789438429806395E-4"/>
    <n v="1.5088921026201801E-7"/>
    <n v="6.4740445689985603E-4"/>
    <n v="3.3903818794639403E-7"/>
    <n v="2.06899908847077E-4"/>
    <n v="1.6422282490928899E-4"/>
    <n v="4.091453020437E-5"/>
    <n v="1.7625537334177999E-6"/>
    <n v="4.4439993141596699E-6"/>
    <n v="1.43034690798558E-4"/>
    <n v="1.68450643618549E-4"/>
    <n v="8.2399296109851003E-5"/>
    <n v="-9.2217183169634008E-16"/>
    <n v="6.6946048326167899E-6"/>
    <n v="7.57046912781564E-5"/>
    <n v="2.4658924507034598E-4"/>
    <n v="2.19790665838665E-4"/>
    <n v="2.6648770669361501E-5"/>
    <n v="2.5460963879452E-6"/>
    <n v="-2.4477978541247499E-7"/>
    <n v="5.8938754281639896E-6"/>
    <n v="7.8729404810379897E-14"/>
    <n v="1.0782389644498299E-3"/>
    <n v="2.4416473780382401E-4"/>
    <n v="9.24497932731206E-4"/>
    <n v="1.70977000090721E-4"/>
    <n v="3.1550242520453002E-3"/>
  </r>
  <r>
    <x v="0"/>
    <x v="25"/>
    <x v="24"/>
    <n v="2.39068249117576E-5"/>
    <n v="2.46399548898508E-5"/>
    <n v="2.0333825336084101E-8"/>
    <n v="2.4567516197046401E-5"/>
    <n v="5.2104867468333499E-8"/>
    <n v="2.8346215663758E-5"/>
    <n v="1.95020262981888E-5"/>
    <n v="8.7380098247257396E-6"/>
    <n v="1.06179540843477E-7"/>
    <n v="1.7290400380235099E-7"/>
    <n v="1.1729434007227999E-5"/>
    <n v="1.4091659948616799E-5"/>
    <n v="8.5932207714104999E-4"/>
    <n v="-1.1990002684086799E-17"/>
    <n v="1.41140214604711E-5"/>
    <n v="8.4520805568059096E-4"/>
    <n v="1.39345974452692E-5"/>
    <n v="4.0599811377686796E-6"/>
    <n v="9.8676787090514006E-6"/>
    <n v="9.3739649398385894E-8"/>
    <n v="2.23848288524807E-6"/>
    <n v="8.5292748508837104E-7"/>
    <n v="1.24046239847366E-14"/>
    <n v="3.8214437581595799E-5"/>
    <n v="1.6877406642576201E-5"/>
    <n v="3.93790354763642E-5"/>
    <n v="5.3072995977407599E-5"/>
    <n v="1.42738020834165E-5"/>
  </r>
  <r>
    <x v="0"/>
    <x v="25"/>
    <x v="4"/>
    <n v="4.4497159883980598E-5"/>
    <n v="8.0704186413610803E-5"/>
    <n v="6.1868531557413901E-9"/>
    <n v="8.0550662956709704E-5"/>
    <n v="1.47336603745361E-7"/>
    <n v="1.39979397520713E-3"/>
    <n v="3.3291818519089601E-5"/>
    <n v="5.0764722862151003E-4"/>
    <n v="8.5885492806653003E-4"/>
    <n v="1.28677909844559E-5"/>
    <n v="2.8494904140524099E-5"/>
    <n v="2.93406381287659E-5"/>
    <n v="4.9952421681358497E-5"/>
    <n v="9.8467304104262802E-12"/>
    <n v="4.7653619226098599E-5"/>
    <n v="2.29879260852945E-6"/>
    <n v="3.64215336207754E-4"/>
    <n v="4.5432773986274097E-6"/>
    <n v="3.4996730362487298E-4"/>
    <n v="1.0095592224494401E-5"/>
    <n v="2.06232051875652E-5"/>
    <n v="1.7031871902130601E-6"/>
    <n v="4.3409574093390602E-13"/>
    <n v="3.58500918605545E-5"/>
    <n v="3.9069692347946397E-5"/>
    <n v="1.70165472434047E-4"/>
    <n v="4.6220260998628901E-6"/>
    <n v="3.6358381456579102E-4"/>
  </r>
  <r>
    <x v="0"/>
    <x v="25"/>
    <x v="1"/>
    <n v="1.9160317576242701E-4"/>
    <n v="2.2800605558687901E-4"/>
    <n v="3.4125431343427003E-5"/>
    <n v="-1.2917315795312301E-5"/>
    <n v="-1.6389602996872401E-9"/>
    <n v="4.4834614193695602E-4"/>
    <n v="3.2828703567131501E-6"/>
    <n v="-2.0094073707855901E-5"/>
    <n v="5.59718946758658E-7"/>
    <n v="4.6076576588422298E-4"/>
    <n v="1.1965180862243799E-4"/>
    <n v="1.2319550635509901E-4"/>
    <n v="3.96789382748746E-5"/>
    <n v="-2.33094533434802E-14"/>
    <n v="5.2747188761209302E-7"/>
    <n v="-8.0545051211626396E-7"/>
    <n v="9.0431992796452404E-5"/>
    <n v="8.0270533147420602E-7"/>
    <n v="3.64978521754122E-6"/>
    <n v="1.7346704360375299E-6"/>
    <n v="1.01994328142341E-4"/>
    <n v="2.2694299755448099E-4"/>
    <n v="3.2156596955815499E-6"/>
    <n v="3.4590336927538598E-4"/>
    <n v="1.5515036564414301E-4"/>
    <n v="3.6745983665389102E-4"/>
    <n v="2.6993162276669801E-5"/>
    <n v="2.9390723503820299E-2"/>
  </r>
  <r>
    <x v="0"/>
    <x v="25"/>
    <x v="2"/>
    <n v="1.1376388876175699E-2"/>
    <n v="1.9516793986747601E-2"/>
    <n v="2.3963053088201299E-5"/>
    <n v="1.9492423937742601E-2"/>
    <n v="4.0699591676594499E-7"/>
    <n v="3.6414670740132299E-2"/>
    <n v="3.5560909373398397E-2"/>
    <n v="5.6505245080095399E-4"/>
    <n v="2.8870891593293799E-4"/>
    <n v="1.5908496775473301E-5"/>
    <n v="1.46132846252875E-2"/>
    <n v="1.7697782760590801E-2"/>
    <n v="1.70496700340001E-3"/>
    <n v="1.9218802233303401E-14"/>
    <n v="1.6708266332926399E-3"/>
    <n v="3.4140370088148002E-5"/>
    <n v="5.68869553094941E-3"/>
    <n v="1.62914469954599E-3"/>
    <n v="4.0414152943600099E-3"/>
    <n v="6.1456000811329996E-5"/>
    <n v="5.62256635734687E-5"/>
    <n v="5.2955184414799101E-6"/>
    <n v="2.3287552274729402E-13"/>
    <n v="3.3868356690593699E-3"/>
    <n v="2.0042196133264599E-2"/>
    <n v="3.2880715718990199E-2"/>
    <n v="8.2029042053132403E-5"/>
    <n v="1.79787843649186E-5"/>
  </r>
  <r>
    <x v="0"/>
    <x v="26"/>
    <x v="31"/>
    <n v="1.3913496080858699E-5"/>
    <n v="4.8300158004458301E-5"/>
    <n v="9.4285701993298003E-8"/>
    <n v="4.8196560865333402E-5"/>
    <n v="9.3114371316628197E-9"/>
    <n v="1.18279670484057E-4"/>
    <n v="6.4331803666378703E-5"/>
    <n v="5.3272465912637302E-5"/>
    <n v="6.7540090504136001E-7"/>
    <n v="6.7144949479888898E-7"/>
    <n v="1.3057690166492499E-5"/>
    <n v="1.4663975012764701E-5"/>
    <n v="6.2432661583775398E-6"/>
    <n v="1.25495780521026E-15"/>
    <n v="4.9737417171971003E-6"/>
    <n v="1.2695244399254899E-6"/>
    <n v="2.4232693529143098E-5"/>
    <n v="3.0939005602245002E-6"/>
    <n v="2.1063178721308201E-5"/>
    <n v="2.3824591928293301E-7"/>
    <n v="4.2448542323156E-6"/>
    <n v="3.3799084444426498E-7"/>
    <n v="1.0673408756482999E-8"/>
    <n v="1.0928159763897999E-5"/>
    <n v="2.0937278427032301E-5"/>
    <n v="1.15801392741423E-4"/>
    <n v="1.0890078011818099E-5"/>
    <n v="5.9306908809223102E-6"/>
  </r>
  <r>
    <x v="0"/>
    <x v="26"/>
    <x v="40"/>
    <n v="4.6060482663319699E-4"/>
    <n v="4.7472979754445898E-4"/>
    <n v="3.9176503480855399E-7"/>
    <n v="4.7333414539642798E-4"/>
    <n v="1.0038871132232201E-6"/>
    <n v="5.4613708845507099E-4"/>
    <n v="3.7573904001177101E-4"/>
    <n v="1.6835232262304899E-4"/>
    <n v="2.0457258202509998E-6"/>
    <n v="3.3312838065919601E-6"/>
    <n v="2.2598709520592499E-4"/>
    <n v="2.7149931501001701E-4"/>
    <n v="1.6556272019584199E-2"/>
    <n v="-2.3100738504674002E-16"/>
    <n v="2.71930146805076E-4"/>
    <n v="1.6284341872779402E-2"/>
    <n v="2.6847324411218601E-4"/>
    <n v="7.8222303254343306E-5"/>
    <n v="1.9011727646105699E-4"/>
    <n v="1.8060505784088999E-6"/>
    <n v="4.3128103589112898E-5"/>
    <n v="1.6433069546036099E-5"/>
    <n v="2.38995755439258E-13"/>
    <n v="7.3626483073874498E-4"/>
    <n v="3.2517136798030201E-4"/>
    <n v="7.5870275017795002E-4"/>
    <n v="1.0225397224980499E-3"/>
    <n v="2.7500858680716198E-4"/>
  </r>
  <r>
    <x v="0"/>
    <x v="27"/>
    <x v="36"/>
    <n v="1.9800000000000001E-6"/>
    <n v="7.1099999999999997E-6"/>
    <n v="-1.75E-9"/>
    <n v="7.1099999999999997E-6"/>
    <n v="4.78E-10"/>
    <n v="1.2699999999999999E-6"/>
    <n v="7.7400000000000002E-7"/>
    <n v="4.8699999999999995E-7"/>
    <n v="7.6299999999999995E-9"/>
    <n v="9.2599999999999999E-9"/>
    <n v="1.13E-6"/>
    <n v="1.2699999999999999E-6"/>
    <n v="1.6199999999999999E-6"/>
    <n v="1.44E-16"/>
    <n v="3.51516149495186E-9"/>
    <n v="1.61149784047383E-6"/>
    <n v="2.9767794966727298E-6"/>
    <n v="3.3334730626167698E-6"/>
    <n v="-3.5937711558762201E-7"/>
    <n v="2.8888417022371699E-8"/>
    <n v="2.08534882722587E-7"/>
    <n v="-1.08573346027961E-9"/>
    <n v="2.4912473440808399E-15"/>
    <n v="3.2410810148860601E-6"/>
    <n v="2.2783021679303901E-6"/>
    <n v="9.0515810154293196E-6"/>
    <n v="1.9493256604551701E-6"/>
    <n v="1.18455611766746E-5"/>
  </r>
  <r>
    <x v="0"/>
    <x v="27"/>
    <x v="3"/>
    <n v="2.02E-4"/>
    <n v="5.2499999999999997E-4"/>
    <n v="2.1400000000000001E-7"/>
    <n v="5.2400000000000005E-4"/>
    <n v="1.49E-7"/>
    <n v="1.6899999999999999E-4"/>
    <n v="1.2400000000000001E-4"/>
    <n v="4.3999999999999999E-5"/>
    <n v="8.6600000000000005E-7"/>
    <n v="1.0899999999999999E-6"/>
    <n v="1.3200000000000001E-4"/>
    <n v="1.5300000000000001E-4"/>
    <n v="2.1699999999999999E-5"/>
    <n v="1.66E-14"/>
    <n v="7.7412255462150894E-6"/>
    <n v="1.39194314636539E-5"/>
    <n v="1.97850390834612E-4"/>
    <n v="1.60645552237355E-4"/>
    <n v="3.7090681155552297E-5"/>
    <n v="2.0407878172742301E-6"/>
    <n v="3.3366249578026898E-5"/>
    <n v="2.7901584464312501E-6"/>
    <n v="6.6494457525105301E-14"/>
    <n v="2.30399581145688E-4"/>
    <n v="2.1195180748153801E-4"/>
    <n v="7.1687539925336101E-4"/>
    <n v="2.25882160291067E-5"/>
    <n v="1.2527769380629399E-4"/>
  </r>
  <r>
    <x v="0"/>
    <x v="27"/>
    <x v="22"/>
    <n v="3.3700000000000002E-3"/>
    <n v="5.0299999999999997E-3"/>
    <n v="6.3899999999999998E-6"/>
    <n v="4.8999999999999998E-3"/>
    <n v="2.3300000000000001E-6"/>
    <n v="4.2399999999999998E-3"/>
    <n v="2.6900000000000001E-3"/>
    <n v="1.17E-3"/>
    <n v="1.2300000000000001E-4"/>
    <n v="5.5999999999999999E-5"/>
    <n v="1.42E-3"/>
    <n v="1.7099999999999999E-3"/>
    <n v="1.14E-3"/>
    <n v="6.7199999999999996E-13"/>
    <n v="2.7299818564243398E-4"/>
    <n v="8.4083542800142896E-4"/>
    <n v="2.00031413564074E-3"/>
    <n v="2.7151505830311798E-4"/>
    <n v="1.67583759042525E-3"/>
    <n v="1.8377762212611499E-5"/>
    <n v="1.53548095460157E-3"/>
    <n v="8.4119563454764101E-5"/>
    <n v="3.9258935597695396E-6"/>
    <n v="3.2894063396446899E-3"/>
    <n v="2.1121036479499898E-3"/>
    <n v="8.3398271240908706E-3"/>
    <n v="1.0220320732116799E-2"/>
    <n v="8.9286084778988895E-4"/>
  </r>
  <r>
    <x v="0"/>
    <x v="27"/>
    <x v="41"/>
    <n v="3.0400000000000001E-6"/>
    <n v="6.1999999999999999E-6"/>
    <n v="4.8499999999999998E-8"/>
    <n v="6.1399999999999997E-6"/>
    <n v="8.09E-9"/>
    <n v="1.49E-5"/>
    <n v="1.2999999999999999E-5"/>
    <n v="1.77E-6"/>
    <n v="7.1499999999999998E-8"/>
    <n v="8.6700000000000002E-8"/>
    <n v="1.1400000000000001E-6"/>
    <n v="1.3599999999999999E-6"/>
    <n v="8.9100000000000002E-7"/>
    <n v="7.2700000000000003E-17"/>
    <n v="6.3931901446938903E-7"/>
    <n v="2.5142659679442999E-7"/>
    <n v="5.5363589002333801E-6"/>
    <n v="2.7420429086327501E-6"/>
    <n v="2.7879793203223398E-6"/>
    <n v="2.5897842004124899E-8"/>
    <n v="5.44868867618443E-7"/>
    <n v="1.9342222427363401E-7"/>
    <n v="8.9321508224769694E-14"/>
    <n v="1.47979872620111E-5"/>
    <n v="1.8340492434422401E-6"/>
    <n v="1.5662311380480201E-5"/>
    <n v="2.15377099514927E-3"/>
    <n v="9.0339420120442196E-8"/>
  </r>
  <r>
    <x v="0"/>
    <x v="27"/>
    <x v="24"/>
    <n v="1.3900000000000001E-5"/>
    <n v="1.45E-5"/>
    <n v="1.2299999999999999E-8"/>
    <n v="1.45E-5"/>
    <n v="2.77E-8"/>
    <n v="1.7E-5"/>
    <n v="1.15E-5"/>
    <n v="5.4199999999999998E-6"/>
    <n v="6.2400000000000003E-8"/>
    <n v="9.6999999999999995E-8"/>
    <n v="6.8700000000000003E-6"/>
    <n v="8.2400000000000007E-6"/>
    <n v="5.1599999999999997E-4"/>
    <n v="1.8700000000000001E-16"/>
    <n v="8.4510979920416992E-6"/>
    <n v="5.0710856781593504E-4"/>
    <n v="8.2457280821117394E-6"/>
    <n v="2.4028228998404598E-6"/>
    <n v="5.83902416910834E-6"/>
    <n v="5.5292875552368503E-8"/>
    <n v="1.70961384884844E-6"/>
    <n v="4.7221221876835101E-7"/>
    <n v="7.6364880301239907E-15"/>
    <n v="2.2485301880310601E-5"/>
    <n v="9.8784363543236095E-6"/>
    <n v="2.3479174239092901E-5"/>
    <n v="3.1839551315961197E-5"/>
    <n v="8.5488690823342408E-6"/>
  </r>
  <r>
    <x v="0"/>
    <x v="27"/>
    <x v="4"/>
    <n v="8.16176545952175E-6"/>
    <n v="2.3374249840604199E-5"/>
    <n v="3.1019944944684101E-9"/>
    <n v="2.3370504029027599E-5"/>
    <n v="6.4381708205670495E-10"/>
    <n v="4.60492812512753E-4"/>
    <n v="8.7380596201970799E-6"/>
    <n v="1.6930868985672501E-4"/>
    <n v="2.82446063035831E-4"/>
    <n v="4.14189716314952E-6"/>
    <n v="7.09038740239021E-6"/>
    <n v="6.8384273505066298E-6"/>
    <n v="1.59804613357001E-5"/>
    <n v="3.2410483363986499E-12"/>
    <n v="1.5439356962120801E-5"/>
    <n v="5.4110113253091101E-7"/>
    <n v="1.18233903978969E-4"/>
    <n v="1.0485966449847001E-6"/>
    <n v="1.13997342412556E-4"/>
    <n v="3.3076099401217499E-6"/>
    <n v="1.17085862188627E-5"/>
    <n v="2.8655731123788901E-8"/>
    <n v="1.4537039730664701E-13"/>
    <n v="5.8389451951131897E-6"/>
    <n v="9.5393845182290602E-6"/>
    <n v="5.3977202454393299E-5"/>
    <n v="1.46306715120598E-6"/>
    <n v="1.19369827830126E-4"/>
  </r>
  <r>
    <x v="0"/>
    <x v="27"/>
    <x v="1"/>
    <n v="7.1406086080513703E-5"/>
    <n v="1.3857307499343501E-4"/>
    <n v="1.10813433096129E-4"/>
    <n v="-1.7223922622273201E-4"/>
    <n v="-4.6451710285509702E-7"/>
    <n v="2.2202330987211301E-4"/>
    <n v="-1.14901552697654E-4"/>
    <n v="-1.6359078238067999E-4"/>
    <n v="-9.3814300102723602E-7"/>
    <n v="3.9739419824184701E-4"/>
    <n v="1.55718711190818E-5"/>
    <n v="2.2794546009678099E-5"/>
    <n v="1.00032330217767E-4"/>
    <n v="-1.3083411343594E-13"/>
    <n v="-1.09629087835246E-5"/>
    <n v="-1.84213492566314E-5"/>
    <n v="1.7404050955557199E-5"/>
    <n v="-4.3330529470120803E-5"/>
    <n v="-7.3135910948876997E-5"/>
    <n v="4.9277209899833503E-6"/>
    <n v="-1.6360461635805799E-4"/>
    <n v="-1.5111486904825599E-3"/>
    <n v="2.54740265261405E-6"/>
    <n v="1.5308160616481399E-4"/>
    <n v="1.3454529139118201E-4"/>
    <n v="-6.2184724251055097E-5"/>
    <n v="5.1412073517199898E-5"/>
    <n v="2.09716506311599E-2"/>
  </r>
  <r>
    <x v="0"/>
    <x v="27"/>
    <x v="2"/>
    <n v="2.77316464364381E-5"/>
    <n v="3.1842183767761998E-5"/>
    <n v="9.5215069298613705E-8"/>
    <n v="3.1487129838880802E-5"/>
    <n v="2.5983885958265598E-7"/>
    <n v="5.9595306898569201E-5"/>
    <n v="5.7698402528749498E-5"/>
    <n v="1.18603461160425E-6"/>
    <n v="7.1086975821545504E-7"/>
    <n v="4.75812140221949E-7"/>
    <n v="3.8527441321940498E-5"/>
    <n v="4.7147648634198599E-5"/>
    <n v="3.0453813018173998E-6"/>
    <n v="7.9054776762215595E-17"/>
    <n v="2.9650436200627501E-6"/>
    <n v="8.0337681675590007E-8"/>
    <n v="1.24325452932612E-5"/>
    <n v="2.7967034380876E-6"/>
    <n v="9.6157495390043007E-6"/>
    <n v="8.7379126680760603E-8"/>
    <n v="2.1625791524237701E-7"/>
    <n v="1.4376762742796301E-6"/>
    <n v="9.4706751227310495E-16"/>
    <n v="9.6086473877970706E-6"/>
    <n v="3.5788674411190898E-5"/>
    <n v="5.2732318244329099E-5"/>
    <n v="3.5995767776032901E-7"/>
    <n v="2.0823095485508799E-7"/>
  </r>
  <r>
    <x v="0"/>
    <x v="28"/>
    <x v="19"/>
    <n v="1.3599999999999999E-2"/>
    <n v="0.02"/>
    <n v="2.5700000000000001E-5"/>
    <n v="1.9599999999999999E-2"/>
    <n v="9.3899999999999999E-6"/>
    <n v="1.6799999999999999E-2"/>
    <n v="1.09E-2"/>
    <n v="4.6299999999999996E-3"/>
    <n v="5.04E-4"/>
    <n v="1.73E-4"/>
    <n v="5.6100000000000004E-3"/>
    <n v="6.7499999999999999E-3"/>
    <n v="4.6499999999999996E-3"/>
    <n v="2.6799999999999999E-12"/>
    <n v="1.11931409377057E-3"/>
    <n v="3.4428660120091798E-3"/>
    <n v="8.1172106069365407E-3"/>
    <n v="1.08228358286595E-3"/>
    <n v="6.8800605651928703E-3"/>
    <n v="7.3111828889360495E-5"/>
    <n v="6.0346766411061197E-3"/>
    <n v="3.2270698753541501E-4"/>
    <n v="1.11412695547128E-5"/>
    <n v="1.3295049389277599E-2"/>
    <n v="8.3379433554405698E-3"/>
    <n v="3.2872719149653701E-2"/>
    <n v="4.2004012334918198E-2"/>
    <n v="3.1550792157430999E-3"/>
  </r>
  <r>
    <x v="0"/>
    <x v="28"/>
    <x v="20"/>
    <n v="2.6200000000000003E-4"/>
    <n v="4.3100000000000001E-4"/>
    <n v="1.2700000000000001E-7"/>
    <n v="9.6100000000000005E-5"/>
    <n v="4.7099999999999998E-8"/>
    <n v="8.25E-4"/>
    <n v="5.5899999999999997E-5"/>
    <n v="2.19E-5"/>
    <n v="2.6800000000000002E-6"/>
    <n v="1.2300000000000001E-4"/>
    <n v="1.94E-4"/>
    <n v="2.34E-4"/>
    <n v="1.08E-4"/>
    <n v="1.3E-14"/>
    <n v="5.90787113408592E-6"/>
    <n v="1.8096395621941E-5"/>
    <n v="1.8151185588719199E-4"/>
    <n v="5.2075502215266398E-6"/>
    <n v="3.64604872807617E-5"/>
    <n v="3.4937783083029498E-7"/>
    <n v="7.81746057126714E-5"/>
    <n v="3.5468338715031398E-5"/>
    <n v="1.1139539215097601E-5"/>
    <n v="3.8034323021243001E-4"/>
    <n v="3.0913203388644101E-4"/>
    <n v="7.7371174786286696E-4"/>
    <n v="3.9469036316895899E-4"/>
    <n v="1.1471974639086101E-3"/>
  </r>
  <r>
    <x v="0"/>
    <x v="28"/>
    <x v="3"/>
    <n v="1.6000000000000001E-4"/>
    <n v="4.15E-4"/>
    <n v="1.6899999999999999E-7"/>
    <n v="4.15E-4"/>
    <n v="1.18E-7"/>
    <n v="1.34E-4"/>
    <n v="9.8300000000000004E-5"/>
    <n v="3.4799999999999999E-5"/>
    <n v="6.8500000000000001E-7"/>
    <n v="8.6199999999999996E-7"/>
    <n v="1.0399999999999999E-4"/>
    <n v="1.21E-4"/>
    <n v="1.7099999999999999E-5"/>
    <n v="1.3100000000000001E-14"/>
    <n v="6.1220998135979903E-6"/>
    <n v="1.10080953280957E-5"/>
    <n v="1.56468744337398E-4"/>
    <n v="1.2704553039260199E-4"/>
    <n v="2.9332933245905901E-5"/>
    <n v="1.6139442832583799E-6"/>
    <n v="2.6387489823491399E-5"/>
    <n v="2.2065793591503602E-6"/>
    <n v="5.2586725911736501E-14"/>
    <n v="1.8221006794908801E-4"/>
    <n v="1.67620761509644E-4"/>
    <n v="5.6693642653103996E-4"/>
    <n v="1.78637493915828E-5"/>
    <n v="9.9075080724716905E-5"/>
  </r>
  <r>
    <x v="0"/>
    <x v="28"/>
    <x v="24"/>
    <n v="6.1600000000000003E-6"/>
    <n v="6.4699999999999999E-6"/>
    <n v="5.4599999999999998E-9"/>
    <n v="6.4500000000000001E-6"/>
    <n v="1.2299999999999999E-8"/>
    <n v="7.5599999999999996E-6"/>
    <n v="5.13E-6"/>
    <n v="2.4099999999999998E-6"/>
    <n v="2.77E-8"/>
    <n v="4.3100000000000002E-8"/>
    <n v="3.05E-6"/>
    <n v="3.6600000000000001E-6"/>
    <n v="2.2900000000000001E-4"/>
    <n v="8.3300000000000005E-17"/>
    <n v="3.7560435520185298E-6"/>
    <n v="2.25381585695971E-4"/>
    <n v="3.66476803649411E-6"/>
    <n v="1.06792128881798E-6"/>
    <n v="2.5951218529370399E-6"/>
    <n v="2.4574611356608201E-8"/>
    <n v="7.5982837726597198E-7"/>
    <n v="2.0987209723037901E-7"/>
    <n v="3.3939946800551099E-15"/>
    <n v="9.9934675023602602E-6"/>
    <n v="4.3904161574771603E-6"/>
    <n v="1.0435188550708E-5"/>
    <n v="1.4150911695982801E-5"/>
    <n v="3.7994973699261601E-6"/>
  </r>
  <r>
    <x v="0"/>
    <x v="28"/>
    <x v="27"/>
    <n v="5.13E-5"/>
    <n v="1.3300000000000001E-4"/>
    <n v="8.6700000000000002E-7"/>
    <n v="1.18E-4"/>
    <n v="2.69E-9"/>
    <n v="3.01E-4"/>
    <n v="2.42E-4"/>
    <n v="6.2099999999999998E-6"/>
    <n v="2.57E-6"/>
    <n v="3.29E-5"/>
    <n v="3.4499999999999998E-5"/>
    <n v="3.82E-5"/>
    <n v="2.4199999999999999E-5"/>
    <n v="0"/>
    <n v="1.3095130011511799E-5"/>
    <n v="5.8931250528762499E-6"/>
    <n v="8.9340389086877106E-5"/>
    <n v="1.11884345968003E-5"/>
    <n v="7.3783950591074099E-5"/>
    <n v="7.20972613135572E-7"/>
    <n v="9.3841890767953795E-5"/>
    <n v="2.09467960774613E-6"/>
    <n v="2.4540040385470801E-7"/>
    <n v="4.0972535850147599E-5"/>
    <n v="6.13842675134209E-5"/>
    <n v="5.0488605157597295E-4"/>
    <n v="1.10059236074414E-5"/>
    <n v="1.34851341513076E-4"/>
  </r>
  <r>
    <x v="0"/>
    <x v="28"/>
    <x v="4"/>
    <n v="8.0000000000000007E-5"/>
    <n v="2.2900000000000001E-4"/>
    <n v="3.0400000000000001E-8"/>
    <n v="2.2900000000000001E-4"/>
    <n v="6.3099999999999999E-9"/>
    <n v="4.5100000000000001E-3"/>
    <n v="8.5599999999999994E-5"/>
    <n v="1.66E-3"/>
    <n v="2.7699999999999999E-3"/>
    <n v="4.0599999999999998E-5"/>
    <n v="6.9499999999999995E-5"/>
    <n v="6.7000000000000002E-5"/>
    <n v="1.5699999999999999E-4"/>
    <n v="3.1800000000000003E-11"/>
    <n v="1.5126612793701799E-4"/>
    <n v="5.3014042839412799E-6"/>
    <n v="1.1583892314721801E-3"/>
    <n v="1.0273559620632999E-5"/>
    <n v="1.1168817862145599E-3"/>
    <n v="3.2406100176045201E-5"/>
    <n v="1.1471413642999299E-4"/>
    <n v="2.8075272182218798E-7"/>
    <n v="1.4242573166221901E-12"/>
    <n v="5.7206697990607303E-5"/>
    <n v="9.3461519318135294E-5"/>
    <n v="5.2883824321055099E-4"/>
    <n v="1.43343083146366E-5"/>
    <n v="1.1695183738980801E-3"/>
  </r>
  <r>
    <x v="0"/>
    <x v="28"/>
    <x v="1"/>
    <n v="1.4100421593195701E-6"/>
    <n v="2.59089358822052E-6"/>
    <n v="1.52899250006473E-6"/>
    <n v="1.05535053601283E-6"/>
    <n v="6.5505521429597803E-9"/>
    <n v="5.5046161821762102E-6"/>
    <n v="6.3885907009881798E-6"/>
    <n v="-9.3797815729655303E-7"/>
    <n v="5.4003638484580603E-8"/>
    <n v="1.8753991681123001E-7"/>
    <n v="1.6173747144624299E-6"/>
    <n v="1.79060759109375E-6"/>
    <n v="4.8982162384793095E-7"/>
    <n v="-1.8406968523184002E-15"/>
    <n v="3.2647670049622799E-7"/>
    <n v="1.6334492519239901E-7"/>
    <n v="2.4394992570194498E-6"/>
    <n v="8.1112437435217805E-7"/>
    <n v="1.5462293476117E-6"/>
    <n v="8.3554440651724106E-8"/>
    <n v="-2.9813881900257999E-6"/>
    <n v="2.22611902532742E-5"/>
    <n v="-2.8626975837918401E-17"/>
    <n v="1.33938985359562E-6"/>
    <n v="2.2788678600638601E-6"/>
    <n v="8.7236521841803896E-7"/>
    <n v="3.6129084509040397E-8"/>
    <n v="2.6531711169008198E-7"/>
  </r>
  <r>
    <x v="0"/>
    <x v="28"/>
    <x v="29"/>
    <n v="2.07898840338776E-5"/>
    <n v="5.7795781781206699E-6"/>
    <n v="0"/>
    <n v="0"/>
    <n v="0"/>
    <n v="6.7578516724761301E-6"/>
    <n v="0"/>
    <n v="0"/>
    <n v="0"/>
    <n v="7.1737665196862602E-6"/>
    <n v="1.1779898559059099E-5"/>
    <n v="2.8938912800813501E-5"/>
    <n v="3.2227093207271299E-7"/>
    <n v="0"/>
    <n v="0"/>
    <n v="0"/>
    <n v="1.3291868075218401E-6"/>
    <n v="0"/>
    <n v="0"/>
    <n v="0"/>
    <n v="2.1060983504943299E-7"/>
    <n v="6.7068882329861096E-6"/>
    <n v="1.12446709302867E-8"/>
    <n v="1.3513363324198E-5"/>
    <n v="1.1655447585252901E-6"/>
    <n v="1.1811345631323501E-6"/>
    <n v="2.6997053562523198E-7"/>
    <n v="5.2395768959058201E-5"/>
  </r>
  <r>
    <x v="0"/>
    <x v="28"/>
    <x v="2"/>
    <n v="2.33312488725409E-5"/>
    <n v="2.6789535047391901E-5"/>
    <n v="8.0106548427043802E-8"/>
    <n v="2.6490820306567199E-5"/>
    <n v="2.1860819239763901E-7"/>
    <n v="5.01388527389779E-5"/>
    <n v="4.8542945044095399E-5"/>
    <n v="9.9783720949315696E-7"/>
    <n v="5.9807048538940002E-7"/>
    <n v="4.0031130086484999E-7"/>
    <n v="3.2413990419382598E-5"/>
    <n v="3.96663619147486E-5"/>
    <n v="2.5621467959841202E-6"/>
    <n v="6.6510536092040301E-17"/>
    <n v="2.4945569234838802E-6"/>
    <n v="6.7589872433730206E-8"/>
    <n v="1.0459775946626799E-5"/>
    <n v="2.3529285968025501E-6"/>
    <n v="8.0899432388459892E-6"/>
    <n v="7.3513996203824203E-8"/>
    <n v="1.8194257786826201E-7"/>
    <n v="1.2095489184259801E-6"/>
    <n v="7.9678889165803503E-16"/>
    <n v="8.0839680416024298E-6"/>
    <n v="3.01098051073047E-5"/>
    <n v="4.4364868252751899E-5"/>
    <n v="3.0284037345771099E-7"/>
    <n v="1.75189318161329E-7"/>
  </r>
  <r>
    <x v="0"/>
    <x v="29"/>
    <x v="19"/>
    <n v="4.7983342173839403E-3"/>
    <n v="7.4276758703553302E-3"/>
    <n v="9.3688490653206396E-6"/>
    <n v="7.2484486845741398E-3"/>
    <n v="3.36696940184958E-6"/>
    <n v="6.1295105198592801E-3"/>
    <n v="3.82385284666748E-3"/>
    <n v="1.76772815216907E-3"/>
    <n v="1.6756951962083999E-4"/>
    <n v="8.0584504583261106E-5"/>
    <n v="2.11895114823047E-3"/>
    <n v="2.55027178232813E-3"/>
    <n v="1.5815659845421499E-3"/>
    <n v="1.00204373489612E-12"/>
    <n v="3.7613190209195998E-4"/>
    <n v="1.16340815055158E-3"/>
    <n v="2.7811652341563999E-3"/>
    <n v="4.07011410697445E-4"/>
    <n v="2.29937060789714E-3"/>
    <n v="2.77017146203192E-5"/>
    <n v="2.3698374060011299E-3"/>
    <n v="1.2380039816932301E-4"/>
    <n v="5.5444610418421901E-6"/>
    <n v="4.5919311047232098E-3"/>
    <n v="3.1279815660022899E-3"/>
    <n v="1.26098468894047E-2"/>
    <n v="1.38962640436626E-2"/>
    <n v="1.24414560103048E-3"/>
  </r>
  <r>
    <x v="0"/>
    <x v="29"/>
    <x v="20"/>
    <n v="1.37620093710562E-3"/>
    <n v="1.97994501823319E-3"/>
    <n v="2.5517639878554599E-6"/>
    <n v="1.9453837093060401E-3"/>
    <n v="9.4177783285158604E-7"/>
    <n v="1.67874976879762E-3"/>
    <n v="1.1064546781905499E-3"/>
    <n v="4.51175722511879E-4"/>
    <n v="5.2009128599140698E-5"/>
    <n v="1.62664138760845E-5"/>
    <n v="5.5094908473922401E-4"/>
    <n v="6.6291504620188599E-4"/>
    <n v="4.7650531374228102E-4"/>
    <n v="2.6412438628730399E-13"/>
    <n v="1.1517126278699101E-4"/>
    <n v="3.5349189133726202E-4"/>
    <n v="8.3018707089367897E-4"/>
    <n v="1.06275331985177E-4"/>
    <n v="7.0939833940294702E-4"/>
    <n v="7.1549791628057101E-6"/>
    <n v="5.8124352013382897E-4"/>
    <n v="3.1706001416583198E-5"/>
    <n v="1.0344895399382801E-6"/>
    <n v="1.35618935224428E-3"/>
    <n v="8.2205554943168399E-4"/>
    <n v="3.2044402036897502E-3"/>
    <n v="4.3491792024340798E-3"/>
    <n v="3.1320008961829799E-4"/>
  </r>
  <r>
    <x v="0"/>
    <x v="29"/>
    <x v="42"/>
    <n v="2.6435305539561899E-5"/>
    <n v="3.6793681459080901E-5"/>
    <n v="4.8482358947500503E-8"/>
    <n v="3.6727104954011901E-5"/>
    <n v="1.80941461214921E-8"/>
    <n v="3.0915667115654301E-5"/>
    <n v="2.1549673967941799E-5"/>
    <n v="8.3261261428815605E-6"/>
    <n v="1.03986700483097E-6"/>
    <n v="8.8912942581588E-8"/>
    <n v="1.00169912911355E-5"/>
    <n v="1.20505735164575E-5"/>
    <n v="9.3050791193821696E-6"/>
    <n v="4.9467907150028201E-15"/>
    <n v="2.2915378696557302E-6"/>
    <n v="7.0135412447796497E-6"/>
    <n v="1.61653094229773E-5"/>
    <n v="1.9819825917446498E-6"/>
    <n v="1.41532681374083E-5"/>
    <n v="1.3277397640499299E-7"/>
    <n v="1.04502905511641E-5"/>
    <n v="5.3776643193053097E-7"/>
    <n v="1.3097620105698601E-13"/>
    <n v="2.6180406502479701E-5"/>
    <n v="1.4993310157258101E-5"/>
    <n v="5.8134969187189897E-5"/>
    <n v="8.6972335390002995E-5"/>
    <n v="4.1309969774751604E-6"/>
  </r>
  <r>
    <x v="0"/>
    <x v="29"/>
    <x v="3"/>
    <n v="1.64316818571775E-5"/>
    <n v="4.2668305304888601E-5"/>
    <n v="1.7363202849713101E-8"/>
    <n v="4.2638793431115399E-5"/>
    <n v="1.2148670923487599E-8"/>
    <n v="1.3751383095526601E-5"/>
    <n v="1.01061495377498E-5"/>
    <n v="3.5748403814899399E-6"/>
    <n v="7.0393176286865896E-8"/>
    <n v="8.8631828009007806E-8"/>
    <n v="1.07021679170165E-5"/>
    <n v="1.2459494019000701E-5"/>
    <n v="1.7614013552839201E-6"/>
    <n v="1.3498465311775101E-15"/>
    <n v="6.2950099583774499E-7"/>
    <n v="1.13190035809633E-6"/>
    <n v="1.6088798513068699E-5"/>
    <n v="1.30633753669357E-5"/>
    <n v="3.0161400910397598E-6"/>
    <n v="1.6595278817264001E-7"/>
    <n v="2.7132767559018101E-6"/>
    <n v="2.2689011062755201E-7"/>
    <n v="5.4071964419393702E-15"/>
    <n v="1.8735633641719999E-5"/>
    <n v="1.72354975426951E-5"/>
    <n v="5.8294875278787499E-5"/>
    <n v="1.8368286002819001E-6"/>
    <n v="1.01873317779607E-5"/>
  </r>
  <r>
    <x v="0"/>
    <x v="29"/>
    <x v="23"/>
    <n v="2.0373441221103901E-6"/>
    <n v="6.3286931316866598E-6"/>
    <n v="8.1510027024705504E-10"/>
    <n v="6.3277088578480797E-6"/>
    <n v="1.69173568331565E-10"/>
    <n v="3.0159023986704601E-5"/>
    <n v="6.1045683318842304E-7"/>
    <n v="2.93845078522932E-5"/>
    <n v="1.6405930122294101E-7"/>
    <n v="9.6296222685574607E-7"/>
    <n v="1.70809904357149E-6"/>
    <n v="2.0089269712426801E-6"/>
    <n v="9.03115019656606E-7"/>
    <n v="1.34798747317805E-12"/>
    <n v="8.5574304036932296E-7"/>
    <n v="4.7370631299809998E-8"/>
    <n v="5.5076330497248996E-6"/>
    <n v="1.8398034858471399E-7"/>
    <n v="5.3102190753204599E-6"/>
    <n v="4.3107853175965901E-8"/>
    <n v="1.7916599554502E-6"/>
    <n v="7.5297664856525707E-9"/>
    <n v="1.2315482832343E-14"/>
    <n v="1.05142569570724E-6"/>
    <n v="2.2288157270801599E-6"/>
    <n v="1.31629243600197E-5"/>
    <n v="-1.5392259703309601E-8"/>
    <n v="-2.28661113325366E-7"/>
  </r>
  <r>
    <x v="0"/>
    <x v="29"/>
    <x v="24"/>
    <n v="7.1899999999999998E-6"/>
    <n v="7.5399999999999998E-6"/>
    <n v="6.3700000000000001E-9"/>
    <n v="7.52E-6"/>
    <n v="1.44E-8"/>
    <n v="8.8200000000000003E-6"/>
    <n v="5.9800000000000003E-6"/>
    <n v="2.8100000000000002E-6"/>
    <n v="3.2299999999999998E-8"/>
    <n v="5.03E-8"/>
    <n v="3.5599999999999998E-6"/>
    <n v="4.2699999999999998E-6"/>
    <n v="2.6699999999999998E-4"/>
    <n v="9.7100000000000003E-17"/>
    <n v="4.3820508106882897E-6"/>
    <n v="2.62945183311967E-4"/>
    <n v="4.2755627092431301E-6"/>
    <n v="1.2459081702876501E-6"/>
    <n v="3.02764216175988E-6"/>
    <n v="2.8670379916042902E-8"/>
    <n v="8.8646644014363299E-7"/>
    <n v="2.4485078010211098E-7"/>
    <n v="3.9596604600642898E-15"/>
    <n v="1.16590454194203E-5"/>
    <n v="5.1221521837233498E-6"/>
    <n v="1.21743866424926E-5"/>
    <n v="1.6509396978646601E-5"/>
    <n v="4.4327469315806199E-6"/>
  </r>
  <r>
    <x v="0"/>
    <x v="29"/>
    <x v="27"/>
    <n v="6.6599999999999998E-6"/>
    <n v="1.73E-5"/>
    <n v="1.1300000000000001E-7"/>
    <n v="1.5299999999999999E-5"/>
    <n v="3.4999999999999998E-10"/>
    <n v="3.9100000000000002E-5"/>
    <n v="3.1399999999999998E-5"/>
    <n v="8.0800000000000004E-7"/>
    <n v="3.34E-7"/>
    <n v="4.2799999999999997E-6"/>
    <n v="4.4900000000000002E-6"/>
    <n v="4.9699999999999998E-6"/>
    <n v="3.1499999999999999E-6"/>
    <n v="0"/>
    <n v="1.70179002352246E-6"/>
    <n v="7.6584664784074601E-7"/>
    <n v="1.16103148813342E-5"/>
    <n v="1.4540036150026801E-6"/>
    <n v="9.5886631825404695E-6"/>
    <n v="9.36946787995567E-8"/>
    <n v="1.2195311795835399E-5"/>
    <n v="2.7221607237229499E-7"/>
    <n v="3.1891241910633903E-8"/>
    <n v="5.3246247029927504E-6"/>
    <n v="7.9772506239908193E-6"/>
    <n v="6.5612945028595602E-5"/>
    <n v="1.43028522651771E-6"/>
    <n v="1.7524733808968E-5"/>
  </r>
  <r>
    <x v="0"/>
    <x v="29"/>
    <x v="4"/>
    <n v="1.0900000000000001E-5"/>
    <n v="3.1099999999999997E-5"/>
    <n v="4.1299999999999996E-9"/>
    <n v="3.1099999999999997E-5"/>
    <n v="8.5800000000000004E-10"/>
    <n v="6.1399999999999996E-4"/>
    <n v="1.1600000000000001E-5"/>
    <n v="2.2599999999999999E-4"/>
    <n v="3.7599999999999998E-4"/>
    <n v="5.5199999999999997E-6"/>
    <n v="9.4499999999999993E-6"/>
    <n v="9.1099999999999992E-6"/>
    <n v="2.1299999999999999E-5"/>
    <n v="4.3200000000000002E-12"/>
    <n v="2.05745116542687E-5"/>
    <n v="7.2107223019124704E-7"/>
    <n v="1.57558688571886E-4"/>
    <n v="1.3973615575956801E-6"/>
    <n v="1.51913039887421E-4"/>
    <n v="4.4077262691555699E-6"/>
    <n v="1.5602880625535402E-5"/>
    <n v="3.8186672891523701E-8"/>
    <n v="1.9372082275895699E-13"/>
    <n v="7.7809876577262792E-6"/>
    <n v="1.27121989877157E-5"/>
    <n v="7.1930105877297094E-5"/>
    <n v="1.9496856136766302E-6"/>
    <n v="1.59072422503379E-4"/>
  </r>
  <r>
    <x v="0"/>
    <x v="29"/>
    <x v="1"/>
    <n v="8.4099999999999997E-7"/>
    <n v="9.4499999999999995E-7"/>
    <n v="8.1699999999999997E-7"/>
    <n v="-2.4100000000000001E-8"/>
    <n v="3.1800000000000002E-9"/>
    <n v="7.8700000000000005E-7"/>
    <n v="1.0100000000000001E-6"/>
    <n v="-5.7599999999999997E-7"/>
    <n v="1.5300000000000001E-8"/>
    <n v="4.2399999999999999E-7"/>
    <n v="8.6799999999999999E-7"/>
    <n v="9.6500000000000008E-7"/>
    <n v="1.86E-7"/>
    <n v="-9.5499999999999994E-16"/>
    <n v="8.9767574156789905E-8"/>
    <n v="6.7954937593643595E-8"/>
    <n v="9.8185654584921903E-7"/>
    <n v="3.1397802460441401E-7"/>
    <n v="5.6394630567639896E-7"/>
    <n v="4.3699195736108503E-8"/>
    <n v="-1.47053092657567E-6"/>
    <n v="1.20266747355771E-5"/>
    <n v="2.3152743381021502E-9"/>
    <n v="9.931267702789669E-7"/>
    <n v="1.18289444896781E-6"/>
    <n v="-4.7236145659101302E-7"/>
    <n v="2.8660758607050299E-8"/>
    <n v="2.1477285204317599E-5"/>
  </r>
  <r>
    <x v="0"/>
    <x v="29"/>
    <x v="43"/>
    <n v="2.3999999999999998E-7"/>
    <n v="5.8100000000000003E-7"/>
    <n v="3.9899999999999997E-9"/>
    <n v="5.7599999999999997E-7"/>
    <n v="9.5000000000000003E-10"/>
    <n v="6.6300000000000005E-7"/>
    <n v="4.3300000000000003E-7"/>
    <n v="2.28E-7"/>
    <n v="2.3199999999999998E-9"/>
    <n v="6.2300000000000002E-9"/>
    <n v="1.6199999999999999E-7"/>
    <n v="1.9399999999999999E-7"/>
    <n v="1.1599999999999999E-6"/>
    <n v="9.8199999999999998E-17"/>
    <n v="1.11732107944102E-6"/>
    <n v="3.7700603217130798E-8"/>
    <n v="9.7563396241737E-6"/>
    <n v="6.80072982793698E-8"/>
    <n v="9.6874807516490807E-6"/>
    <n v="2.69673779019413E-9"/>
    <n v="2.1787128029745401E-7"/>
    <n v="1.5496083719491599E-7"/>
    <n v="1.10654349844885E-15"/>
    <n v="2.3971571401404401E-7"/>
    <n v="2.6125099505773202E-7"/>
    <n v="1.1547159631197901E-6"/>
    <n v="1.1412282268791701E-6"/>
    <n v="5.6686239879351002E-8"/>
  </r>
  <r>
    <x v="0"/>
    <x v="29"/>
    <x v="2"/>
    <n v="1.7799999999999999E-5"/>
    <n v="2.05E-5"/>
    <n v="6.13E-8"/>
    <n v="2.0299999999999999E-5"/>
    <n v="1.67E-7"/>
    <n v="3.8300000000000003E-5"/>
    <n v="3.7100000000000001E-5"/>
    <n v="7.6300000000000004E-7"/>
    <n v="4.5699999999999998E-7"/>
    <n v="3.0600000000000001E-7"/>
    <n v="2.48E-5"/>
    <n v="3.0300000000000001E-5"/>
    <n v="1.9599999999999999E-6"/>
    <n v="5.0899999999999999E-17"/>
    <n v="1.9079858047241699E-6"/>
    <n v="5.1696762632527597E-8"/>
    <n v="8.0002600216824197E-6"/>
    <n v="1.79966001976777E-6"/>
    <n v="6.1876707303938004E-6"/>
    <n v="5.6227885555544603E-8"/>
    <n v="1.3916052689739701E-7"/>
    <n v="9.25135099043228E-7"/>
    <n v="6.0943163105784998E-16"/>
    <n v="6.1831005434344196E-6"/>
    <n v="2.3029773418646099E-5"/>
    <n v="3.3932895280052499E-5"/>
    <n v="2.3163036618451101E-7"/>
    <n v="1.33995231395358E-7"/>
  </r>
  <r>
    <x v="0"/>
    <x v="30"/>
    <x v="19"/>
    <n v="3.5399999999999999E-4"/>
    <n v="4.9299999999999995E-4"/>
    <n v="6.5000000000000002E-7"/>
    <n v="4.9200000000000003E-4"/>
    <n v="2.4299999999999999E-7"/>
    <n v="4.15E-4"/>
    <n v="2.8899999999999998E-4"/>
    <n v="1.12E-4"/>
    <n v="1.3900000000000001E-5"/>
    <n v="1.19E-6"/>
    <n v="1.34E-4"/>
    <n v="1.6200000000000001E-4"/>
    <n v="1.25E-4"/>
    <n v="6.6300000000000005E-14"/>
    <n v="3.0727439615838198E-5"/>
    <n v="9.4045212145909006E-5"/>
    <n v="2.16762103626286E-4"/>
    <n v="2.65765847529396E-5"/>
    <n v="1.8978245911524701E-4"/>
    <n v="1.78037831997604E-6"/>
    <n v="1.4012889602697299E-4"/>
    <n v="7.2109589736139297E-6"/>
    <n v="1.7562717869004899E-12"/>
    <n v="3.5105545082870501E-4"/>
    <n v="2.0104665892686999E-4"/>
    <n v="7.7953708682822805E-4"/>
    <n v="1.1662199518205E-3"/>
    <n v="5.5392914016134901E-5"/>
  </r>
  <r>
    <x v="0"/>
    <x v="30"/>
    <x v="20"/>
    <n v="2.3200000000000001E-5"/>
    <n v="3.2299999999999999E-5"/>
    <n v="4.2599999999999998E-8"/>
    <n v="3.2299999999999999E-5"/>
    <n v="1.59E-8"/>
    <n v="2.72E-5"/>
    <n v="1.8899999999999999E-5"/>
    <n v="7.3200000000000002E-6"/>
    <n v="9.1399999999999995E-7"/>
    <n v="7.8100000000000005E-8"/>
    <n v="8.8000000000000004E-6"/>
    <n v="1.06E-5"/>
    <n v="8.1799999999999996E-6"/>
    <n v="4.3500000000000001E-15"/>
    <n v="2.0137757036368499E-6"/>
    <n v="6.1634150332912099E-6"/>
    <n v="1.42058779777679E-5"/>
    <n v="1.74174227759378E-6"/>
    <n v="1.24377204843891E-5"/>
    <n v="1.16680161083176E-7"/>
    <n v="9.1835886661744708E-6"/>
    <n v="4.7258262199955398E-7"/>
    <n v="1.1510029789856399E-13"/>
    <n v="2.3007023896118501E-5"/>
    <n v="1.3175939229105601E-5"/>
    <n v="5.10883062554093E-5"/>
    <n v="7.6430234130608698E-5"/>
    <n v="3.6302700711144699E-6"/>
  </r>
  <r>
    <x v="0"/>
    <x v="30"/>
    <x v="24"/>
    <n v="4.82E-7"/>
    <n v="4.6600000000000002E-7"/>
    <n v="3.7200000000000001E-10"/>
    <n v="4.6499999999999999E-7"/>
    <n v="1.08E-9"/>
    <n v="6.0100000000000005E-7"/>
    <n v="4.0600000000000001E-7"/>
    <n v="1.9600000000000001E-7"/>
    <n v="-5.2199999999999996E-10"/>
    <n v="3.6800000000000001E-9"/>
    <n v="2.48E-7"/>
    <n v="2.9799999999999999E-7"/>
    <n v="2.0999999999999999E-5"/>
    <n v="-6.5900000000000004E-18"/>
    <n v="3.3736204742642202E-7"/>
    <n v="2.06148080073993E-5"/>
    <n v="2.7895807159234602E-7"/>
    <n v="8.0882013453087403E-8"/>
    <n v="1.98013979830049E-7"/>
    <n v="1.7888507823241801E-9"/>
    <n v="4.0627205654857099E-8"/>
    <n v="1.7739238260705201E-8"/>
    <n v="3.7398252564595804E-15"/>
    <n v="8.2889564830192204E-7"/>
    <n v="3.531007944502E-7"/>
    <n v="7.66339885426099E-7"/>
    <n v="1.03396895245094E-6"/>
    <n v="2.9200987742176598E-7"/>
  </r>
  <r>
    <x v="0"/>
    <x v="30"/>
    <x v="4"/>
    <n v="1.0699999999999999E-6"/>
    <n v="3.05E-6"/>
    <n v="4.2399999999999998E-10"/>
    <n v="3.05E-6"/>
    <n v="8.7100000000000002E-11"/>
    <n v="6.05E-5"/>
    <n v="1.15E-6"/>
    <n v="2.23E-5"/>
    <n v="3.7100000000000001E-5"/>
    <n v="5.44E-7"/>
    <n v="9.2200000000000002E-7"/>
    <n v="8.8700000000000004E-7"/>
    <n v="2.0999999999999998E-6"/>
    <n v="4.26E-13"/>
    <n v="2.0285816302444499E-6"/>
    <n v="7.15783386929501E-8"/>
    <n v="1.55354689895953E-5"/>
    <n v="1.38490011946169E-7"/>
    <n v="1.49781323184883E-5"/>
    <n v="4.3458695234991099E-7"/>
    <n v="1.55919233971399E-6"/>
    <n v="3.8705013914658902E-9"/>
    <n v="1.91099505677643E-14"/>
    <n v="7.6657983339787202E-7"/>
    <n v="1.2416388206451999E-6"/>
    <n v="7.1228835345351603E-6"/>
    <n v="1.92351986784889E-7"/>
    <n v="1.5681331055513499E-5"/>
  </r>
  <r>
    <x v="0"/>
    <x v="30"/>
    <x v="1"/>
    <n v="2.7900000000000001E-5"/>
    <n v="3.1999999999999999E-5"/>
    <n v="5.9599999999999997E-6"/>
    <n v="-2.26E-6"/>
    <n v="-2.8599999999999999E-10"/>
    <n v="6.8499999999999998E-5"/>
    <n v="5.7299999999999996E-7"/>
    <n v="-3.5099999999999999E-6"/>
    <n v="9.7800000000000002E-8"/>
    <n v="1.15E-4"/>
    <n v="2.0299999999999999E-5"/>
    <n v="2.1299999999999999E-5"/>
    <n v="6.6499999999999999E-6"/>
    <n v="-4.0700000000000003E-15"/>
    <n v="9.2131756439908502E-8"/>
    <n v="-1.4068535622370099E-7"/>
    <n v="1.33988500773631E-5"/>
    <n v="1.40205864671189E-7"/>
    <n v="6.3749581848383698E-7"/>
    <n v="3.0298910305917898E-7"/>
    <n v="1.0473791186615001E-5"/>
    <n v="1.4339850182052799E-4"/>
    <n v="4.5209200249160302E-7"/>
    <n v="4.4750212436107602E-5"/>
    <n v="2.6562825861349001E-5"/>
    <n v="4.6289258397664597E-5"/>
    <n v="8.5303627558868098E-6"/>
    <n v="3.17798818919364E-3"/>
  </r>
  <r>
    <x v="0"/>
    <x v="30"/>
    <x v="29"/>
    <n v="1.8814845050659299E-3"/>
    <n v="5.2305182511992005E-4"/>
    <n v="0"/>
    <n v="0"/>
    <n v="0"/>
    <n v="6.1158557635909E-4"/>
    <n v="0"/>
    <n v="0"/>
    <n v="0"/>
    <n v="6.49225870031607E-4"/>
    <n v="1.06608081959485E-3"/>
    <n v="2.6189716084736199E-3"/>
    <n v="2.9165519352580601E-5"/>
    <n v="0"/>
    <n v="0"/>
    <n v="0"/>
    <n v="1.20291406080727E-4"/>
    <n v="0"/>
    <n v="0"/>
    <n v="0"/>
    <n v="1.9060190071973701E-5"/>
    <n v="6.0697338508524301E-4"/>
    <n v="1.0176427191909501E-6"/>
    <n v="1.22295938083991E-3"/>
    <n v="1.05481800646538E-4"/>
    <n v="1.06892677963477E-4"/>
    <n v="2.44323334740835E-5"/>
    <n v="4.7418170907947699E-3"/>
  </r>
  <r>
    <x v="0"/>
    <x v="30"/>
    <x v="2"/>
    <n v="3.72049724251459E-6"/>
    <n v="4.2719698296722499E-6"/>
    <n v="1.27741208436101E-8"/>
    <n v="4.22433554418638E-6"/>
    <n v="3.4860164642268399E-8"/>
    <n v="7.99534840064896E-6"/>
    <n v="7.7408583726802302E-6"/>
    <n v="1.59119239894913E-7"/>
    <n v="9.5370788073819106E-8"/>
    <n v="6.3835292279101501E-8"/>
    <n v="5.1688686976435299E-6"/>
    <n v="6.3253617897024298E-6"/>
    <n v="4.0857050308162003E-7"/>
    <n v="1.0606044600545801E-17"/>
    <n v="3.9779234304257399E-7"/>
    <n v="1.077816002844E-8"/>
    <n v="1.66795904408469E-6"/>
    <n v="3.7520770551380502E-7"/>
    <n v="1.2900557392643399E-6"/>
    <n v="1.17228452560229E-8"/>
    <n v="2.9013314415909599E-8"/>
    <n v="1.92879662819365E-7"/>
    <n v="1.2705924532693601E-16"/>
    <n v="1.28910290964988E-6"/>
    <n v="4.8014337974947401E-6"/>
    <n v="7.0746050029558802E-6"/>
    <n v="4.8292175893660099E-8"/>
    <n v="2.7936411749667799E-8"/>
  </r>
  <r>
    <x v="0"/>
    <x v="31"/>
    <x v="21"/>
    <n v="9.2400000000000002E-4"/>
    <n v="1.64E-3"/>
    <n v="2.6599999999999999E-6"/>
    <n v="1.6299999999999999E-3"/>
    <n v="5.9599999999999999E-7"/>
    <n v="2.0899999999999998E-3"/>
    <n v="1.73E-3"/>
    <n v="3.2400000000000001E-4"/>
    <n v="4.0200000000000001E-5"/>
    <n v="5.4399999999999996E-6"/>
    <n v="4.1599999999999997E-4"/>
    <n v="4.9299999999999995E-4"/>
    <n v="3.5E-4"/>
    <n v="1.7399999999999999E-13"/>
    <n v="1.10824118135112E-4"/>
    <n v="2.39053437987479E-4"/>
    <n v="7.9445590277953603E-4"/>
    <n v="2.38104988447545E-4"/>
    <n v="5.5405013502346598E-4"/>
    <n v="7.3486228465221199E-6"/>
    <n v="3.7272849255165399E-4"/>
    <n v="1.5818055153457298E-5"/>
    <n v="6.2685810443828399E-12"/>
    <n v="9.5606448366470395E-4"/>
    <n v="7.4017465611340603E-4"/>
    <n v="3.0027583908017398E-3"/>
    <n v="2.5853827953816399E-4"/>
    <n v="1.6269594628193199E-4"/>
  </r>
  <r>
    <x v="0"/>
    <x v="31"/>
    <x v="3"/>
    <n v="3.8199999999999998E-6"/>
    <n v="9.9199999999999999E-6"/>
    <n v="4.0400000000000001E-9"/>
    <n v="9.9199999999999999E-6"/>
    <n v="2.8299999999999999E-9"/>
    <n v="3.1999999999999999E-6"/>
    <n v="2.3499999999999999E-6"/>
    <n v="8.3099999999999996E-7"/>
    <n v="1.6400000000000001E-8"/>
    <n v="2.0599999999999999E-8"/>
    <n v="2.4899999999999999E-6"/>
    <n v="2.9000000000000002E-6"/>
    <n v="4.0999999999999999E-7"/>
    <n v="3.1400000000000002E-16"/>
    <n v="1.4638788994710599E-7"/>
    <n v="2.6321881323092398E-7"/>
    <n v="3.7413844961086099E-6"/>
    <n v="3.03783467889164E-6"/>
    <n v="7.0139108060440005E-7"/>
    <n v="3.8591644258007703E-8"/>
    <n v="6.3096144686857796E-7"/>
    <n v="5.2762370138003298E-8"/>
    <n v="1.2574214860639E-15"/>
    <n v="4.3568952134594197E-6"/>
    <n v="4.0080446800658999E-6"/>
    <n v="1.35562355631142E-5"/>
    <n v="4.2714700178023401E-7"/>
    <n v="2.36902246863347E-6"/>
  </r>
  <r>
    <x v="0"/>
    <x v="31"/>
    <x v="1"/>
    <n v="4.2399999999999998E-10"/>
    <n v="4.7700000000000001E-10"/>
    <n v="4.1200000000000002E-10"/>
    <n v="-1.1900000000000001E-11"/>
    <n v="1.6E-12"/>
    <n v="3.9900000000000002E-10"/>
    <n v="5.1199999999999999E-10"/>
    <n v="-2.9099999999999998E-10"/>
    <n v="7.7300000000000004E-12"/>
    <n v="2.1500000000000001E-10"/>
    <n v="4.3799999999999999E-10"/>
    <n v="4.8699999999999997E-10"/>
    <n v="9.4199999999999995E-11"/>
    <n v="-4.8200000000000002E-19"/>
    <n v="4.53018380288576E-11"/>
    <n v="3.4269112688256501E-11"/>
    <n v="4.9549992058115699E-10"/>
    <n v="1.58365527754137E-10"/>
    <n v="2.8447508290561101E-10"/>
    <n v="2.20392614780741E-11"/>
    <n v="-7.4115892427332599E-10"/>
    <n v="6.0645235599710398E-9"/>
    <n v="1.1769311248179499E-12"/>
    <n v="5.0174971417419698E-10"/>
    <n v="5.9694382962458905E-10"/>
    <n v="-2.36510320004753E-10"/>
    <n v="1.45357635513915E-11"/>
    <n v="1.09162325166411E-8"/>
  </r>
  <r>
    <x v="0"/>
    <x v="31"/>
    <x v="2"/>
    <n v="5.9200000000000001E-6"/>
    <n v="6.7900000000000002E-6"/>
    <n v="2.03E-8"/>
    <n v="6.72E-6"/>
    <n v="5.54E-8"/>
    <n v="1.27E-5"/>
    <n v="1.2300000000000001E-5"/>
    <n v="2.53E-7"/>
    <n v="1.5200000000000001E-7"/>
    <n v="1.02E-7"/>
    <n v="8.2199999999999992E-6"/>
    <n v="1.01E-5"/>
    <n v="6.5000000000000002E-7"/>
    <n v="1.6900000000000001E-17"/>
    <n v="6.3270015220561102E-7"/>
    <n v="1.7142973236567701E-8"/>
    <n v="2.65293678855996E-6"/>
    <n v="5.9677863724464604E-7"/>
    <n v="2.05187072315998E-6"/>
    <n v="1.8645522236647801E-8"/>
    <n v="4.6146510278531497E-8"/>
    <n v="3.06780646127515E-7"/>
    <n v="2.0209138075058101E-16"/>
    <n v="2.0503552202785401E-6"/>
    <n v="7.6368184245189307E-6"/>
    <n v="1.12523625465704E-5"/>
    <n v="7.6810093438597793E-8"/>
    <n v="4.4433665642982302E-8"/>
  </r>
  <r>
    <x v="0"/>
    <x v="31"/>
    <x v="30"/>
    <n v="1.6199999999999999E-6"/>
    <n v="5.6400000000000002E-6"/>
    <n v="1.0999999999999999E-8"/>
    <n v="5.6200000000000004E-6"/>
    <n v="1.09E-9"/>
    <n v="1.38E-5"/>
    <n v="7.5100000000000001E-6"/>
    <n v="6.2199999999999997E-6"/>
    <n v="7.8800000000000004E-8"/>
    <n v="7.8300000000000006E-8"/>
    <n v="1.5200000000000001E-6"/>
    <n v="1.7099999999999999E-6"/>
    <n v="7.2799999999999995E-7"/>
    <n v="1.4600000000000001E-16"/>
    <n v="5.8026986700632801E-7"/>
    <n v="1.48111184657974E-7"/>
    <n v="2.8271475784000198E-6"/>
    <n v="3.60955065359525E-7"/>
    <n v="2.45737085081929E-6"/>
    <n v="2.7795357249675501E-8"/>
    <n v="4.9523299377015303E-7"/>
    <n v="3.9432265185164202E-8"/>
    <n v="1.2452310215896801E-9"/>
    <n v="1.27495197245477E-6"/>
    <n v="2.4426824831537602E-6"/>
    <n v="1.35101624864994E-5"/>
    <n v="1.27050910137878E-6"/>
    <n v="6.9191393610761801E-7"/>
  </r>
  <r>
    <x v="0"/>
    <x v="32"/>
    <x v="21"/>
    <n v="8.7700000000000004E-5"/>
    <n v="1.3300000000000001E-4"/>
    <n v="1.55E-7"/>
    <n v="1.3200000000000001E-4"/>
    <n v="7.4299999999999997E-8"/>
    <n v="1E-4"/>
    <n v="7.08E-5"/>
    <n v="2.6100000000000001E-5"/>
    <n v="3.4000000000000001E-6"/>
    <n v="3.2300000000000002E-7"/>
    <n v="3.5599999999999998E-5"/>
    <n v="4.3000000000000002E-5"/>
    <n v="3.0800000000000003E-5"/>
    <n v="1.5399999999999999E-14"/>
    <n v="7.1751561771350002E-6"/>
    <n v="2.3587529785423301E-5"/>
    <n v="4.9458330605026597E-5"/>
    <n v="6.9542255205086997E-6"/>
    <n v="4.2401284075919502E-5"/>
    <n v="4.8387273271992497E-7"/>
    <n v="3.2799688026595402E-5"/>
    <n v="1.5404560948823399E-6"/>
    <n v="6.1887004679424204E-13"/>
    <n v="9.2811903122819099E-5"/>
    <n v="5.2847022916608699E-5"/>
    <n v="2.0210108282718299E-4"/>
    <n v="2.5939503401664399E-5"/>
    <n v="1.38587417741823E-5"/>
  </r>
  <r>
    <x v="0"/>
    <x v="32"/>
    <x v="22"/>
    <n v="8.1900000000000001E-7"/>
    <n v="1.1200000000000001E-6"/>
    <n v="1.4700000000000001E-9"/>
    <n v="1.1200000000000001E-6"/>
    <n v="6.8000000000000003E-10"/>
    <n v="9.3699999999999999E-7"/>
    <n v="6.5899999999999996E-7"/>
    <n v="2.4600000000000001E-7"/>
    <n v="3.1599999999999998E-8"/>
    <n v="2.9400000000000002E-9"/>
    <n v="3.1E-7"/>
    <n v="3.7300000000000002E-7"/>
    <n v="2.8299999999999998E-7"/>
    <n v="1.4300000000000001E-16"/>
    <n v="7.0081833513642601E-8"/>
    <n v="2.1313398222096E-7"/>
    <n v="4.9411824593381303E-7"/>
    <n v="6.1288440864410894E-8"/>
    <n v="4.3190850793340701E-7"/>
    <n v="4.0586728707011098E-9"/>
    <n v="3.0310050392518897E-7"/>
    <n v="1.7760555159953301E-8"/>
    <n v="3.9618012103729596E-15"/>
    <n v="8.09766417095734E-7"/>
    <n v="4.6352819986116702E-7"/>
    <n v="1.7671563643053599E-6"/>
    <n v="2.6356825841257399E-6"/>
    <n v="1.25752547616701E-7"/>
  </r>
  <r>
    <x v="0"/>
    <x v="32"/>
    <x v="33"/>
    <n v="1.5999999999999999E-5"/>
    <n v="1.5299999999999999E-5"/>
    <n v="0"/>
    <n v="1.5299999999999999E-5"/>
    <n v="0"/>
    <n v="1.38E-5"/>
    <n v="1.2999999999999999E-5"/>
    <n v="5.0500000000000004E-7"/>
    <n v="2.4299999999999999E-7"/>
    <n v="8.5600000000000004E-7"/>
    <n v="5.8900000000000004E-6"/>
    <n v="7.0199999999999997E-6"/>
    <n v="2.2399999999999998E-3"/>
    <n v="0"/>
    <n v="8.5912205241963199E-7"/>
    <n v="2.24304292602977E-3"/>
    <n v="1.09531252475177E-5"/>
    <n v="3.9637514750268699E-6"/>
    <n v="6.9659979264845098E-6"/>
    <n v="2.34728359831596E-7"/>
    <n v="0"/>
    <n v="0"/>
    <n v="0"/>
    <n v="1.4266622681411801E-5"/>
    <n v="8.6879119527381905E-6"/>
    <n v="4.9966827856053297E-5"/>
    <n v="2.06189616099792E-7"/>
    <n v="1.38893531576527E-5"/>
  </r>
  <r>
    <x v="0"/>
    <x v="32"/>
    <x v="28"/>
    <n v="6.4500000000000001E-6"/>
    <n v="1.77E-5"/>
    <n v="5.6699999999999997E-9"/>
    <n v="1.77E-5"/>
    <n v="3.48E-9"/>
    <n v="7.8899999999999993E-5"/>
    <n v="1.5099999999999999E-5"/>
    <n v="6.3700000000000003E-5"/>
    <n v="1.01E-7"/>
    <n v="5.9599999999999999E-7"/>
    <n v="4.8600000000000001E-6"/>
    <n v="5.4299999999999997E-6"/>
    <n v="3.2899999999999998E-6"/>
    <n v="0"/>
    <n v="2.8944370245085402E-6"/>
    <n v="3.9113209883032498E-7"/>
    <n v="1.65441600083568E-5"/>
    <n v="1.1418399089957399E-6"/>
    <n v="1.53797673086485E-5"/>
    <n v="9.8539862101669997E-8"/>
    <n v="1.46458939334545E-6"/>
    <n v="1.5207402142983501E-7"/>
    <n v="1.3875412681976799E-8"/>
    <n v="7.9703052187067201E-6"/>
    <n v="7.4073487902076099E-6"/>
    <n v="4.9474025835469602E-5"/>
    <n v="1.3733294616447101E-5"/>
    <n v="3.71760141669198E-6"/>
  </r>
  <r>
    <x v="0"/>
    <x v="32"/>
    <x v="1"/>
    <n v="3.0199999999999998E-7"/>
    <n v="3.2500000000000001E-7"/>
    <n v="2.5100000000000001E-7"/>
    <n v="-2.9900000000000003E-8"/>
    <n v="9.2999999999999999E-10"/>
    <n v="2.8000000000000002E-7"/>
    <n v="2.22E-7"/>
    <n v="-1.7800000000000001E-7"/>
    <n v="4.2400000000000002E-9"/>
    <n v="2.5800000000000001E-7"/>
    <n v="2.8900000000000001E-7"/>
    <n v="3.1800000000000002E-7"/>
    <n v="6.3199999999999997E-8"/>
    <n v="-2.88E-16"/>
    <n v="2.3938277305137099E-8"/>
    <n v="1.9274542969906599E-8"/>
    <n v="3.0396045927980902E-7"/>
    <n v="8.92569370024083E-8"/>
    <n v="1.59331135519518E-7"/>
    <n v="1.33644750572188E-8"/>
    <n v="-4.0454934166170701E-7"/>
    <n v="3.62506890865703E-6"/>
    <n v="1.60782963688802E-9"/>
    <n v="3.9419990052884299E-7"/>
    <n v="3.8993679597897398E-7"/>
    <n v="-7.3968500219018095E-8"/>
    <n v="1.58973312351402E-8"/>
    <n v="1.47946356527089E-5"/>
  </r>
  <r>
    <x v="0"/>
    <x v="32"/>
    <x v="2"/>
    <n v="2.7335605265985802E-4"/>
    <n v="4.6538776175541699E-4"/>
    <n v="5.8414130090713305E-7"/>
    <n v="4.6473512286391899E-4"/>
    <n v="6.8497590591573002E-8"/>
    <n v="8.6836781418571395E-4"/>
    <n v="8.4789512227108105E-4"/>
    <n v="1.3533877684852501E-5"/>
    <n v="6.9388142297799998E-6"/>
    <n v="4.8139400267869003E-7"/>
    <n v="3.5179244437127499E-4"/>
    <n v="4.2615771976928799E-4"/>
    <n v="4.0715609872312298E-5"/>
    <n v="4.6910223693301901E-16"/>
    <n v="3.9895926863377901E-5"/>
    <n v="8.1968300846533602E-7"/>
    <n v="1.36364657460273E-4"/>
    <n v="3.88792396979955E-5"/>
    <n v="9.7055120958731406E-5"/>
    <n v="1.4625256412970099E-6"/>
    <n v="1.36897692584451E-6"/>
    <n v="4.5044437403398602E-7"/>
    <n v="5.68168340649104E-15"/>
    <n v="8.1686992356785196E-5"/>
    <n v="4.7861702896255602E-4"/>
    <n v="7.8384997593828405E-4"/>
    <n v="2.0073191187275398E-6"/>
    <n v="4.6929531996081299E-7"/>
  </r>
  <r>
    <x v="0"/>
    <x v="33"/>
    <x v="21"/>
    <n v="1.4200000000000001E-4"/>
    <n v="2.1499999999999999E-4"/>
    <n v="2.4999999999999999E-7"/>
    <n v="2.14E-4"/>
    <n v="1.1999999999999999E-7"/>
    <n v="1.6200000000000001E-4"/>
    <n v="1.15E-4"/>
    <n v="4.2299999999999998E-5"/>
    <n v="5.5099999999999998E-6"/>
    <n v="5.2399999999999998E-7"/>
    <n v="5.77E-5"/>
    <n v="6.9499999999999995E-5"/>
    <n v="4.9799999999999998E-5"/>
    <n v="2.49E-14"/>
    <n v="1.1616372672587101E-5"/>
    <n v="3.8189324470536597E-5"/>
    <n v="8.0073905151024002E-5"/>
    <n v="1.12589271372784E-5"/>
    <n v="6.8648503803176204E-5"/>
    <n v="7.8342026335871296E-7"/>
    <n v="5.3103430106107302E-5"/>
    <n v="2.4940728789769399E-6"/>
    <n v="1.0019797611264199E-12"/>
    <n v="1.5026914375230601E-4"/>
    <n v="8.5562879540335507E-5"/>
    <n v="3.2721039703918103E-4"/>
    <n v="4.1997274326297401E-5"/>
    <n v="2.24379733400372E-5"/>
  </r>
  <r>
    <x v="0"/>
    <x v="33"/>
    <x v="3"/>
    <n v="2.92E-6"/>
    <n v="7.0500000000000003E-6"/>
    <n v="1.9500000000000001E-9"/>
    <n v="7.0400000000000004E-6"/>
    <n v="3.8700000000000001E-9"/>
    <n v="2.34E-6"/>
    <n v="1.86E-6"/>
    <n v="4.6400000000000003E-7"/>
    <n v="1.9799999999999999E-8"/>
    <n v="5.0400000000000001E-8"/>
    <n v="1.59E-6"/>
    <n v="1.88E-6"/>
    <n v="8.3699999999999999E-7"/>
    <n v="-5.3400000000000001E-18"/>
    <n v="7.7635705286349305E-8"/>
    <n v="7.59221181288131E-7"/>
    <n v="2.6423732854471799E-6"/>
    <n v="2.3060045919612399E-6"/>
    <n v="3.3480132837010899E-7"/>
    <n v="2.7691329710029999E-8"/>
    <n v="2.6825192814406699E-8"/>
    <n v="6.8632185932206304E-8"/>
    <n v="6.7471131095250202E-14"/>
    <n v="1.2096330795322601E-5"/>
    <n v="2.6888212138326098E-6"/>
    <n v="1.01844396759063E-5"/>
    <n v="1.82013628185793E-6"/>
    <n v="3.5122439635279001E-5"/>
  </r>
  <r>
    <x v="0"/>
    <x v="33"/>
    <x v="33"/>
    <n v="2.4700000000000001E-5"/>
    <n v="2.3600000000000001E-5"/>
    <n v="0"/>
    <n v="2.3600000000000001E-5"/>
    <n v="0"/>
    <n v="2.12E-5"/>
    <n v="2.0000000000000002E-5"/>
    <n v="7.7800000000000001E-7"/>
    <n v="3.7399999999999999E-7"/>
    <n v="1.3200000000000001E-6"/>
    <n v="9.0699999999999996E-6"/>
    <n v="1.08E-5"/>
    <n v="3.4499999999999999E-3"/>
    <n v="0"/>
    <n v="1.32172623449174E-6"/>
    <n v="3.4508352708150299E-3"/>
    <n v="1.68509619192579E-5"/>
    <n v="6.0980791923490301E-6"/>
    <n v="1.0716919886899199E-5"/>
    <n v="3.6112055358707101E-7"/>
    <n v="0"/>
    <n v="0"/>
    <n v="0"/>
    <n v="2.1948650279095102E-5"/>
    <n v="1.3366018388828001E-5"/>
    <n v="7.6872042855466604E-5"/>
    <n v="3.1721479399967902E-7"/>
    <n v="2.1368235627157999E-5"/>
  </r>
  <r>
    <x v="0"/>
    <x v="33"/>
    <x v="28"/>
    <n v="6.4500000000000001E-6"/>
    <n v="1.77E-5"/>
    <n v="5.6699999999999997E-9"/>
    <n v="1.77E-5"/>
    <n v="3.48E-9"/>
    <n v="7.8899999999999993E-5"/>
    <n v="1.5099999999999999E-5"/>
    <n v="6.3700000000000003E-5"/>
    <n v="1.01E-7"/>
    <n v="5.9599999999999999E-7"/>
    <n v="4.8600000000000001E-6"/>
    <n v="5.4299999999999997E-6"/>
    <n v="3.2899999999999998E-6"/>
    <n v="0"/>
    <n v="2.8944370245085402E-6"/>
    <n v="3.9113209883032498E-7"/>
    <n v="1.65441600083568E-5"/>
    <n v="1.1418399089957399E-6"/>
    <n v="1.53797673086485E-5"/>
    <n v="9.8539862101669997E-8"/>
    <n v="1.46458939334545E-6"/>
    <n v="1.5207402142983501E-7"/>
    <n v="1.3875412681976799E-8"/>
    <n v="7.9703052187067201E-6"/>
    <n v="7.4073487902076099E-6"/>
    <n v="4.9474025835469602E-5"/>
    <n v="1.3733294616447101E-5"/>
    <n v="3.71760141669198E-6"/>
  </r>
  <r>
    <x v="0"/>
    <x v="33"/>
    <x v="1"/>
    <n v="3.0199999999999998E-7"/>
    <n v="3.2500000000000001E-7"/>
    <n v="2.5100000000000001E-7"/>
    <n v="-2.9900000000000003E-8"/>
    <n v="9.2999999999999999E-10"/>
    <n v="2.8000000000000002E-7"/>
    <n v="2.22E-7"/>
    <n v="-1.7800000000000001E-7"/>
    <n v="4.2400000000000002E-9"/>
    <n v="2.5800000000000001E-7"/>
    <n v="2.8900000000000001E-7"/>
    <n v="3.1800000000000002E-7"/>
    <n v="6.3199999999999997E-8"/>
    <n v="-2.88E-16"/>
    <n v="2.3938277305137099E-8"/>
    <n v="1.9274542969906599E-8"/>
    <n v="3.0396045927980902E-7"/>
    <n v="8.92569370024083E-8"/>
    <n v="1.59331135519518E-7"/>
    <n v="1.33644750572188E-8"/>
    <n v="-4.0454934166170701E-7"/>
    <n v="3.62506890865703E-6"/>
    <n v="1.60782963688802E-9"/>
    <n v="3.9419990052884299E-7"/>
    <n v="3.8993679597897398E-7"/>
    <n v="-7.3968500219018095E-8"/>
    <n v="1.58973312351402E-8"/>
    <n v="1.47946356527089E-5"/>
  </r>
  <r>
    <x v="0"/>
    <x v="33"/>
    <x v="2"/>
    <n v="3.1000018300124301E-4"/>
    <n v="5.2825269635641795E-4"/>
    <n v="6.6132794161528299E-7"/>
    <n v="5.2752155986239503E-4"/>
    <n v="6.9808552407726697E-8"/>
    <n v="9.8566197101033494E-4"/>
    <n v="9.6243925506403895E-4"/>
    <n v="1.5353950458580499E-5"/>
    <n v="7.8687654877158104E-6"/>
    <n v="5.3263636400450196E-7"/>
    <n v="3.9886283835597898E-4"/>
    <n v="4.8316349421066002E-4"/>
    <n v="4.6207425753465001E-5"/>
    <n v="5.3100731961855599E-16"/>
    <n v="4.5277774266331198E-5"/>
    <n v="9.2965148660281795E-7"/>
    <n v="1.54688336685507E-4"/>
    <n v="4.4126826728020499E-5"/>
    <n v="1.10072797342872E-4"/>
    <n v="1.66047964308986E-6"/>
    <n v="1.55008365197197E-6"/>
    <n v="4.67501602835397E-7"/>
    <n v="6.4317914681749002E-15"/>
    <n v="9.2596222785938995E-5"/>
    <n v="5.4317431998246598E-4"/>
    <n v="8.8976102079083399E-4"/>
    <n v="2.2715403001139198E-6"/>
    <n v="5.2720621987979895E-7"/>
  </r>
  <r>
    <x v="0"/>
    <x v="33"/>
    <x v="31"/>
    <n v="1.39134960808587E-6"/>
    <n v="4.8300158004458299E-6"/>
    <n v="9.4285701993298E-9"/>
    <n v="4.8196560865333402E-6"/>
    <n v="9.3114371316628199E-10"/>
    <n v="1.1827967048405701E-5"/>
    <n v="6.43318036663788E-6"/>
    <n v="5.3272465912637302E-6"/>
    <n v="6.7540090504136001E-8"/>
    <n v="6.7144949479888896E-8"/>
    <n v="1.30576901664925E-6"/>
    <n v="1.4663975012764701E-6"/>
    <n v="6.24326615837754E-7"/>
    <n v="1.25495780521026E-16"/>
    <n v="4.9737417171971003E-7"/>
    <n v="1.26952443992549E-7"/>
    <n v="2.4232693529143E-6"/>
    <n v="3.0939005602245001E-7"/>
    <n v="2.1063178721308201E-6"/>
    <n v="2.38245919282933E-8"/>
    <n v="4.2448542323155999E-7"/>
    <n v="3.3799084444426498E-8"/>
    <n v="1.0673408756482999E-9"/>
    <n v="1.0928159763898E-6"/>
    <n v="2.09372784270323E-6"/>
    <n v="1.1580139274142299E-5"/>
    <n v="1.08900780118182E-6"/>
    <n v="5.9306908809224801E-7"/>
  </r>
  <r>
    <x v="0"/>
    <x v="34"/>
    <x v="21"/>
    <n v="7.5000000000000002E-4"/>
    <n v="1.16E-3"/>
    <n v="1.37E-6"/>
    <n v="1.16E-3"/>
    <n v="4.4999999999999998E-7"/>
    <n v="8.8999999999999995E-4"/>
    <n v="6.1799999999999995E-4"/>
    <n v="2.42E-4"/>
    <n v="3.01E-5"/>
    <n v="2.48E-6"/>
    <n v="3.0600000000000001E-4"/>
    <n v="3.6900000000000002E-4"/>
    <n v="2.7099999999999997E-4"/>
    <n v="1.48E-13"/>
    <n v="6.2606073433672896E-5"/>
    <n v="2.0819054687005699E-4"/>
    <n v="4.3179644437323501E-4"/>
    <n v="5.9719214645657899E-5"/>
    <n v="3.7118203232508099E-4"/>
    <n v="4.2346699979525798E-6"/>
    <n v="3.1228088590632401E-4"/>
    <n v="1.1343717417628999E-5"/>
    <n v="5.49865476205086E-12"/>
    <n v="7.9697707148813001E-4"/>
    <n v="4.5405812080355501E-4"/>
    <n v="1.7832842838998799E-3"/>
    <n v="2.29748345799901E-4"/>
    <n v="1.21978587530894E-4"/>
  </r>
  <r>
    <x v="0"/>
    <x v="34"/>
    <x v="44"/>
    <n v="2.4800000000000001E-4"/>
    <n v="4.6299999999999998E-4"/>
    <n v="4.9999999999999998E-7"/>
    <n v="4.6299999999999998E-4"/>
    <n v="1.23E-7"/>
    <n v="4.1399999999999998E-4"/>
    <n v="2.7E-4"/>
    <n v="1.3300000000000001E-4"/>
    <n v="1.0900000000000001E-5"/>
    <n v="8.1699999999999997E-7"/>
    <n v="1.2E-4"/>
    <n v="1.44E-4"/>
    <n v="8.6399999999999999E-5"/>
    <n v="9.6800000000000002E-14"/>
    <n v="2.2866012289112301E-5"/>
    <n v="6.3537168317164702E-5"/>
    <n v="1.5777416206086601E-4"/>
    <n v="2.54121931876626E-5"/>
    <n v="1.3205353768390801E-4"/>
    <n v="1.68371092939581E-6"/>
    <n v="1.9550512883425799E-4"/>
    <n v="5.3770688222887496E-6"/>
    <n v="2.2732633420145E-12"/>
    <n v="2.3801865738908899E-4"/>
    <n v="1.7285032033937899E-4"/>
    <n v="7.6429198998178595E-4"/>
    <n v="8.5901251172318095E-5"/>
    <n v="2.2379941789899001E-5"/>
  </r>
  <r>
    <x v="0"/>
    <x v="34"/>
    <x v="3"/>
    <n v="8.0900000000000005E-6"/>
    <n v="2.0999999999999999E-5"/>
    <n v="8.5500000000000005E-9"/>
    <n v="2.0999999999999999E-5"/>
    <n v="5.9799999999999996E-9"/>
    <n v="6.7700000000000004E-6"/>
    <n v="4.9799999999999998E-6"/>
    <n v="1.7600000000000001E-6"/>
    <n v="3.47E-8"/>
    <n v="4.36E-8"/>
    <n v="5.2700000000000004E-6"/>
    <n v="6.1299999999999998E-6"/>
    <n v="8.6700000000000002E-7"/>
    <n v="6.6499999999999996E-16"/>
    <n v="3.0994143451719402E-7"/>
    <n v="5.5730304326528497E-7"/>
    <n v="7.9214891219710099E-6"/>
    <n v="6.4318902235831203E-6"/>
    <n v="1.4850282886012101E-6"/>
    <n v="8.1708600253928194E-8"/>
    <n v="1.33591034093157E-6"/>
    <n v="1.11711731721858E-7"/>
    <n v="2.6622900249754701E-15"/>
    <n v="9.2246862290906603E-6"/>
    <n v="8.4860784467724406E-6"/>
    <n v="2.8702094815375499E-5"/>
    <n v="9.0438187564094504E-7"/>
    <n v="5.0158399208912297E-6"/>
  </r>
  <r>
    <x v="0"/>
    <x v="34"/>
    <x v="1"/>
    <n v="4.0399999999999999E-5"/>
    <n v="7.6500000000000003E-5"/>
    <n v="5.5899999999999997E-5"/>
    <n v="-8.1799999999999996E-5"/>
    <n v="-2.3200000000000001E-7"/>
    <n v="1.15E-4"/>
    <n v="-5.7500000000000002E-5"/>
    <n v="-8.2700000000000004E-5"/>
    <n v="-4.4900000000000001E-7"/>
    <n v="2.0100000000000001E-4"/>
    <n v="9.8400000000000007E-6"/>
    <n v="1.3699999999999999E-5"/>
    <n v="5.0500000000000001E-5"/>
    <n v="-6.64E-14"/>
    <n v="-5.4788699348811402E-6"/>
    <n v="-9.1388646183743497E-6"/>
    <n v="9.8150415547701298E-6"/>
    <n v="-2.1507799660178799E-5"/>
    <n v="-3.6552513022324402E-5"/>
    <n v="2.5259639160070702E-6"/>
    <n v="-8.1836773603843901E-5"/>
    <n v="-7.6028410024346898E-4"/>
    <n v="1.30976473883274E-6"/>
    <n v="8.2462755182820396E-5"/>
    <n v="7.0287829557045804E-5"/>
    <n v="-1.83606441431465E-5"/>
    <n v="2.5730663265623701E-5"/>
    <n v="1.0877594801581E-2"/>
  </r>
  <r>
    <x v="0"/>
    <x v="34"/>
    <x v="2"/>
    <n v="1.59E-5"/>
    <n v="1.8199999999999999E-5"/>
    <n v="5.4599999999999999E-8"/>
    <n v="1.8E-5"/>
    <n v="1.49E-7"/>
    <n v="3.4199999999999998E-5"/>
    <n v="3.3099999999999998E-5"/>
    <n v="6.7999999999999995E-7"/>
    <n v="4.0699999999999998E-7"/>
    <n v="2.7300000000000002E-7"/>
    <n v="2.2099999999999998E-5"/>
    <n v="2.6999999999999999E-5"/>
    <n v="1.75E-6"/>
    <n v="4.5299999999999998E-17"/>
    <n v="1.69931671291906E-6"/>
    <n v="4.6042885920717902E-8"/>
    <n v="7.1253022579528903E-6"/>
    <n v="1.6028381037173001E-6"/>
    <n v="5.5109489075671602E-6"/>
    <n v="5.0078457303014698E-8"/>
    <n v="1.2394107364418101E-7"/>
    <n v="8.2395662044219E-7"/>
    <n v="5.42780430270468E-16"/>
    <n v="5.5068785444323797E-6"/>
    <n v="2.0511095401311001E-5"/>
    <n v="3.0221784629819E-5"/>
    <n v="2.06297841159152E-7"/>
    <n v="1.1934068670627101E-7"/>
  </r>
  <r>
    <x v="0"/>
    <x v="35"/>
    <x v="36"/>
    <n v="1.1283558356860099E-6"/>
    <n v="2.9300123814515802E-6"/>
    <n v="1.19232294246957E-9"/>
    <n v="2.9279858150122198E-6"/>
    <n v="8.3424349689185198E-10"/>
    <n v="9.4430098510054099E-7"/>
    <n v="6.9398451761372196E-7"/>
    <n v="2.4548260130402999E-7"/>
    <n v="4.8338661827890796E-9"/>
    <n v="6.0863057860262797E-9"/>
    <n v="7.34912818335895E-7"/>
    <n v="8.5558757212022101E-7"/>
    <n v="1.20954599504476E-7"/>
    <n v="9.2693324029356294E-17"/>
    <n v="4.3227536194866599E-8"/>
    <n v="7.7727063216915604E-8"/>
    <n v="1.1048101983223201E-6"/>
    <n v="8.9705581918871999E-7"/>
    <n v="2.0711691612290199E-7"/>
    <n v="1.1395899617005301E-8"/>
    <n v="1.86319433881669E-7"/>
    <n v="1.5580436781291098E-8"/>
    <n v="3.7130962691429201E-16"/>
    <n v="1.2865671170279899E-6"/>
    <n v="1.1835534793267001E-6"/>
    <n v="4.0030815642085796E-6"/>
    <n v="1.26134152809058E-7"/>
    <n v="6.9955926372262305E-7"/>
  </r>
  <r>
    <x v="0"/>
    <x v="35"/>
    <x v="19"/>
    <n v="5.4346719461876103E-3"/>
    <n v="9.0319912222121997E-3"/>
    <n v="1.12953230233286E-5"/>
    <n v="8.8598081447459898E-3"/>
    <n v="3.9557000846931999E-6"/>
    <n v="7.1205287464126202E-3"/>
    <n v="4.3379408372063496E-3"/>
    <n v="2.2581510513011399E-3"/>
    <n v="1.7534154557894099E-4"/>
    <n v="8.2949805272972498E-5"/>
    <n v="2.6123338687467999E-3"/>
    <n v="3.1447407462523299E-3"/>
    <n v="1.6889764554992299E-3"/>
    <n v="1.2449570490229699E-12"/>
    <n v="4.00155793756433E-4"/>
    <n v="1.24920770171017E-3"/>
    <n v="3.0051919390878101E-3"/>
    <n v="5.0989771324396599E-4"/>
    <n v="2.4238884754883899E-3"/>
    <n v="3.5032170336114997E-5"/>
    <n v="3.1105859320342301E-3"/>
    <n v="1.4714308257238699E-4"/>
    <n v="5.2273895499128298E-6"/>
    <n v="4.9972739468585802E-3"/>
    <n v="3.8128928307011498E-3"/>
    <n v="1.59745176946481E-2"/>
    <n v="1.43363615538349E-2"/>
    <n v="1.25550233791216E-3"/>
  </r>
  <r>
    <x v="0"/>
    <x v="35"/>
    <x v="21"/>
    <n v="1.9809641217232001E-3"/>
    <n v="3.0752072211265502E-3"/>
    <n v="3.6558309713339999E-6"/>
    <n v="3.0703611484647199E-3"/>
    <n v="1.19024169049022E-6"/>
    <n v="2.3752714877276998E-3"/>
    <n v="1.6555158842942899E-3"/>
    <n v="6.4022315532988804E-4"/>
    <n v="7.9532448103513995E-5"/>
    <n v="6.5968168793732502E-6"/>
    <n v="8.0896983148313797E-4"/>
    <n v="9.7461772726216303E-4"/>
    <n v="7.1585827102054898E-4"/>
    <n v="3.8987293505356599E-13"/>
    <n v="1.66214951110841E-4"/>
    <n v="5.4964331951983501E-4"/>
    <n v="1.14710873634992E-3"/>
    <n v="1.6170864045868301E-4"/>
    <n v="9.8300632394154809E-4"/>
    <n v="1.12392477198357E-5"/>
    <n v="8.2478958675919097E-4"/>
    <n v="3.0015136982454801E-5"/>
    <n v="1.4515905550665399E-11"/>
    <n v="2.1050737026711199E-3"/>
    <n v="1.2039771241182701E-3"/>
    <n v="4.7308278223504299E-3"/>
    <n v="6.0643232526261205E-4"/>
    <n v="3.2257529018731002E-4"/>
  </r>
  <r>
    <x v="0"/>
    <x v="35"/>
    <x v="3"/>
    <n v="1.3308689097405501E-5"/>
    <n v="3.4558800161280798E-5"/>
    <n v="1.40631659297297E-8"/>
    <n v="3.4534897291438002E-5"/>
    <n v="9.8397039130088799E-9"/>
    <n v="1.11378058477769E-5"/>
    <n v="8.1853825639309197E-6"/>
    <n v="2.89540898026322E-6"/>
    <n v="5.7014303582778802E-8"/>
    <n v="7.1786531248555901E-8"/>
    <n v="8.6681221504775302E-6"/>
    <n v="1.00914522111096E-5"/>
    <n v="1.42663077443791E-6"/>
    <n v="1.0932957422617999E-15"/>
    <n v="5.0985852287860597E-7"/>
    <n v="9.16772250466005E-7"/>
    <n v="1.3030973896789599E-5"/>
    <n v="1.05805603365739E-5"/>
    <n v="2.4428948354020501E-6"/>
    <n v="1.34411929456419E-7"/>
    <n v="2.1975934717687401E-6"/>
    <n v="1.83767551481594E-7"/>
    <n v="4.3795088634176802E-15"/>
    <n v="1.5174753585654799E-5"/>
    <n v="1.39597321947071E-5"/>
    <n v="4.7215396317968699E-5"/>
    <n v="1.4877223755215501E-6"/>
    <n v="8.2511353702831892E-6"/>
  </r>
  <r>
    <x v="0"/>
    <x v="35"/>
    <x v="23"/>
    <n v="5.78516068155022E-6"/>
    <n v="1.7968938199959099E-5"/>
    <n v="2.42200255369626E-9"/>
    <n v="1.7966018263094901E-5"/>
    <n v="4.9793431053896103E-10"/>
    <n v="8.62354695970415E-5"/>
    <n v="1.7510906278082501E-6"/>
    <n v="8.4015609267754494E-5"/>
    <n v="4.6876970147880201E-7"/>
    <n v="2.7514636848796198E-6"/>
    <n v="4.8251849166138803E-6"/>
    <n v="5.6720455747816399E-6"/>
    <n v="2.5837306882843302E-6"/>
    <n v="3.8514561496881598E-12"/>
    <n v="2.4456009738902299E-6"/>
    <n v="1.3812586293794701E-7"/>
    <n v="1.5744744589400099E-5"/>
    <n v="5.2978368770749296E-7"/>
    <n v="1.51765708309538E-5"/>
    <n v="1.2329324108663899E-7"/>
    <n v="5.2383436748030297E-6"/>
    <n v="2.2117150808376501E-8"/>
    <n v="3.5248319641588798E-14"/>
    <n v="3.00087458871404E-6"/>
    <n v="6.3013216630297796E-6"/>
    <n v="3.7786543629104E-5"/>
    <n v="-4.3238104907585202E-8"/>
    <n v="-6.63977634225155E-7"/>
  </r>
  <r>
    <x v="0"/>
    <x v="35"/>
    <x v="24"/>
    <n v="4.7600000000000002E-6"/>
    <n v="5.0000000000000004E-6"/>
    <n v="4.2199999999999999E-9"/>
    <n v="4.9899999999999997E-6"/>
    <n v="9.5200000000000002E-9"/>
    <n v="5.8499999999999999E-6"/>
    <n v="3.9700000000000001E-6"/>
    <n v="1.86E-6"/>
    <n v="2.14E-8"/>
    <n v="3.3400000000000001E-8"/>
    <n v="2.3599999999999999E-6"/>
    <n v="2.83E-6"/>
    <n v="1.7699999999999999E-4"/>
    <n v="6.4399999999999996E-17"/>
    <n v="2.9046736802276699E-6"/>
    <n v="1.74295092938218E-4"/>
    <n v="2.8340872815554402E-6"/>
    <n v="8.2585913001924097E-7"/>
    <n v="2.0068942329379802E-6"/>
    <n v="1.9004366115777E-8"/>
    <n v="5.8760061175235096E-7"/>
    <n v="1.6230108852482701E-7"/>
    <n v="2.62468921924262E-15"/>
    <n v="7.7282815351586008E-6"/>
    <n v="3.3952551617823402E-6"/>
    <n v="8.0698791458808199E-6"/>
    <n v="1.094337171156E-5"/>
    <n v="2.9382779660763399E-6"/>
  </r>
  <r>
    <x v="0"/>
    <x v="35"/>
    <x v="27"/>
    <n v="2.55E-5"/>
    <n v="6.6199999999999996E-5"/>
    <n v="4.3099999999999998E-7"/>
    <n v="5.8799999999999999E-5"/>
    <n v="1.3399999999999999E-9"/>
    <n v="1.4999999999999999E-4"/>
    <n v="1.2E-4"/>
    <n v="3.0900000000000001E-6"/>
    <n v="1.28E-6"/>
    <n v="1.6399999999999999E-5"/>
    <n v="1.7200000000000001E-5"/>
    <n v="1.9000000000000001E-5"/>
    <n v="1.2099999999999999E-5"/>
    <n v="0"/>
    <n v="6.5187211070521497E-6"/>
    <n v="2.93358207477981E-6"/>
    <n v="4.4473409545449799E-5"/>
    <n v="5.5695731693323101E-6"/>
    <n v="3.6729455580578803E-5"/>
    <n v="3.5889826116440402E-7"/>
    <n v="4.6714245184047497E-5"/>
    <n v="1.0427259721379399E-6"/>
    <n v="1.22159672403445E-7"/>
    <n v="2.03960200487519E-5"/>
    <n v="3.0556926119015701E-5"/>
    <n v="2.5133094197394299E-4"/>
    <n v="5.4787196812373296E-6"/>
    <n v="6.7128641369945297E-5"/>
  </r>
  <r>
    <x v="0"/>
    <x v="35"/>
    <x v="4"/>
    <n v="1.2300000000000001E-5"/>
    <n v="3.5099999999999999E-5"/>
    <n v="4.66E-9"/>
    <n v="3.5099999999999999E-5"/>
    <n v="9.6700000000000007E-10"/>
    <n v="6.9099999999999999E-4"/>
    <n v="1.31E-5"/>
    <n v="2.5399999999999999E-4"/>
    <n v="4.2400000000000001E-4"/>
    <n v="6.2199999999999997E-6"/>
    <n v="1.06E-5"/>
    <n v="1.03E-5"/>
    <n v="2.4000000000000001E-5"/>
    <n v="4.87E-12"/>
    <n v="2.3182548342838E-5"/>
    <n v="8.12475752328165E-7"/>
    <n v="1.7753091670071701E-4"/>
    <n v="1.57449189588245E-6"/>
    <n v="1.7116962240836201E-4"/>
    <n v="4.9664521342598003E-6"/>
    <n v="1.75807105639836E-5"/>
    <n v="4.3027237060871597E-8"/>
    <n v="2.1827698339037399E-13"/>
    <n v="8.7673100368746906E-6"/>
    <n v="1.4323604493200801E-5"/>
    <n v="8.1048006622306599E-5"/>
    <n v="2.1968288604807102E-6"/>
    <n v="1.7923653239817401E-4"/>
  </r>
  <r>
    <x v="0"/>
    <x v="35"/>
    <x v="1"/>
    <n v="1.5799999999999999E-6"/>
    <n v="1.77E-6"/>
    <n v="1.53E-6"/>
    <n v="-4.5300000000000002E-8"/>
    <n v="5.9600000000000001E-9"/>
    <n v="1.48E-6"/>
    <n v="1.9E-6"/>
    <n v="-1.08E-6"/>
    <n v="2.8699999999999999E-8"/>
    <n v="7.9599999999999998E-7"/>
    <n v="1.6300000000000001E-6"/>
    <n v="1.81E-6"/>
    <n v="3.4999999999999998E-7"/>
    <n v="-1.7899999999999999E-15"/>
    <n v="1.6830879791580001E-7"/>
    <n v="1.2740852899773401E-7"/>
    <n v="1.84109130024672E-6"/>
    <n v="5.8868616115100497E-7"/>
    <n v="1.0573636539656201E-6"/>
    <n v="8.1936052043413102E-8"/>
    <n v="-2.7569172225639302E-6"/>
    <n v="2.2549511028130301E-5"/>
    <n v="4.3475707033902402E-9"/>
    <n v="1.8627441430304101E-6"/>
    <n v="2.2181521782254401E-6"/>
    <n v="-8.84872509596522E-7"/>
    <n v="5.37922537722182E-8"/>
    <n v="4.0328664122524401E-5"/>
  </r>
  <r>
    <x v="0"/>
    <x v="35"/>
    <x v="45"/>
    <n v="2.3999999999999998E-7"/>
    <n v="5.8100000000000003E-7"/>
    <n v="3.9899999999999997E-9"/>
    <n v="5.7599999999999997E-7"/>
    <n v="9.5000000000000003E-10"/>
    <n v="6.6300000000000005E-7"/>
    <n v="4.3300000000000003E-7"/>
    <n v="2.28E-7"/>
    <n v="2.3199999999999998E-9"/>
    <n v="6.2300000000000002E-9"/>
    <n v="1.6199999999999999E-7"/>
    <n v="1.9399999999999999E-7"/>
    <n v="1.1599999999999999E-6"/>
    <n v="9.8199999999999998E-17"/>
    <n v="1.11732107944102E-6"/>
    <n v="3.7700603217130798E-8"/>
    <n v="9.7563396241737E-6"/>
    <n v="6.80072982793698E-8"/>
    <n v="9.6874807516490807E-6"/>
    <n v="2.69673779019413E-9"/>
    <n v="2.1787128029745401E-7"/>
    <n v="1.5496083719491599E-7"/>
    <n v="1.10654349844885E-15"/>
    <n v="2.3971571401404401E-7"/>
    <n v="2.6125099505773202E-7"/>
    <n v="1.1547159631197901E-6"/>
    <n v="1.1412282268791701E-6"/>
    <n v="5.6686239879351002E-8"/>
  </r>
  <r>
    <x v="0"/>
    <x v="35"/>
    <x v="2"/>
    <n v="3.3500000000000001E-5"/>
    <n v="3.8500000000000001E-5"/>
    <n v="1.15E-7"/>
    <n v="3.8099999999999998E-5"/>
    <n v="3.1399999999999998E-7"/>
    <n v="7.2100000000000004E-5"/>
    <n v="6.9800000000000003E-5"/>
    <n v="1.4300000000000001E-6"/>
    <n v="8.6000000000000002E-7"/>
    <n v="5.75E-7"/>
    <n v="4.6600000000000001E-5"/>
    <n v="5.7000000000000003E-5"/>
    <n v="3.6799999999999999E-6"/>
    <n v="9.5600000000000003E-17"/>
    <n v="3.5857056678305799E-6"/>
    <n v="9.71544831837701E-8"/>
    <n v="1.5035005833291399E-5"/>
    <n v="3.3821274335855298E-6"/>
    <n v="1.16285802303702E-5"/>
    <n v="1.0566988885737099E-7"/>
    <n v="2.6152641639093499E-7"/>
    <n v="1.73861994147692E-6"/>
    <n v="1.1453137901910501E-15"/>
    <n v="1.1619991411080899E-5"/>
    <n v="4.3280190487597103E-5"/>
    <n v="6.3770587092588894E-5"/>
    <n v="4.3530633970809001E-7"/>
    <n v="2.51819200901289E-7"/>
  </r>
  <r>
    <x v="0"/>
    <x v="36"/>
    <x v="21"/>
    <n v="1.5499999999999999E-3"/>
    <n v="2.4099999999999998E-3"/>
    <n v="2.8499999999999998E-6"/>
    <n v="2.3999999999999998E-3"/>
    <n v="9.3200000000000003E-7"/>
    <n v="1.8400000000000001E-3"/>
    <n v="1.2800000000000001E-3"/>
    <n v="5.0100000000000003E-4"/>
    <n v="6.2299999999999996E-5"/>
    <n v="5.13E-6"/>
    <n v="6.3299999999999999E-4"/>
    <n v="7.6300000000000001E-4"/>
    <n v="5.6099999999999998E-4"/>
    <n v="3.0600000000000001E-13"/>
    <n v="1.29650386229991E-4"/>
    <n v="4.31140036912427E-4"/>
    <n v="8.9420359264403605E-4"/>
    <n v="1.23672014862329E-4"/>
    <n v="7.6867772107707397E-4"/>
    <n v="8.7695421654699898E-6"/>
    <n v="6.4669983676411702E-4"/>
    <n v="2.3491608143059801E-5"/>
    <n v="1.13871174878991E-11"/>
    <n v="1.6504530545962601E-3"/>
    <n v="9.4030510946214096E-4"/>
    <n v="3.6929882914704202E-3"/>
    <n v="4.7578389978754902E-4"/>
    <n v="2.5260442186847399E-4"/>
  </r>
  <r>
    <x v="0"/>
    <x v="36"/>
    <x v="3"/>
    <n v="9.3999999999999998E-6"/>
    <n v="2.44E-5"/>
    <n v="9.9300000000000002E-9"/>
    <n v="2.44E-5"/>
    <n v="6.9500000000000002E-9"/>
    <n v="7.8699999999999992E-6"/>
    <n v="5.7799999999999997E-6"/>
    <n v="2.0499999999999999E-6"/>
    <n v="4.0299999999999997E-8"/>
    <n v="5.0699999999999997E-8"/>
    <n v="6.1199999999999999E-6"/>
    <n v="7.1300000000000003E-6"/>
    <n v="1.0100000000000001E-6"/>
    <n v="7.7200000000000002E-16"/>
    <n v="3.6010861130394401E-7"/>
    <n v="6.4750821489338501E-7"/>
    <n v="9.2036627875064997E-6"/>
    <n v="7.4729571413448497E-6"/>
    <n v="1.7253952366461899E-6"/>
    <n v="9.4933969105698504E-8"/>
    <n v="1.5521410309300201E-6"/>
    <n v="1.2979341287292501E-7"/>
    <n v="3.09320877112052E-15"/>
    <n v="1.07177956146685E-5"/>
    <n v="9.8596366427865507E-6"/>
    <n v="3.3347821086198203E-5"/>
    <n v="1.05076529000659E-6"/>
    <n v="5.8277046799137299E-6"/>
  </r>
  <r>
    <x v="0"/>
    <x v="36"/>
    <x v="23"/>
    <n v="7.9300000000000002E-8"/>
    <n v="2.4600000000000001E-7"/>
    <n v="3.1699999999999998E-11"/>
    <n v="2.4600000000000001E-7"/>
    <n v="6.59E-12"/>
    <n v="1.17E-6"/>
    <n v="2.3800000000000001E-8"/>
    <n v="1.1400000000000001E-6"/>
    <n v="6.3899999999999996E-9"/>
    <n v="3.7499999999999998E-8"/>
    <n v="6.6500000000000007E-8"/>
    <n v="7.8199999999999999E-8"/>
    <n v="3.5199999999999998E-8"/>
    <n v="5.2499999999999997E-14"/>
    <n v="3.3312854071520102E-8"/>
    <n v="1.84407100417118E-9"/>
    <n v="2.1440428657857599E-7"/>
    <n v="7.1620921413335099E-9"/>
    <n v="2.0671924257497501E-7"/>
    <n v="1.67812714149296E-9"/>
    <n v="6.9746762551454295E-8"/>
    <n v="2.9312305247718901E-10"/>
    <n v="4.7942415311620898E-16"/>
    <n v="4.0930500297174697E-8"/>
    <n v="8.6764612232763402E-8"/>
    <n v="5.1241384115791095E-7"/>
    <n v="-5.9919868130741197E-10"/>
    <n v="-8.9014504830227593E-9"/>
  </r>
  <r>
    <x v="0"/>
    <x v="36"/>
    <x v="1"/>
    <n v="1.31E-6"/>
    <n v="1.48E-6"/>
    <n v="1.28E-6"/>
    <n v="-3.77E-8"/>
    <n v="4.97E-9"/>
    <n v="1.2300000000000001E-6"/>
    <n v="1.5799999999999999E-6"/>
    <n v="-8.9999999999999996E-7"/>
    <n v="2.3899999999999999E-8"/>
    <n v="6.6199999999999997E-7"/>
    <n v="1.3599999999999999E-6"/>
    <n v="1.5099999999999999E-6"/>
    <n v="2.91E-7"/>
    <n v="-1.49E-15"/>
    <n v="1.4023870214625101E-7"/>
    <n v="1.0616160712794601E-7"/>
    <n v="1.5338133656750699E-6"/>
    <n v="4.90505019363798E-7"/>
    <n v="8.8101206221592504E-7"/>
    <n v="6.8266326107915096E-8"/>
    <n v="-2.2973716007205702E-6"/>
    <n v="1.87880993765909E-5"/>
    <n v="3.6144004937904102E-9"/>
    <n v="1.5512034222574099E-6"/>
    <n v="1.84781917602487E-6"/>
    <n v="-7.3818617932599104E-7"/>
    <n v="4.47531498692985E-8"/>
    <n v="3.35287726192167E-5"/>
  </r>
  <r>
    <x v="0"/>
    <x v="36"/>
    <x v="2"/>
    <n v="6.3400000000000003E-6"/>
    <n v="7.2799999999999998E-6"/>
    <n v="2.18E-8"/>
    <n v="7.1999999999999997E-6"/>
    <n v="5.9400000000000003E-8"/>
    <n v="1.36E-5"/>
    <n v="1.3200000000000001E-5"/>
    <n v="2.7099999999999998E-7"/>
    <n v="1.6199999999999999E-7"/>
    <n v="1.09E-7"/>
    <n v="8.8100000000000004E-6"/>
    <n v="1.08E-5"/>
    <n v="6.9599999999999999E-7"/>
    <n v="1.8100000000000001E-17"/>
    <n v="6.7770060696395702E-7"/>
    <n v="1.8362257899083501E-8"/>
    <n v="2.8416254770550902E-6"/>
    <n v="6.39224193757406E-7"/>
    <n v="2.1978089141429498E-6"/>
    <n v="1.9971674880883799E-8"/>
    <n v="4.9428655763727698E-8"/>
    <n v="3.28600252996067E-7"/>
    <n v="2.16465020467302E-16"/>
    <n v="2.19618562194201E-6"/>
    <n v="8.1799829880365098E-6"/>
    <n v="1.20526807224651E-5"/>
    <n v="8.2273169625190296E-8"/>
    <n v="4.75939859835826E-8"/>
  </r>
  <r>
    <x v="0"/>
    <x v="37"/>
    <x v="19"/>
    <n v="1.8084672803348001E-3"/>
    <n v="2.89948301390327E-3"/>
    <n v="3.4113802717297398E-6"/>
    <n v="2.6550797431612598E-3"/>
    <n v="1.21245716156406E-6"/>
    <n v="2.6079665697598198E-3"/>
    <n v="1.3568137669829801E-3"/>
    <n v="6.6023094021355603E-4"/>
    <n v="5.7532578247648898E-5"/>
    <n v="9.5306980985787094E-5"/>
    <n v="8.7190950011598305E-4"/>
    <n v="1.0496640622557E-3"/>
    <n v="5.9411842892046201E-4"/>
    <n v="3.6967541773958598E-13"/>
    <n v="1.2999806795375101E-4"/>
    <n v="4.0359497686562101E-4"/>
    <n v="1.0445051086071099E-3"/>
    <n v="1.5070594073515601E-4"/>
    <n v="7.9178818114305799E-4"/>
    <n v="1.03000319421963E-5"/>
    <n v="9.2387573167723898E-4"/>
    <n v="6.3622179750164103E-5"/>
    <n v="7.98390172830444E-6"/>
    <n v="1.77445389309429E-3"/>
    <n v="1.29350601865394E-3"/>
    <n v="5.0350972684402202E-3"/>
    <n v="4.8389001283111301E-3"/>
    <n v="1.0491178729242999E-3"/>
  </r>
  <r>
    <x v="0"/>
    <x v="37"/>
    <x v="21"/>
    <n v="4.08E-4"/>
    <n v="6.4300000000000002E-4"/>
    <n v="7.5300000000000003E-7"/>
    <n v="6.4199999999999999E-4"/>
    <n v="2.3999999999999998E-7"/>
    <n v="4.8999999999999998E-4"/>
    <n v="3.4200000000000002E-4"/>
    <n v="1.3200000000000001E-4"/>
    <n v="1.6399999999999999E-5"/>
    <n v="1.35E-6"/>
    <n v="1.6799999999999999E-4"/>
    <n v="2.03E-4"/>
    <n v="1.4799999999999999E-4"/>
    <n v="8.0600000000000005E-14"/>
    <n v="3.4055256892085802E-5"/>
    <n v="1.13998447740243E-4"/>
    <n v="2.3417609431969301E-4"/>
    <n v="3.3570434501611203E-5"/>
    <n v="2.00109034480343E-4"/>
    <n v="2.3529260870037801E-6"/>
    <n v="1.7049876702681101E-4"/>
    <n v="5.8632861737144697E-6"/>
    <n v="2.9922044476461702E-12"/>
    <n v="4.3813714406834098E-4"/>
    <n v="2.5033560171599801E-4"/>
    <n v="9.8484360676178904E-4"/>
    <n v="-5.5600685339126801E-5"/>
    <n v="6.6848587909951198E-5"/>
  </r>
  <r>
    <x v="0"/>
    <x v="37"/>
    <x v="3"/>
    <n v="8.0900000000000005E-6"/>
    <n v="2.0999999999999999E-5"/>
    <n v="8.5500000000000005E-9"/>
    <n v="2.0999999999999999E-5"/>
    <n v="5.9799999999999996E-9"/>
    <n v="6.7700000000000004E-6"/>
    <n v="4.9799999999999998E-6"/>
    <n v="1.7600000000000001E-6"/>
    <n v="3.47E-8"/>
    <n v="4.36E-8"/>
    <n v="5.2700000000000004E-6"/>
    <n v="6.1299999999999998E-6"/>
    <n v="8.6700000000000002E-7"/>
    <n v="6.6499999999999996E-16"/>
    <n v="3.0994143451719402E-7"/>
    <n v="5.5730304326528497E-7"/>
    <n v="7.9214891219710099E-6"/>
    <n v="6.4318902235831203E-6"/>
    <n v="1.4850282886012101E-6"/>
    <n v="8.1708600253928194E-8"/>
    <n v="1.33591034093157E-6"/>
    <n v="1.11711731721858E-7"/>
    <n v="2.6622900249754701E-15"/>
    <n v="9.2246862290906603E-6"/>
    <n v="8.4860784467724406E-6"/>
    <n v="2.8702094815375499E-5"/>
    <n v="9.0438187564094504E-7"/>
    <n v="5.0158399208912297E-6"/>
  </r>
  <r>
    <x v="0"/>
    <x v="37"/>
    <x v="24"/>
    <n v="7.1899999999999998E-6"/>
    <n v="7.5399999999999998E-6"/>
    <n v="6.3700000000000001E-9"/>
    <n v="7.52E-6"/>
    <n v="1.44E-8"/>
    <n v="8.8200000000000003E-6"/>
    <n v="5.9800000000000003E-6"/>
    <n v="2.8100000000000002E-6"/>
    <n v="3.2299999999999998E-8"/>
    <n v="5.03E-8"/>
    <n v="3.5599999999999998E-6"/>
    <n v="4.2699999999999998E-6"/>
    <n v="2.6699999999999998E-4"/>
    <n v="9.7100000000000003E-17"/>
    <n v="4.3820508106882897E-6"/>
    <n v="2.62945183311967E-4"/>
    <n v="4.2755627092431301E-6"/>
    <n v="1.2459081702876501E-6"/>
    <n v="3.02764216175988E-6"/>
    <n v="2.8670379916042902E-8"/>
    <n v="8.8646644014363299E-7"/>
    <n v="2.4485078010211098E-7"/>
    <n v="3.9596604600642898E-15"/>
    <n v="1.16590454194203E-5"/>
    <n v="5.1221521837233498E-6"/>
    <n v="1.21743866424926E-5"/>
    <n v="1.6509396978646601E-5"/>
    <n v="4.4327469315806199E-6"/>
  </r>
  <r>
    <x v="0"/>
    <x v="37"/>
    <x v="1"/>
    <n v="7.8800000000000002E-7"/>
    <n v="8.8599999999999997E-7"/>
    <n v="7.6599999999999995E-7"/>
    <n v="-2.2600000000000001E-8"/>
    <n v="2.98E-9"/>
    <n v="7.3799999999999996E-7"/>
    <n v="9.5000000000000001E-7"/>
    <n v="-5.4000000000000002E-7"/>
    <n v="1.44E-8"/>
    <n v="3.9799999999999999E-7"/>
    <n v="8.1399999999999996E-7"/>
    <n v="9.0500000000000002E-7"/>
    <n v="1.7499999999999999E-7"/>
    <n v="-8.9599999999999997E-16"/>
    <n v="8.4154398957900204E-8"/>
    <n v="6.3704264498866795E-8"/>
    <n v="9.20545650123362E-7"/>
    <n v="2.9434308057550301E-7"/>
    <n v="5.2868182698280804E-7"/>
    <n v="4.0968026021706498E-8"/>
    <n v="-1.37845861128197E-6"/>
    <n v="1.12747555140652E-5"/>
    <n v="2.1737853516951201E-9"/>
    <n v="9.3137207151520599E-7"/>
    <n v="1.1090760891127201E-6"/>
    <n v="-4.42436254798261E-7"/>
    <n v="2.68961268861091E-8"/>
    <n v="2.01643320612622E-5"/>
  </r>
  <r>
    <x v="0"/>
    <x v="37"/>
    <x v="2"/>
    <n v="1.2E-5"/>
    <n v="1.38E-5"/>
    <n v="4.1199999999999998E-8"/>
    <n v="1.36E-5"/>
    <n v="1.12E-7"/>
    <n v="2.58E-5"/>
    <n v="2.4899999999999999E-5"/>
    <n v="5.13E-7"/>
    <n v="3.0699999999999998E-7"/>
    <n v="2.0599999999999999E-7"/>
    <n v="1.6699999999999999E-5"/>
    <n v="2.0400000000000001E-5"/>
    <n v="1.3200000000000001E-6"/>
    <n v="3.42E-17"/>
    <n v="1.2820071257694399E-6"/>
    <n v="3.4735907316508102E-8"/>
    <n v="5.3755066365852697E-6"/>
    <n v="1.2092212445145501E-6"/>
    <n v="4.1575980013261497E-6"/>
    <n v="3.7780443528812301E-8"/>
    <n v="9.3504252844315297E-8"/>
    <n v="6.21613528956157E-7"/>
    <n v="4.0948716271943501E-16"/>
    <n v="4.15452721734363E-6"/>
    <n v="1.5474084531686699E-5"/>
    <n v="2.2800071907927301E-5"/>
    <n v="1.5563626273207901E-7"/>
    <n v="9.0033605618367702E-8"/>
  </r>
  <r>
    <x v="0"/>
    <x v="38"/>
    <x v="21"/>
    <n v="7.9699999999999999E-5"/>
    <n v="1.2400000000000001E-4"/>
    <n v="1.4600000000000001E-7"/>
    <n v="1.2300000000000001E-4"/>
    <n v="4.7899999999999999E-8"/>
    <n v="9.4599999999999996E-5"/>
    <n v="6.5699999999999998E-5"/>
    <n v="2.5700000000000001E-5"/>
    <n v="3.1999999999999999E-6"/>
    <n v="2.6300000000000001E-7"/>
    <n v="3.2499999999999997E-5"/>
    <n v="3.9199999999999997E-5"/>
    <n v="2.8799999999999999E-5"/>
    <n v="1.5699999999999999E-14"/>
    <n v="6.6599999999999998E-6"/>
    <n v="2.2138414758470099E-5"/>
    <n v="4.5916055846348303E-5"/>
    <n v="6.3503783565200097E-6"/>
    <n v="3.9470484640368398E-5"/>
    <n v="4.5030325434726599E-7"/>
    <n v="3.3207097427203101E-5"/>
    <n v="1.2062599617027499E-6"/>
    <n v="5.8471194569606704E-13"/>
    <n v="8.4748367429994398E-5"/>
    <n v="4.8283301782547701E-5"/>
    <n v="1.89629585506002E-4"/>
    <n v="2.44308122816221E-5"/>
    <n v="1.2970870210054401E-5"/>
  </r>
  <r>
    <x v="0"/>
    <x v="38"/>
    <x v="3"/>
    <n v="4.2300000000000002E-7"/>
    <n v="1.1000000000000001E-6"/>
    <n v="4.4700000000000001E-10"/>
    <n v="1.1000000000000001E-6"/>
    <n v="3.13E-10"/>
    <n v="3.5400000000000002E-7"/>
    <n v="2.6E-7"/>
    <n v="9.2099999999999998E-8"/>
    <n v="1.81E-9"/>
    <n v="2.28E-9"/>
    <n v="2.7599999999999998E-7"/>
    <n v="3.2099999999999998E-7"/>
    <n v="4.5400000000000003E-8"/>
    <n v="3.48E-17"/>
    <n v="1.6199999999999999E-8"/>
    <n v="2.91476487063433E-8"/>
    <n v="4.1430382437086898E-7"/>
    <n v="3.3639593219577E-7"/>
    <n v="7.7668843546088102E-8"/>
    <n v="4.2734623563769998E-9"/>
    <n v="6.9869787705625903E-8"/>
    <n v="5.8426637929841702E-9"/>
    <n v="1.39241110092859E-16"/>
    <n v="4.8246266888549495E-7"/>
    <n v="4.43832554747512E-7"/>
    <n v="1.50115558657822E-6"/>
    <n v="4.7300307303396702E-8"/>
    <n v="2.6233472389598502E-7"/>
  </r>
  <r>
    <x v="0"/>
    <x v="38"/>
    <x v="1"/>
    <n v="9.1700000000000003E-6"/>
    <n v="1.08E-5"/>
    <n v="1.7099999999999999E-6"/>
    <n v="-6.4600000000000004E-7"/>
    <n v="-8.1899999999999996E-11"/>
    <n v="2.1699999999999999E-5"/>
    <n v="1.6400000000000001E-7"/>
    <n v="-9.9999999999999995E-7"/>
    <n v="2.7999999999999999E-8"/>
    <n v="2.5599999999999999E-5"/>
    <n v="5.9399999999999999E-6"/>
    <n v="6.1399999999999997E-6"/>
    <n v="1.9599999999999999E-6"/>
    <n v="-1.1700000000000001E-15"/>
    <n v="2.6400000000000001E-8"/>
    <n v="-4.0272525605813201E-8"/>
    <n v="4.3418542894465003E-6"/>
    <n v="4.0135266573710298E-8"/>
    <n v="1.8248926087706101E-7"/>
    <n v="8.6733521801876599E-8"/>
    <n v="4.5491250475297396E-6"/>
    <n v="1.9129084228466699E-5"/>
    <n v="1.5256474293810901E-7"/>
    <n v="1.61201002578609E-5"/>
    <n v="7.7172604303990792E-6"/>
    <n v="1.70309623513629E-5"/>
    <n v="1.63582489385836E-6"/>
    <n v="1.32286681147992E-3"/>
  </r>
  <r>
    <x v="0"/>
    <x v="38"/>
    <x v="2"/>
    <n v="5.0900000000000002E-7"/>
    <n v="5.8400000000000004E-7"/>
    <n v="1.75E-9"/>
    <n v="5.7800000000000001E-7"/>
    <n v="4.7699999999999999E-9"/>
    <n v="1.0899999999999999E-6"/>
    <n v="1.06E-6"/>
    <n v="2.18E-8"/>
    <n v="1.3000000000000001E-8"/>
    <n v="8.7299999999999994E-9"/>
    <n v="7.0699999999999996E-7"/>
    <n v="8.6499999999999998E-7"/>
    <n v="5.5899999999999998E-8"/>
    <n v="1.45E-18"/>
    <n v="5.4399999999999997E-8"/>
    <n v="1.47388831858948E-9"/>
    <n v="2.2808952033326999E-7"/>
    <n v="5.1308781159524103E-8"/>
    <n v="1.7641212223736399E-7"/>
    <n v="1.6030718265356001E-9"/>
    <n v="3.9675032740595002E-9"/>
    <n v="2.6375845336570501E-8"/>
    <n v="1.73750563140666E-17"/>
    <n v="1.76281825003453E-7"/>
    <n v="6.5658490576637802E-7"/>
    <n v="9.6743578170833398E-7"/>
    <n v="6.6038427469179096E-9"/>
    <n v="3.8202393388566503E-9"/>
  </r>
  <r>
    <x v="0"/>
    <x v="39"/>
    <x v="21"/>
    <n v="9.4199999999999999E-5"/>
    <n v="1.46E-4"/>
    <n v="1.73E-7"/>
    <n v="1.46E-4"/>
    <n v="5.6599999999999997E-8"/>
    <n v="1.12E-4"/>
    <n v="7.7600000000000002E-5"/>
    <n v="3.04E-5"/>
    <n v="3.7799999999999998E-6"/>
    <n v="3.1100000000000002E-7"/>
    <n v="3.8399999999999998E-5"/>
    <n v="4.6300000000000001E-5"/>
    <n v="3.4E-5"/>
    <n v="1.8600000000000001E-14"/>
    <n v="7.8699999999999992E-6"/>
    <n v="2.6163581078191901E-5"/>
    <n v="5.4264429636593501E-5"/>
    <n v="7.5049926031600203E-6"/>
    <n v="4.6646936393162703E-5"/>
    <n v="5.3217657331949702E-7"/>
    <n v="3.9244751504876401E-5"/>
    <n v="1.4255799547396199E-6"/>
    <n v="6.9102320854989396E-13"/>
    <n v="1.0015716150817499E-4"/>
    <n v="5.70620839248292E-5"/>
    <n v="2.24107691961639E-4"/>
    <n v="2.8872778151007901E-5"/>
    <n v="1.53292102482491E-5"/>
  </r>
  <r>
    <x v="0"/>
    <x v="39"/>
    <x v="3"/>
    <n v="8.2399999999999997E-7"/>
    <n v="2.0999999999999998E-6"/>
    <n v="9.7100000000000006E-10"/>
    <n v="2.0999999999999998E-6"/>
    <n v="6.3199999999999999E-10"/>
    <n v="7.0500000000000003E-7"/>
    <n v="5.1799999999999995E-7"/>
    <n v="1.8400000000000001E-7"/>
    <n v="3.5600000000000001E-9"/>
    <n v="4.5200000000000001E-9"/>
    <n v="5.4199999999999996E-7"/>
    <n v="6.3200000000000005E-7"/>
    <n v="5.9499999999999997E-8"/>
    <n v="7.1200000000000003E-17"/>
    <n v="3.2999999999999998E-8"/>
    <n v="2.6492265339830801E-8"/>
    <n v="7.7945752515038899E-7"/>
    <n v="6.1339693421923502E-7"/>
    <n v="1.6562419452199699E-7"/>
    <n v="8.1671944516867697E-9"/>
    <n v="1.4913877828488001E-7"/>
    <n v="1.2226210946711701E-8"/>
    <n v="2.1138711270449101E-14"/>
    <n v="9.1433068552586305E-7"/>
    <n v="8.6189446655825697E-7"/>
    <n v="2.90473527448684E-6"/>
    <n v="5.5723621813722501E-8"/>
    <n v="2.8584057218070901E-7"/>
  </r>
  <r>
    <x v="0"/>
    <x v="39"/>
    <x v="1"/>
    <n v="9.1700000000000003E-6"/>
    <n v="1.08E-5"/>
    <n v="1.7099999999999999E-6"/>
    <n v="-6.4600000000000004E-7"/>
    <n v="-8.1899999999999996E-11"/>
    <n v="2.1699999999999999E-5"/>
    <n v="1.6400000000000001E-7"/>
    <n v="-9.9999999999999995E-7"/>
    <n v="2.7999999999999999E-8"/>
    <n v="2.5599999999999999E-5"/>
    <n v="5.9399999999999999E-6"/>
    <n v="6.1399999999999997E-6"/>
    <n v="1.9599999999999999E-6"/>
    <n v="-1.1700000000000001E-15"/>
    <n v="2.6400000000000001E-8"/>
    <n v="-4.0272525605813201E-8"/>
    <n v="4.3418542894465003E-6"/>
    <n v="4.0135266573710298E-8"/>
    <n v="1.8248926087706101E-7"/>
    <n v="8.6733521801876599E-8"/>
    <n v="4.5491250475297396E-6"/>
    <n v="1.9129084228466699E-5"/>
    <n v="1.5256474293810901E-7"/>
    <n v="1.61201002578609E-5"/>
    <n v="7.7172604303990792E-6"/>
    <n v="1.70309623513629E-5"/>
    <n v="1.63582489385836E-6"/>
    <n v="1.32286681147992E-3"/>
  </r>
  <r>
    <x v="0"/>
    <x v="39"/>
    <x v="2"/>
    <n v="5.5599999999999995E-7"/>
    <n v="6.3799999999999997E-7"/>
    <n v="1.9099999999999998E-9"/>
    <n v="6.3099999999999997E-7"/>
    <n v="5.21E-9"/>
    <n v="1.19E-6"/>
    <n v="1.1599999999999999E-6"/>
    <n v="2.3800000000000001E-8"/>
    <n v="1.42E-8"/>
    <n v="9.5399999999999997E-9"/>
    <n v="7.7199999999999998E-7"/>
    <n v="9.4499999999999995E-7"/>
    <n v="6.1000000000000004E-8"/>
    <n v="1.5800000000000001E-18"/>
    <n v="5.9400000000000003E-8"/>
    <n v="1.6102392203092101E-9"/>
    <n v="2.4919031296322002E-7"/>
    <n v="5.6055408491462398E-8"/>
    <n v="1.9273218640910201E-7"/>
    <n v="1.7513736254662001E-9"/>
    <n v="4.3345410218799898E-9"/>
    <n v="2.8815901513081499E-8"/>
    <n v="1.8982440378363501E-17"/>
    <n v="1.9258983524606301E-7"/>
    <n v="7.1732624066106496E-7"/>
    <n v="1.0569342460954499E-6"/>
    <n v="7.2147709305534902E-9"/>
    <n v="4.1736535508216396E-9"/>
  </r>
  <r>
    <x v="0"/>
    <x v="40"/>
    <x v="21"/>
    <n v="8.0499999999999992E-6"/>
    <n v="1.2500000000000001E-5"/>
    <n v="1.48E-8"/>
    <n v="1.2500000000000001E-5"/>
    <n v="4.8300000000000001E-9"/>
    <n v="9.5599999999999999E-6"/>
    <n v="6.64E-6"/>
    <n v="2.6000000000000001E-6"/>
    <n v="3.2300000000000002E-7"/>
    <n v="2.66E-8"/>
    <n v="3.2799999999999999E-6"/>
    <n v="3.9600000000000002E-6"/>
    <n v="2.9100000000000001E-6"/>
    <n v="1.59E-15"/>
    <n v="6.7199999999999998E-7"/>
    <n v="2.2362035109565701E-6"/>
    <n v="4.6379854390250803E-6"/>
    <n v="6.4145235924444598E-7"/>
    <n v="3.9869176404412503E-6"/>
    <n v="4.5485177206794597E-8"/>
    <n v="3.3542522653740499E-6"/>
    <n v="1.21844440576036E-7"/>
    <n v="5.9061812696572401E-14"/>
    <n v="8.5604411545448906E-6"/>
    <n v="4.87710119015634E-6"/>
    <n v="1.9154503586464799E-5"/>
    <n v="2.4677588163254601E-6"/>
    <n v="1.31018891010525E-6"/>
  </r>
  <r>
    <x v="0"/>
    <x v="40"/>
    <x v="1"/>
    <n v="9.1700000000000003E-6"/>
    <n v="1.08E-5"/>
    <n v="1.7099999999999999E-6"/>
    <n v="-6.4600000000000004E-7"/>
    <n v="-8.1899999999999996E-11"/>
    <n v="2.1699999999999999E-5"/>
    <n v="1.6400000000000001E-7"/>
    <n v="-9.9999999999999995E-7"/>
    <n v="2.7999999999999999E-8"/>
    <n v="2.5599999999999999E-5"/>
    <n v="5.9399999999999999E-6"/>
    <n v="6.1399999999999997E-6"/>
    <n v="1.9599999999999999E-6"/>
    <n v="-1.1700000000000001E-15"/>
    <n v="2.6400000000000001E-8"/>
    <n v="-4.0272525605813201E-8"/>
    <n v="4.3418542894465003E-6"/>
    <n v="4.0135266573710298E-8"/>
    <n v="1.8248926087706101E-7"/>
    <n v="8.6733521801876599E-8"/>
    <n v="4.5491250475297396E-6"/>
    <n v="1.9129084228466699E-5"/>
    <n v="1.5256474293810901E-7"/>
    <n v="1.61201002578609E-5"/>
    <n v="7.7172604303990792E-6"/>
    <n v="1.70309623513629E-5"/>
    <n v="1.63582489385836E-6"/>
    <n v="1.32286681147992E-3"/>
  </r>
  <r>
    <x v="0"/>
    <x v="40"/>
    <x v="2"/>
    <n v="3.03E-7"/>
    <n v="3.4700000000000002E-7"/>
    <n v="1.0399999999999999E-9"/>
    <n v="3.4400000000000001E-7"/>
    <n v="2.8400000000000001E-9"/>
    <n v="6.5000000000000002E-7"/>
    <n v="6.3E-7"/>
    <n v="1.29E-8"/>
    <n v="7.7599999999999997E-9"/>
    <n v="5.1899999999999997E-9"/>
    <n v="4.2E-7"/>
    <n v="5.1399999999999997E-7"/>
    <n v="3.32E-8"/>
    <n v="8.6299999999999995E-19"/>
    <n v="3.2399999999999999E-8"/>
    <n v="8.76541511055418E-10"/>
    <n v="1.3564795262110799E-7"/>
    <n v="3.05140328481751E-8"/>
    <n v="1.0491469824689E-7"/>
    <n v="9.5336870741103804E-10"/>
    <n v="2.35952837884596E-9"/>
    <n v="1.56860754204274E-8"/>
    <n v="1.0333183270480099E-17"/>
    <n v="1.04837208702494E-7"/>
    <n v="3.9048001003727302E-7"/>
    <n v="5.75347271060022E-7"/>
    <n v="3.9273954662287101E-9"/>
    <n v="2.2719485054875399E-9"/>
  </r>
  <r>
    <x v="3"/>
    <x v="41"/>
    <x v="1"/>
    <n v="1.4514848173658001E-3"/>
    <n v="2.39470609212099E-3"/>
    <n v="1.0066226917835801E-3"/>
    <n v="5.57158292890304E-4"/>
    <n v="3.7267914508565699E-6"/>
    <n v="4.2796098176475202E-3"/>
    <n v="3.1419085619543798E-3"/>
    <n v="-7.5310292532673197E-4"/>
    <n v="3.2413675654510499E-5"/>
    <n v="1.9492218365760601E-3"/>
    <n v="1.3098192786805999E-3"/>
    <n v="1.42383843842543E-3"/>
    <n v="4.63626353459799E-4"/>
    <n v="-1.23275801059059E-12"/>
    <n v="2.2155266324759299E-4"/>
    <n v="8.2246023754211595E-5"/>
    <n v="1.83449649473853E-3"/>
    <n v="3.8157424622437002E-4"/>
    <n v="1.06220528899076E-3"/>
    <n v="5.3699999999999997E-5"/>
    <n v="-1.48E-3"/>
    <n v="1.34E-2"/>
    <n v="1.29E-5"/>
    <n v="2.0699999999999998E-3"/>
    <n v="1.82E-3"/>
    <n v="1.9400000000000001E-3"/>
    <n v="1.3100000000000001E-4"/>
    <n v="0.11799999999999999"/>
  </r>
  <r>
    <x v="3"/>
    <x v="41"/>
    <x v="2"/>
    <n v="2.1078160836920001E-3"/>
    <n v="2.4202481897135399E-3"/>
    <n v="7.2370695673431703E-6"/>
    <n v="2.3932613902247599E-3"/>
    <n v="1.9749729921439799E-5"/>
    <n v="4.5296966655507202E-3"/>
    <n v="4.3855175037005199E-3"/>
    <n v="9.0147652642435106E-5"/>
    <n v="5.4031509207761201E-5"/>
    <n v="3.6165342157901699E-5"/>
    <n v="2.92837861855839E-3"/>
    <n v="3.5835799481722902E-3"/>
    <n v="2.3147214514141501E-4"/>
    <n v="6.0087644032966997E-15"/>
    <n v="2.2536587019964099E-4"/>
    <n v="6.1062749357656497E-6"/>
    <n v="9.4496801660980199E-4"/>
    <n v="2.1257073580644299E-4"/>
    <n v="7.3087011193232701E-4"/>
    <n v="6.64E-6"/>
    <n v="1.6399999999999999E-5"/>
    <n v="1.0900000000000001E-4"/>
    <n v="7.1999999999999996E-14"/>
    <n v="7.2999999999999996E-4"/>
    <n v="2.7200000000000002E-3"/>
    <n v="4.0099999999999997E-3"/>
    <n v="2.7399999999999999E-5"/>
    <n v="1.5800000000000001E-5"/>
  </r>
  <r>
    <x v="4"/>
    <x v="42"/>
    <x v="46"/>
    <n v="0.50600000000000001"/>
    <n v="1.02"/>
    <n v="9.9900000000000006E-3"/>
    <n v="1.01"/>
    <n v="1.7000000000000001E-4"/>
    <n v="15.2"/>
    <n v="14.8"/>
    <n v="0.23499999999999999"/>
    <n v="0.11700000000000001"/>
    <n v="6.6299999999999996E-3"/>
    <n v="0.26800000000000002"/>
    <n v="0.32500000000000001"/>
    <n v="0.71"/>
    <n v="8.01E-12"/>
    <n v="0.69599999999999995"/>
    <n v="1.42270499885844E-2"/>
    <n v="2.1443774134964402"/>
    <n v="0.457530233478605"/>
    <n v="1.68414745560857"/>
    <n v="2.0600184584041201E-2"/>
    <n v="2.34304819846919E-2"/>
    <n v="2.20676007283707E-3"/>
    <n v="9.7044399187507403E-11"/>
    <n v="0.30570194305952902"/>
    <n v="0.64049770223886504"/>
    <n v="13.702124053918901"/>
    <n v="3.4183322523815902E-2"/>
    <n v="7.4921584983720403E-3"/>
  </r>
  <r>
    <x v="4"/>
    <x v="42"/>
    <x v="47"/>
    <n v="4.2300000000000004"/>
    <n v="7.11"/>
    <n v="0"/>
    <n v="7.11"/>
    <n v="0"/>
    <n v="3.5100000000000001E-3"/>
    <n v="2.5199999999999999E-5"/>
    <n v="0"/>
    <n v="3.48E-3"/>
    <n v="0"/>
    <n v="5.82"/>
    <n v="7.05"/>
    <n v="0"/>
    <n v="0"/>
    <n v="0"/>
    <n v="0"/>
    <n v="0.226228279402898"/>
    <n v="0.22137052299340701"/>
    <n v="0"/>
    <n v="5.0098950191908498E-3"/>
    <n v="0"/>
    <n v="0"/>
    <n v="0"/>
    <n v="1.1056676537673"/>
    <n v="7.7115302790850899"/>
    <n v="0"/>
    <n v="0"/>
    <n v="0"/>
  </r>
  <r>
    <x v="4"/>
    <x v="43"/>
    <x v="48"/>
    <n v="1.17E-3"/>
    <n v="1.4300000000000001E-3"/>
    <n v="0"/>
    <n v="0"/>
    <n v="0"/>
    <n v="5.47E-3"/>
    <n v="0"/>
    <n v="0"/>
    <n v="0"/>
    <n v="6.1599999999999997E-3"/>
    <n v="6.8499999999999995E-4"/>
    <n v="6.3100000000000005E-4"/>
    <n v="3.4099999999999999E-4"/>
    <n v="0"/>
    <n v="0"/>
    <n v="0"/>
    <n v="6.6299999999999996E-4"/>
    <n v="0"/>
    <n v="0"/>
    <n v="0"/>
    <n v="1.2199999999999999E-3"/>
    <n v="1.9900000000000001E-4"/>
    <n v="1.6900000000000001E-5"/>
    <n v="5.3899999999999998E-4"/>
    <n v="7.3700000000000002E-4"/>
    <n v="3.48E-3"/>
    <n v="1.81E-3"/>
    <n v="1.5399999999999999E-3"/>
  </r>
  <r>
    <x v="5"/>
    <x v="42"/>
    <x v="46"/>
    <n v="3.5419999999999998"/>
    <n v="7.1400000000000006"/>
    <n v="6.9930000000000006E-2"/>
    <n v="7.07"/>
    <n v="1.1900000000000001E-3"/>
    <n v="106.39999999999999"/>
    <n v="103.60000000000001"/>
    <n v="1.645"/>
    <n v="0.81900000000000006"/>
    <n v="4.641E-2"/>
    <n v="1.8760000000000001"/>
    <n v="2.2749999999999999"/>
    <n v="4.97"/>
    <n v="5.607E-11"/>
    <n v="4.8719999999999999"/>
    <n v="9.9589349920090803E-2"/>
    <n v="15.010641894475082"/>
    <n v="3.2027116343502349"/>
    <n v="11.78903218925999"/>
    <n v="0.14420129208828841"/>
    <n v="0.16401337389284332"/>
    <n v="1.544732050985949E-2"/>
    <n v="6.7931079431255183E-10"/>
    <n v="2.1399136014167031"/>
    <n v="4.4834839156720552"/>
    <n v="95.914868377432299"/>
    <n v="0.23928325766671132"/>
    <n v="5.2445109488604286E-2"/>
  </r>
  <r>
    <x v="5"/>
    <x v="42"/>
    <x v="47"/>
    <n v="29.610000000000003"/>
    <n v="49.77"/>
    <n v="0"/>
    <n v="49.77"/>
    <n v="0"/>
    <n v="2.4570000000000002E-2"/>
    <n v="1.7640000000000001E-4"/>
    <n v="0"/>
    <n v="2.436E-2"/>
    <n v="0"/>
    <n v="40.74"/>
    <n v="49.35"/>
    <n v="0"/>
    <n v="0"/>
    <n v="0"/>
    <n v="0"/>
    <n v="1.583597955820286"/>
    <n v="1.549593660953849"/>
    <n v="0"/>
    <n v="3.5069265134335947E-2"/>
    <n v="0"/>
    <n v="0"/>
    <n v="0"/>
    <n v="7.7396735763711"/>
    <n v="53.98071195359563"/>
    <n v="0"/>
    <n v="0"/>
    <n v="0"/>
  </r>
  <r>
    <x v="5"/>
    <x v="43"/>
    <x v="48"/>
    <n v="8.1899999999999994E-3"/>
    <n v="1.001E-2"/>
    <n v="0"/>
    <n v="0"/>
    <n v="0"/>
    <n v="3.8289999999999998E-2"/>
    <n v="0"/>
    <n v="0"/>
    <n v="0"/>
    <n v="4.3119999999999999E-2"/>
    <n v="4.7949999999999998E-3"/>
    <n v="4.4170000000000008E-3"/>
    <n v="2.3869999999999998E-3"/>
    <n v="0"/>
    <n v="0"/>
    <n v="0"/>
    <n v="4.6409999999999993E-3"/>
    <n v="0"/>
    <n v="0"/>
    <n v="0"/>
    <n v="8.539999999999999E-3"/>
    <n v="1.3930000000000001E-3"/>
    <n v="1.183E-4"/>
    <n v="3.7729999999999999E-3"/>
    <n v="5.1590000000000004E-3"/>
    <n v="2.436E-2"/>
    <n v="1.2670000000000001E-2"/>
    <n v="1.078E-2"/>
  </r>
  <r>
    <x v="6"/>
    <x v="44"/>
    <x v="49"/>
    <n v="2.2399999999999999E-5"/>
    <n v="2.1699999999999999E-5"/>
    <n v="7.0200000000000007E-8"/>
    <n v="2.16E-5"/>
    <n v="6.3300000000000004E-8"/>
    <n v="3.1199999999999999E-5"/>
    <n v="2.9E-5"/>
    <n v="1.9700000000000002E-6"/>
    <n v="2.35E-7"/>
    <n v="1.8199999999999999E-7"/>
    <n v="1.6500000000000001E-5"/>
    <n v="2.0100000000000001E-5"/>
    <n v="1.15E-5"/>
    <n v="1.2500000000000001E-16"/>
    <n v="1.1199999999999999E-5"/>
    <n v="3.3599999999999999E-7"/>
    <n v="9.3499999999999996E-5"/>
    <n v="3.89E-6"/>
    <n v="8.9599999999999996E-5"/>
    <n v="7.7599999999999993E-8"/>
    <n v="6.0399999999999996E-7"/>
    <n v="5.7000000000000005E-7"/>
    <n v="1.26E-14"/>
    <n v="2.5899999999999999E-5"/>
    <n v="2.41E-5"/>
    <n v="3.5599999999999998E-5"/>
    <n v="2.5899999999999998E-7"/>
    <n v="1.6300000000000001E-6"/>
  </r>
  <r>
    <x v="6"/>
    <x v="44"/>
    <x v="50"/>
    <n v="1.35E-4"/>
    <n v="1.3100000000000001E-4"/>
    <n v="4.2300000000000002E-7"/>
    <n v="1.2999999999999999E-4"/>
    <n v="3.8200000000000001E-7"/>
    <n v="5.8100000000000001E-3"/>
    <n v="1.75E-4"/>
    <n v="5.6299999999999996E-3"/>
    <n v="1.42E-6"/>
    <n v="1.1000000000000001E-6"/>
    <n v="9.9500000000000006E-5"/>
    <n v="1.21E-4"/>
    <n v="6.9400000000000006E-5"/>
    <n v="7.6700000000000004E-16"/>
    <n v="6.7299999999999996E-5"/>
    <n v="2.03E-6"/>
    <n v="5.6300000000000002E-4"/>
    <n v="2.34E-5"/>
    <n v="5.4000000000000001E-4"/>
    <n v="4.6800000000000001E-7"/>
    <n v="3.67E-6"/>
    <n v="3.4400000000000001E-6"/>
    <n v="7.6200000000000006E-14"/>
    <n v="1.56E-4"/>
    <n v="1.45E-4"/>
    <n v="2.1499999999999999E-4"/>
    <n v="1.5600000000000001E-6"/>
    <n v="9.8400000000000007E-6"/>
  </r>
  <r>
    <x v="6"/>
    <x v="44"/>
    <x v="51"/>
    <n v="2.9100000000000003E-4"/>
    <n v="3.8099999999999999E-4"/>
    <n v="1.8700000000000001E-6"/>
    <n v="3.79E-4"/>
    <n v="4.8699999999999995E-7"/>
    <n v="4.5899999999999999E-4"/>
    <n v="3.5500000000000001E-4"/>
    <n v="1.02E-4"/>
    <n v="2.4899999999999999E-6"/>
    <n v="3.4300000000000002E-6"/>
    <n v="3.3E-4"/>
    <n v="3.9899999999999999E-4"/>
    <n v="1.7100000000000001E-2"/>
    <n v="3.13E-15"/>
    <n v="1.7000000000000001E-2"/>
    <n v="4.6E-5"/>
    <n v="0.14799999999999999"/>
    <n v="4.07E-5"/>
    <n v="0.14799999999999999"/>
    <n v="2.3800000000000001E-6"/>
    <n v="2.3300000000000001E-5"/>
    <n v="9.0999999999999993E-6"/>
    <n v="6.4399999999999998E-13"/>
    <n v="1.7200000000000001E-4"/>
    <n v="4.2299999999999998E-4"/>
    <n v="4.9899999999999999E-4"/>
    <n v="7.7600000000000002E-6"/>
    <n v="1.1399999999999999E-5"/>
  </r>
  <r>
    <x v="6"/>
    <x v="44"/>
    <x v="52"/>
    <n v="8.25E-5"/>
    <n v="1.9000000000000001E-4"/>
    <n v="3.8099999999999998E-7"/>
    <n v="1.8900000000000001E-4"/>
    <n v="1.5800000000000001E-7"/>
    <n v="4.9700000000000005E-4"/>
    <n v="1.47E-4"/>
    <n v="6.2000000000000003E-5"/>
    <n v="2.8800000000000001E-4"/>
    <n v="1.76E-4"/>
    <n v="5.3199999999999999E-5"/>
    <n v="6.4499999999999996E-5"/>
    <n v="5.6199999999999997E-5"/>
    <n v="2.33E-15"/>
    <n v="5.1799999999999999E-5"/>
    <n v="4.4399999999999998E-6"/>
    <n v="3.4699999999999998E-4"/>
    <n v="1.6500000000000001E-5"/>
    <n v="3.2400000000000001E-4"/>
    <n v="7.9500000000000001E-6"/>
    <n v="8.8100000000000004E-6"/>
    <n v="1.8500000000000001E-6"/>
    <n v="6.8799999999999995E-14"/>
    <n v="7.5500000000000006E-5"/>
    <n v="8.1899999999999999E-5"/>
    <n v="3.4299999999999999E-4"/>
    <n v="1.66E-6"/>
    <n v="-1.64E-6"/>
  </r>
  <r>
    <x v="6"/>
    <x v="44"/>
    <x v="53"/>
    <n v="1.5400000000000002E-5"/>
    <n v="3.6699999999999998E-4"/>
    <n v="3.28E-4"/>
    <n v="3.8699999999999999E-5"/>
    <n v="1.7299999999999999E-8"/>
    <n v="1.34E-4"/>
    <n v="1.26E-4"/>
    <n v="3.7000000000000002E-6"/>
    <n v="4.7099999999999998E-6"/>
    <n v="1.9700000000000001E-5"/>
    <n v="8.4699999999999999E-5"/>
    <n v="1.7499999999999998E-5"/>
    <n v="6.72E-6"/>
    <n v="2.55E-16"/>
    <n v="5.4700000000000001E-6"/>
    <n v="1.2500000000000001E-6"/>
    <n v="7.1199999999999996E-5"/>
    <n v="1.9199999999999999E-5"/>
    <n v="3.5299999999999997E-5"/>
    <n v="1.6900000000000001E-5"/>
    <n v="9.6299999999999993E-7"/>
    <n v="2.0200000000000001E-7"/>
    <n v="7.5200000000000007E-15"/>
    <n v="1.38E-5"/>
    <n v="4.49E-5"/>
    <n v="3.7499999999999997E-5"/>
    <n v="1.8099999999999999E-7"/>
    <n v="1.0499999999999999E-6"/>
  </r>
  <r>
    <x v="6"/>
    <x v="45"/>
    <x v="54"/>
    <n v="-4.6499999999999996E-3"/>
    <n v="-4.9199999999999999E-3"/>
    <n v="-4.1899999999999997E-6"/>
    <n v="-4.8999999999999998E-3"/>
    <n v="-9.2199999999999998E-6"/>
    <n v="-6.1500000000000001E-3"/>
    <n v="-3.8600000000000001E-3"/>
    <n v="-2.2699999999999999E-3"/>
    <n v="-2.3600000000000001E-5"/>
    <n v="-3.2400000000000001E-5"/>
    <n v="-2.32E-3"/>
    <n v="-2.7799999999999999E-3"/>
    <n v="-0.17199999999999999"/>
    <n v="-8.01E-12"/>
    <n v="-4.91270005509367E-3"/>
    <n v="-0.167487247212357"/>
    <n v="-2.27075371790346E-2"/>
    <n v="-7.8668728530836905E-4"/>
    <n v="-2.1919586686059998E-2"/>
    <n v="-1.8658594134913E-5"/>
    <n v="-4.5958982757435301E-4"/>
    <n v="-1.5725501719914201E-4"/>
    <n v="-1.1556490832854301E-11"/>
    <n v="-7.4794035436953404E-3"/>
    <n v="-3.3291487899406598E-3"/>
    <n v="-7.8501168292902605E-3"/>
    <n v="-1.05714869532337E-2"/>
    <n v="-2.50865245610114E-3"/>
  </r>
  <r>
    <x v="6"/>
    <x v="45"/>
    <x v="55"/>
    <n v="-4.7100000000000003E-2"/>
    <n v="-6.6799999999999998E-2"/>
    <n v="-8.5799999999999998E-5"/>
    <n v="-6.6600000000000006E-2"/>
    <n v="-3.1399999999999998E-5"/>
    <n v="-5.4800000000000001E-2"/>
    <n v="-3.85E-2"/>
    <n v="-1.4500000000000001E-2"/>
    <n v="-1.8600000000000001E-3"/>
    <n v="-1.56E-4"/>
    <n v="-1.7999999999999999E-2"/>
    <n v="-2.1700000000000001E-2"/>
    <n v="-1.67E-2"/>
    <n v="-8.4799999999999994E-12"/>
    <n v="-4.0624376914808703E-3"/>
    <n v="-1.26034422574474E-2"/>
    <n v="-2.85102999827349E-2"/>
    <n v="-3.5362358384236001E-3"/>
    <n v="-2.4920037219776099E-2"/>
    <n v="-2.4111420937652199E-4"/>
    <n v="-1.7963837802626101E-2"/>
    <n v="-9.09070342160841E-4"/>
    <n v="-2.8445369475092101E-11"/>
    <n v="-4.7267739581747202E-2"/>
    <n v="-2.6976623264084901E-2"/>
    <n v="-0.104252253476809"/>
    <n v="-0.13026022188247999"/>
    <n v="-7.3987800868282596E-3"/>
  </r>
  <r>
    <x v="6"/>
    <x v="45"/>
    <x v="56"/>
    <n v="-4.1200000000000001E-2"/>
    <n v="-5.8500000000000003E-2"/>
    <n v="-7.5700000000000004E-6"/>
    <n v="-8.2799999999999996E-4"/>
    <n v="-4.7700000000000005E-7"/>
    <n v="-1.84"/>
    <n v="-4.9799999999999996E-4"/>
    <n v="-9.2299999999999999E-4"/>
    <n v="-6.7800000000000003E-6"/>
    <n v="-0.497"/>
    <n v="-4.6300000000000001E-2"/>
    <n v="-4.48E-2"/>
    <n v="-3.3799999999999997E-2"/>
    <n v="-1.15E-15"/>
    <n v="-7.0692272584824904E-5"/>
    <n v="-2.6588271950269599E-5"/>
    <n v="-0.120699183305071"/>
    <n v="-5.3835737224761498E-5"/>
    <n v="-3.8801783677801601E-4"/>
    <n v="-2.78241517913662E-6"/>
    <n v="-1.7097296133687E-2"/>
    <n v="-3.0206100929360902E-3"/>
    <n v="-8.5297192775399798E-4"/>
    <n v="-4.2108022516914999E-2"/>
    <n v="-4.8577016681915101E-2"/>
    <n v="-9.3918820014787796E-2"/>
    <n v="-3.63138380591537"/>
    <n v="-1.1707123048216399"/>
  </r>
  <r>
    <x v="6"/>
    <x v="45"/>
    <x v="57"/>
    <n v="-9.0399999999999996E-4"/>
    <n v="-2.4499999999999999E-3"/>
    <n v="-4.3699999999999997E-6"/>
    <n v="-2.4099999999999998E-3"/>
    <n v="-2.22E-7"/>
    <n v="-2.2200000000000001E-2"/>
    <n v="-5.5100000000000001E-3"/>
    <n v="-8.4100000000000008E-3"/>
    <n v="-8.1700000000000002E-3"/>
    <n v="-6.1200000000000002E-4"/>
    <n v="-7.2400000000000003E-4"/>
    <n v="-7.6499999999999995E-4"/>
    <n v="-7.3999999999999999E-4"/>
    <n v="-3.29E-10"/>
    <n v="-6.6343373515629299E-4"/>
    <n v="-6.2321757603290502E-5"/>
    <n v="-5.1618939662660098E-3"/>
    <n v="-4.1569077297283897E-4"/>
    <n v="-4.6328856379084498E-3"/>
    <n v="-1.13138562791754E-4"/>
    <n v="-9.6891811571459604E-4"/>
    <n v="-7.0319148685238201E-4"/>
    <n v="-5.0251979072164397E-6"/>
    <n v="-1.00168321493811E-3"/>
    <n v="-1.07249148526111E-3"/>
    <n v="-6.0908779633005597E-3"/>
    <n v="5.9639738205503499E-4"/>
    <n v="-4.5286042350865504E-3"/>
  </r>
  <r>
    <x v="6"/>
    <x v="45"/>
    <x v="58"/>
    <n v="1.5E-5"/>
    <n v="-5.02E-5"/>
    <n v="-6.1500000000000004E-7"/>
    <n v="-4.9499999999999997E-5"/>
    <n v="-9.5999999999999999E-8"/>
    <n v="-9.1000000000000003E-5"/>
    <n v="-4.49E-5"/>
    <n v="-4.6699999999999997E-5"/>
    <n v="5.6400000000000002E-7"/>
    <n v="-9.09E-7"/>
    <n v="3.2400000000000001E-5"/>
    <n v="4.2200000000000003E-5"/>
    <n v="-5.8100000000000003E-6"/>
    <n v="-2.2899999999999999E-14"/>
    <n v="1.4350544600528801E-6"/>
    <n v="-7.2406436493093297E-6"/>
    <n v="8.7496290405060907E-6"/>
    <n v="-6.3320362258131204E-6"/>
    <n v="1.51132006011616E-5"/>
    <n v="-3.6309597931875701E-7"/>
    <n v="-5.65304141500419E-5"/>
    <n v="-3.6333478253306801E-6"/>
    <n v="-2.4264860602357201E-13"/>
    <n v="-1.06151133618118E-5"/>
    <n v="3.7722439117116301E-5"/>
    <n v="-3.01935722069938E-4"/>
    <n v="-2.7556719793478898E-6"/>
    <n v="2.1872588157292699E-5"/>
  </r>
  <r>
    <x v="6"/>
    <x v="45"/>
    <x v="59"/>
    <n v="-1.9587827311364099E-4"/>
    <n v="1.2241468164508099E-3"/>
    <n v="-5.0929154017994003E-6"/>
    <n v="1.22999345234261E-3"/>
    <n v="-7.53720489996312E-7"/>
    <n v="-7.08870746806876E-4"/>
    <n v="-3.7723669677796202E-4"/>
    <n v="-3.92895799606613E-4"/>
    <n v="6.1261749577699507E-5"/>
    <n v="-7.4615432684834198E-6"/>
    <n v="-1.6835589028455899E-4"/>
    <n v="-1.7604811670322301E-4"/>
    <n v="-7.3590263043250096E-5"/>
    <n v="-1.93734725988418E-13"/>
    <n v="-1.15900980321272E-5"/>
    <n v="-6.2000164817388107E-5"/>
    <n v="-9.3044844095100795E-5"/>
    <n v="-4.8970017444399997E-5"/>
    <n v="-4.5063989749223299E-5"/>
    <n v="-1.1275821937431099E-6"/>
    <n v="-4.7686543433377E-4"/>
    <n v="-3.02828059564827E-5"/>
    <n v="-2.0017867381290602E-12"/>
    <n v="-1.3525324056221701E-4"/>
    <n v="-2.2331603857034699E-4"/>
    <n v="-2.56503059681244E-3"/>
    <n v="-2.2922147620764101E-5"/>
    <n v="1.1688553392832599E-4"/>
  </r>
  <r>
    <x v="6"/>
    <x v="45"/>
    <x v="60"/>
    <n v="3.35332568156702E-6"/>
    <n v="3.2515608053504098E-6"/>
    <n v="1.0521046072020399E-8"/>
    <n v="3.23154470900027E-6"/>
    <n v="9.4950502781126698E-9"/>
    <n v="4.6799048450369497E-6"/>
    <n v="4.3499274872429298E-6"/>
    <n v="2.94719591399744E-7"/>
    <n v="3.5257766394274701E-8"/>
    <n v="2.7328403665339401E-8"/>
    <n v="2.4746888102680801E-6"/>
    <n v="3.0064919168317701E-6"/>
    <n v="1.7261588414662399E-6"/>
    <n v="1.8786779871807601E-17"/>
    <n v="1.6757155235165399E-6"/>
    <n v="5.0443317930915899E-8"/>
    <n v="1.40185041404875E-5"/>
    <n v="5.8288527129232102E-7"/>
    <n v="1.34314079782726E-5"/>
    <n v="1.16328790701018E-8"/>
    <n v="9.05719272808847E-8"/>
    <n v="8.5507789967622304E-8"/>
    <n v="1.8938631624940498E-15"/>
    <n v="3.8865781004460797E-6"/>
    <n v="3.6099588655712699E-6"/>
    <n v="5.3387722355786597E-6"/>
    <n v="3.8864953433284602E-8"/>
    <n v="2.4479202339970102E-7"/>
  </r>
  <r>
    <x v="6"/>
    <x v="45"/>
    <x v="61"/>
    <n v="2.0218546613354499E-5"/>
    <n v="1.9608921938779601E-5"/>
    <n v="6.3476760876449405E-8"/>
    <n v="1.94881926271698E-5"/>
    <n v="5.7252550733301601E-8"/>
    <n v="8.7169733200129196E-4"/>
    <n v="2.6229273181279199E-5"/>
    <n v="8.4525547384443596E-4"/>
    <n v="2.1258497557655501E-7"/>
    <n v="1.6483496236239701E-7"/>
    <n v="1.49207873190646E-5"/>
    <n v="1.8127158115203301E-5"/>
    <n v="1.04074030458629E-5"/>
    <n v="1.1512937867536599E-16"/>
    <n v="1.01028674950482E-5"/>
    <n v="3.0453555069954498E-7"/>
    <n v="8.4517946436757799E-5"/>
    <n v="3.5147074221098602E-6"/>
    <n v="8.0977848354280902E-5"/>
    <n v="7.0151192175883201E-8"/>
    <n v="5.5065976790934295E-7"/>
    <n v="5.1582454910902204E-7"/>
    <n v="1.14378830724595E-14"/>
    <n v="2.3433116200910701E-5"/>
    <n v="2.1765565486572399E-5"/>
    <n v="3.2199178320118797E-5"/>
    <n v="2.34520115241684E-7"/>
    <n v="1.4764531443925401E-6"/>
  </r>
  <r>
    <x v="6"/>
    <x v="45"/>
    <x v="62"/>
    <n v="2.0949662598326299E-4"/>
    <n v="2.7405295001974402E-4"/>
    <n v="1.3457552647619801E-6"/>
    <n v="2.7235684290850902E-4"/>
    <n v="3.5035184647383E-7"/>
    <n v="3.30532132684922E-4"/>
    <n v="2.5513033266319501E-4"/>
    <n v="7.3612405776138899E-5"/>
    <n v="1.78939424558828E-6"/>
    <n v="2.4688874826003599E-6"/>
    <n v="2.37571717304523E-4"/>
    <n v="2.8692651155531299E-4"/>
    <n v="1.2265644286186801E-2"/>
    <n v="2.2545732080825802E-15"/>
    <n v="1.22325843643261E-2"/>
    <n v="3.3059921858469602E-5"/>
    <n v="0.10659225640506501"/>
    <n v="2.9267802671348499E-5"/>
    <n v="0.10656281477834501"/>
    <n v="1.71031416256537E-6"/>
    <n v="1.6730444149127E-5"/>
    <n v="6.5472228396187797E-6"/>
    <n v="4.6351792423691098E-13"/>
    <n v="1.2368401063968099E-4"/>
    <n v="3.0427625701990002E-4"/>
    <n v="3.5873705071109697E-4"/>
    <n v="5.5849104146357596E-6"/>
    <n v="8.2123952535354798E-6"/>
  </r>
  <r>
    <x v="6"/>
    <x v="45"/>
    <x v="63"/>
    <n v="2.1286616728948099E-5"/>
    <n v="4.8910141068267301E-5"/>
    <n v="9.8205877676751297E-8"/>
    <n v="4.8771159957943197E-5"/>
    <n v="4.0775232647286002E-8"/>
    <n v="1.28127627783338E-4"/>
    <n v="3.7975267147792198E-5"/>
    <n v="1.5984130803902101E-5"/>
    <n v="7.4168229831644193E-5"/>
    <n v="4.5367569080369601E-5"/>
    <n v="1.3724507255589999E-5"/>
    <n v="1.6642696480811E-5"/>
    <n v="1.45000915330046E-5"/>
    <n v="6.02017498054926E-16"/>
    <n v="1.3353920351738901E-5"/>
    <n v="1.14617118066366E-6"/>
    <n v="8.9396171278004999E-5"/>
    <n v="4.2527911713601699E-6"/>
    <n v="8.3456676620263705E-5"/>
    <n v="2.0509661329128498E-6"/>
    <n v="2.27167361795193E-6"/>
    <n v="4.7773778671316802E-7"/>
    <n v="1.7750913190094901E-14"/>
    <n v="1.94685206257477E-5"/>
    <n v="2.1133932845067701E-5"/>
    <n v="8.8561264033138894E-5"/>
    <n v="4.2730621244668701E-7"/>
    <n v="-4.2392875343846098E-7"/>
  </r>
  <r>
    <x v="6"/>
    <x v="45"/>
    <x v="64"/>
    <n v="1.3758574746871501E-5"/>
    <n v="3.2836706310556199E-4"/>
    <n v="2.93679930713236E-4"/>
    <n v="3.4671665875630297E-5"/>
    <n v="1.5466516695690199E-8"/>
    <n v="1.2014008240243E-4"/>
    <n v="1.1260405789330799E-4"/>
    <n v="3.3161923593645698E-6"/>
    <n v="4.2198321497575501E-6"/>
    <n v="1.7618707110731601E-5"/>
    <n v="7.5844952550451102E-5"/>
    <n v="1.5636303817300701E-5"/>
    <n v="6.0111637887869E-6"/>
    <n v="2.2835188594995302E-16"/>
    <n v="4.8932042628418902E-6"/>
    <n v="1.1179595257166599E-6"/>
    <n v="6.3715312790782501E-5"/>
    <n v="1.71423527813863E-5"/>
    <n v="3.1618707114922498E-5"/>
    <n v="1.5092421531653599E-5"/>
    <n v="8.6167232230862399E-7"/>
    <n v="1.8121195203544601E-7"/>
    <n v="6.7331883190733499E-15"/>
    <n v="1.2386803943453701E-5"/>
    <n v="4.0164889016322998E-5"/>
    <n v="3.3592242904988698E-5"/>
    <n v="1.62082565905012E-7"/>
    <n v="9.3709595091067701E-7"/>
  </r>
  <r>
    <x v="6"/>
    <x v="45"/>
    <x v="65"/>
    <n v="1.47632039862964E-4"/>
    <n v="4.12171982566745E-4"/>
    <n v="4.2007513660037602E-7"/>
    <n v="4.1162052253780401E-4"/>
    <n v="1.3138489234069501E-7"/>
    <n v="1.8269995300583799E-4"/>
    <n v="1.10888219591816E-4"/>
    <n v="7.1083810716482997E-5"/>
    <n v="7.2792269753977303E-7"/>
    <n v="1.4343631491682599E-6"/>
    <n v="1.29353996630767E-4"/>
    <n v="1.5615881436129199E-4"/>
    <n v="1.7099359806396002E-5"/>
    <n v="0"/>
    <n v="3.4561920297337201E-6"/>
    <n v="1.36431677766623E-5"/>
    <n v="3.7708590858356402E-5"/>
    <n v="2.3055289084024898E-5"/>
    <n v="1.4522563818318501E-5"/>
    <n v="1.9326353866804501E-6"/>
    <n v="8.1913910180321005E-5"/>
    <n v="5.6763015472808702E-6"/>
    <n v="3.5268790938006302E-10"/>
    <n v="8.17222916283457E-5"/>
    <n v="1.78776183046837E-4"/>
    <n v="8.1807012749732905E-4"/>
    <n v="5.9867764478373596E-6"/>
    <n v="5.1416687431669198E-6"/>
  </r>
  <r>
    <x v="6"/>
    <x v="45"/>
    <x v="66"/>
    <n v="8.8925354082594903E-4"/>
    <n v="2.4826954587022399E-3"/>
    <n v="2.5302996760159198E-6"/>
    <n v="2.4793737692924401E-3"/>
    <n v="7.9138973378304499E-7"/>
    <n v="1.10048320317176E-3"/>
    <n v="6.6792914329055796E-4"/>
    <n v="4.2816945721070099E-4"/>
    <n v="4.3846026705020602E-6"/>
    <n v="8.6398082043172506E-6"/>
    <n v="7.7915674423160097E-4"/>
    <n v="9.4061410199885195E-4"/>
    <n v="1.02997061259933E-4"/>
    <n v="0"/>
    <n v="2.0818184203564301E-5"/>
    <n v="8.2178877056368298E-5"/>
    <n v="2.2713564055252601E-4"/>
    <n v="1.3887227645005399E-4"/>
    <n v="8.7475871154377001E-5"/>
    <n v="1.1641123853103801E-5"/>
    <n v="4.9340397069879403E-4"/>
    <n v="3.4190892806200697E-5"/>
    <n v="2.12439638789684E-9"/>
    <n v="4.9224976680111603E-4"/>
    <n v="1.07684858881117E-3"/>
    <n v="4.9276007985542504E-3"/>
    <n v="3.6061021437585098E-5"/>
    <n v="3.0970561267419602E-5"/>
  </r>
  <r>
    <x v="6"/>
    <x v="45"/>
    <x v="67"/>
    <n v="1.2744363337934101E-4"/>
    <n v="3.6082430147857999E-4"/>
    <n v="4.5268511835294501E-7"/>
    <n v="3.6024505502005202E-4"/>
    <n v="1.2656134017567501E-7"/>
    <n v="1.6936872927442799E-4"/>
    <n v="1.01211219640267E-4"/>
    <n v="6.7505729007315897E-5"/>
    <n v="6.5178062684501296E-7"/>
    <n v="1.3585483320227299E-6"/>
    <n v="1.11135637287335E-4"/>
    <n v="1.34063155753278E-4"/>
    <n v="1.56894391601212E-5"/>
    <n v="3.8943272736435497E-15"/>
    <n v="3.2388482685357699E-6"/>
    <n v="1.24505908876911E-5"/>
    <n v="3.5275731674875002E-5"/>
    <n v="2.05105046096016E-5"/>
    <n v="1.4647511965059701E-5"/>
    <n v="1.6647931309344899E-6"/>
    <n v="7.8170357259995898E-5"/>
    <n v="5.3955554434884296E-6"/>
    <n v="2.95117066571379E-10"/>
    <n v="7.1500550871190003E-5"/>
    <n v="1.5341608098732001E-4"/>
    <n v="7.1894026176879495E-4"/>
    <n v="5.4598625337026498E-6"/>
    <n v="5.6037225061315996E-6"/>
  </r>
  <r>
    <x v="6"/>
    <x v="45"/>
    <x v="68"/>
    <n v="2.2036615117162701E-5"/>
    <n v="1.2381899032247099E-4"/>
    <n v="4.7750896234831804E-7"/>
    <n v="1.2327049959143599E-4"/>
    <n v="7.0981768687545404E-8"/>
    <n v="7.20734987484758E-5"/>
    <n v="3.7651866489505299E-5"/>
    <n v="3.4210716381175599E-5"/>
    <n v="2.1091587779485801E-7"/>
    <n v="8.0427240430487704E-7"/>
    <n v="1.9430155820051E-5"/>
    <n v="2.30909529954314E-5"/>
    <n v="8.6080757462671005E-6"/>
    <n v="1.6339222873663201E-14"/>
    <n v="2.1471065043908299E-6"/>
    <n v="6.4609692255370504E-6"/>
    <n v="2.2277051950689902E-5"/>
    <n v="6.1548094165976802E-6"/>
    <n v="1.6077090374787198E-5"/>
    <n v="3.4421727986640499E-7"/>
    <n v="4.0380517492897299E-5"/>
    <n v="2.71034031631204E-6"/>
    <n v="1.75748368699435E-13"/>
    <n v="1.80667237926448E-5"/>
    <n v="2.6056811374114999E-5"/>
    <n v="2.62635356964247E-4"/>
    <n v="2.0882032495275601E-6"/>
    <n v="7.4459942150947793E-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9">
  <r>
    <x v="0"/>
    <x v="0"/>
    <x v="0"/>
    <n v="9.3148799999999996E-4"/>
    <n v="7.9522560000000013E-3"/>
    <n v="1.2595200000000001E-3"/>
    <n v="8.6912000000000007E-6"/>
    <n v="1.908608E-4"/>
    <n v="2.902704E-4"/>
    <n v="9.4742399999999996E-5"/>
    <n v="3.7208576576574885E-4"/>
    <n v="1.0602293555737581E-4"/>
    <n v="3.8195245703479612E-5"/>
    <n v="2.0526784482998984E-6"/>
    <n v="1.479097369508606E-3"/>
    <n v="4.8378031977281235E-4"/>
    <n v="4.9534736535504628E-3"/>
    <n v="3.605941954246672E-2"/>
    <n v="2.4482045686865606E-4"/>
  </r>
  <r>
    <x v="0"/>
    <x v="0"/>
    <x v="1"/>
    <n v="1.8352E-5"/>
    <n v="1.0951199999999999E-4"/>
    <n v="-1.5790079999999998E-6"/>
    <n v="9.2735999999999991E-8"/>
    <n v="3.1636480000000001E-6"/>
    <n v="4.825968E-6"/>
    <n v="1.8505440000000001E-7"/>
    <n v="2.9789575322581219E-7"/>
    <n v="-8.0891446311601045E-6"/>
    <n v="-7.0835263905190507E-8"/>
    <n v="-5.5412275323132462E-15"/>
    <n v="1.8118302173766286E-5"/>
    <n v="8.5510419884842735E-6"/>
    <n v="7.7630764211000024E-5"/>
    <n v="2.5324723094760019E-7"/>
    <n v="1.3410621856786486E-6"/>
  </r>
  <r>
    <x v="0"/>
    <x v="0"/>
    <x v="2"/>
    <n v="5.6543999999999996E-6"/>
    <n v="2.2037184000000003E-5"/>
    <n v="3.7478399999999998E-6"/>
    <n v="4.3769599999999999E-8"/>
    <n v="3.7461760000000004E-6"/>
    <n v="5.7460480000000002E-6"/>
    <n v="2.1300000000000001E-7"/>
    <n v="7.516608753811338E-7"/>
    <n v="3.5600312497000765E-8"/>
    <n v="3.7508153136337834E-7"/>
    <n v="1.963606091090133E-16"/>
    <n v="2.8288787815405181E-6"/>
    <n v="5.621051724222253E-6"/>
    <n v="1.4415983050847405E-5"/>
    <n v="8.9298150745645113E-8"/>
    <n v="5.8226263712350119E-8"/>
  </r>
  <r>
    <x v="0"/>
    <x v="1"/>
    <x v="3"/>
    <n v="1.01184E-4"/>
    <n v="8.9968320000000004E-4"/>
    <n v="2.555904E-5"/>
    <n v="2.4505599999999999E-7"/>
    <n v="3.1494400000000001E-5"/>
    <n v="4.6004000000000002E-5"/>
    <n v="3.7147200000000003E-6"/>
    <n v="2.929604458954812E-5"/>
    <n v="6.4217805914927611E-6"/>
    <n v="1.7936189794762493E-6"/>
    <n v="3.1697074711876566E-14"/>
    <n v="1.6689023564806082E-4"/>
    <n v="8.1901843959456344E-5"/>
    <n v="4.8121674907235598E-4"/>
    <n v="1.3783906015243715E-5"/>
    <n v="8.6394101304967372E-5"/>
  </r>
  <r>
    <x v="0"/>
    <x v="1"/>
    <x v="4"/>
    <n v="5.3270399999999997E-5"/>
    <n v="7.0087679999999996E-4"/>
    <n v="1.0598399999999998E-4"/>
    <n v="5.7344000000000003E-7"/>
    <n v="2.6474240000000001E-5"/>
    <n v="3.7337440000000002E-5"/>
    <n v="7.5998399999999999E-6"/>
    <n v="2.0324934281600209E-5"/>
    <n v="1.4997520803257186E-5"/>
    <n v="1.6846329350406018E-6"/>
    <n v="8.7143007523853109E-14"/>
    <n v="4.1263214894970018E-5"/>
    <n v="6.9930181608654333E-5"/>
    <n v="6.2096046937116904E-4"/>
    <n v="2.3628859065742314E-6"/>
    <n v="2.5088821040931183E-5"/>
  </r>
  <r>
    <x v="0"/>
    <x v="1"/>
    <x v="1"/>
    <n v="1.7260799999999999E-5"/>
    <n v="1.0176192E-4"/>
    <n v="-8.6937599999999996E-7"/>
    <n v="9.0944000000000008E-7"/>
    <n v="3.0736640000000002E-6"/>
    <n v="4.6360159999999998E-6"/>
    <n v="2.204976E-7"/>
    <n v="3.7459889262033229E-7"/>
    <n v="-6.9531955542885269E-6"/>
    <n v="1.089481798858182E-6"/>
    <n v="1.2986115127531767E-8"/>
    <n v="1.8290020237162457E-5"/>
    <n v="8.1705737882144225E-6"/>
    <n v="7.1824337928114767E-5"/>
    <n v="3.5835346797370832E-7"/>
    <n v="1.6128059245831773E-4"/>
  </r>
  <r>
    <x v="0"/>
    <x v="1"/>
    <x v="2"/>
    <n v="3.8390399999999996E-4"/>
    <n v="2.2374144000000002E-3"/>
    <n v="3.8092799999999994E-4"/>
    <n v="2.4236800000000002E-7"/>
    <n v="2.3537920000000004E-4"/>
    <n v="3.5734720000000001E-4"/>
    <n v="1.9766400000000001E-5"/>
    <n v="5.6948108786451883E-5"/>
    <n v="1.5325727819058098E-6"/>
    <n v="2.287587843641738E-7"/>
    <n v="7.9946967468755595E-15"/>
    <n v="1.6510146519530639E-4"/>
    <n v="5.2122111055345343E-4"/>
    <n v="1.4883784777358047E-3"/>
    <n v="3.36948388974844E-6"/>
    <n v="8.3241265956249937E-7"/>
  </r>
  <r>
    <x v="0"/>
    <x v="2"/>
    <x v="5"/>
    <n v="3.7993600000000002E-2"/>
    <n v="0.12096864000000002"/>
    <n v="0.29552639999999997"/>
    <n v="0.16844800000000001"/>
    <n v="1.1982080000000001E-2"/>
    <n v="1.8104800000000001E-2"/>
    <n v="8.7244799999999997E-3"/>
    <n v="1.929399533407233E-2"/>
    <n v="7.3911966581170314E-3"/>
    <n v="2.7120553521089879E-3"/>
    <n v="7.0130778808626083E-4"/>
    <n v="3.5849213794767847E-2"/>
    <n v="2.5015068959580077E-2"/>
    <n v="7.7029674091031494E-2"/>
    <n v="3.7171138107237289"/>
    <n v="1.5617337430713137E-2"/>
  </r>
  <r>
    <x v="0"/>
    <x v="2"/>
    <x v="1"/>
    <n v="8.6799999999999996E-5"/>
    <n v="3.8750400000000005E-4"/>
    <n v="4.7923199999999995E-5"/>
    <n v="7.4368000000000004E-5"/>
    <n v="2.3585280000000001E-5"/>
    <n v="3.1164000000000002E-5"/>
    <n v="5.0438400000000001E-6"/>
    <n v="9.8822400777650152E-6"/>
    <n v="2.1343970606843964E-5"/>
    <n v="1.0372018300965167E-4"/>
    <n v="1.16875080477606E-6"/>
    <n v="1.9663764744331654E-4"/>
    <n v="5.1268281860554974E-5"/>
    <n v="2.537292766503173E-4"/>
    <n v="1.1992033641825741E-5"/>
    <n v="1.440796834639437E-2"/>
  </r>
  <r>
    <x v="0"/>
    <x v="2"/>
    <x v="2"/>
    <n v="5.7833600000000001E-6"/>
    <n v="2.2576320000000001E-5"/>
    <n v="3.8399999999999997E-6"/>
    <n v="4.4799999999999997E-8"/>
    <n v="3.8408960000000007E-6"/>
    <n v="5.8885119999999999E-6"/>
    <n v="2.1845279999999999E-7"/>
    <n v="7.7003825904231291E-7"/>
    <n v="3.6470705812182231E-8"/>
    <n v="3.8425191315635071E-7"/>
    <n v="2.0116143667331734E-16"/>
    <n v="2.8980421401801029E-6"/>
    <n v="5.758481019132641E-6"/>
    <n v="1.4768439936732384E-5"/>
    <n v="9.1481404431230767E-8"/>
    <n v="5.9649839719089077E-8"/>
  </r>
  <r>
    <x v="1"/>
    <x v="3"/>
    <x v="6"/>
    <n v="2.3708800000000002E-2"/>
    <n v="7.2446399999999994E-2"/>
    <n v="4.1472000000000002E-2"/>
    <n v="6.1376000000000007E-2"/>
    <n v="1.7760000000000001E-2"/>
    <n v="9.0820799999999993E-3"/>
    <n v="2.7093600000000001E-3"/>
    <n v="3.5242746119653605E-2"/>
    <n v="8.6734044841147908E-3"/>
    <n v="3.6854508827693818E-4"/>
    <n v="2.0067892433923808E-4"/>
    <n v="2.8937492117105154E-2"/>
    <n v="1.2048438506138005E-2"/>
    <n v="4.4670347822947092E-2"/>
    <n v="0.51101244995400374"/>
    <n v="3.6816006116255422"/>
  </r>
  <r>
    <x v="1"/>
    <x v="3"/>
    <x v="1"/>
    <n v="1.2995200000000002E-4"/>
    <n v="5.7957120000000004E-4"/>
    <n v="7.1884799999999993E-5"/>
    <n v="1.1155199999999999E-4"/>
    <n v="3.5330560000000001E-5"/>
    <n v="4.671632E-5"/>
    <n v="7.5657600000000002E-6"/>
    <n v="1.4823360116647538E-5"/>
    <n v="3.2015955910265946E-5"/>
    <n v="1.5558027451447709E-4"/>
    <n v="1.7531262071640899E-6"/>
    <n v="2.9495647116497409E-4"/>
    <n v="7.6902422790832648E-5"/>
    <n v="3.805939149754766E-4"/>
    <n v="1.7988050462738569E-5"/>
    <n v="2.1611952519591485E-2"/>
  </r>
  <r>
    <x v="1"/>
    <x v="3"/>
    <x v="2"/>
    <n v="1.5475199999999999E-3"/>
    <n v="8.9968320000000015E-3"/>
    <n v="1.5329279999999998E-3"/>
    <n v="9.7663999999999994E-7"/>
    <n v="9.4720000000000004E-4"/>
    <n v="1.436512E-3"/>
    <n v="7.9406399999999992E-5"/>
    <n v="2.2926756452637252E-4"/>
    <n v="6.1699894281747408E-6"/>
    <n v="9.2096068636549393E-7"/>
    <n v="3.2185873970921663E-14"/>
    <n v="6.6468249133619633E-4"/>
    <n v="2.0983856556927652E-3"/>
    <n v="5.9920674444792141E-3"/>
    <n v="1.3565215449213596E-5"/>
    <n v="3.3512126601856734E-6"/>
  </r>
  <r>
    <x v="0"/>
    <x v="4"/>
    <x v="7"/>
    <n v="2.2419199999999997E-2"/>
    <n v="8.9631359999999993E-2"/>
    <n v="4.2086400000000003E-2"/>
    <n v="3.3062400000000006E-2"/>
    <n v="6.25152E-3"/>
    <n v="8.4884799999999996E-3"/>
    <n v="1.9357440000000001E-3"/>
    <n v="3.7038687111543424E-3"/>
    <n v="5.0109414875506835E-3"/>
    <n v="1.7598897073970081E-3"/>
    <n v="4.2108013070269146E-6"/>
    <n v="2.5999920109877003E-2"/>
    <n v="1.2291920716438398E-2"/>
    <n v="5.5829186662056697E-2"/>
    <n v="0.12001383873405133"/>
    <n v="7.867440271657913E-3"/>
  </r>
  <r>
    <x v="0"/>
    <x v="4"/>
    <x v="1"/>
    <n v="8.6799999999999996E-5"/>
    <n v="3.8750400000000005E-4"/>
    <n v="4.7923199999999995E-5"/>
    <n v="7.4368000000000004E-5"/>
    <n v="2.3585280000000001E-5"/>
    <n v="3.1164000000000002E-5"/>
    <n v="5.0438400000000001E-6"/>
    <n v="9.8822400777650152E-6"/>
    <n v="2.1343970606843964E-5"/>
    <n v="1.0372018300965167E-4"/>
    <n v="1.16875080477606E-6"/>
    <n v="1.9663764744331654E-4"/>
    <n v="5.1268281860554974E-5"/>
    <n v="2.537292766503173E-4"/>
    <n v="1.1992033641825741E-5"/>
    <n v="1.440796834639437E-2"/>
  </r>
  <r>
    <x v="0"/>
    <x v="4"/>
    <x v="2"/>
    <n v="5.9519999999999999E-6"/>
    <n v="2.3216544000000001E-5"/>
    <n v="3.9628800000000001E-6"/>
    <n v="4.6143999999999999E-8"/>
    <n v="3.9498239999999997E-6"/>
    <n v="6.0547200000000004E-6"/>
    <n v="2.2458719999999998E-7"/>
    <n v="7.9203935215780755E-7"/>
    <n v="3.7512725978244579E-8"/>
    <n v="3.9523053924653494E-7"/>
    <n v="2.069089062925544E-16"/>
    <n v="2.9808433441852478E-6"/>
    <n v="5.9230090482507172E-6"/>
    <n v="1.5190395363496172E-5"/>
    <n v="9.4095158843551722E-8"/>
    <n v="6.1354120853923924E-8"/>
  </r>
  <r>
    <x v="0"/>
    <x v="5"/>
    <x v="1"/>
    <n v="7.5987200000000003E-5"/>
    <n v="3.0730751999999997E-4"/>
    <n v="5.4988799999999991E-5"/>
    <n v="8.2432E-5"/>
    <n v="2.2685440000000001E-5"/>
    <n v="2.9264479999999999E-5"/>
    <n v="5.41872E-6"/>
    <n v="1.0649271471710247E-5"/>
    <n v="3.2703461375560134E-5"/>
    <n v="1.1532335363728533E-4"/>
    <n v="1.2986120114636531E-6"/>
    <n v="1.9835482807727822E-4"/>
    <n v="4.7463599857856383E-5"/>
    <n v="1.9566501382146467E-4"/>
    <n v="1.3043096012086824E-5"/>
    <n v="1.600736364912066E-2"/>
  </r>
  <r>
    <x v="0"/>
    <x v="5"/>
    <x v="8"/>
    <n v="5.0988800000000001E-4"/>
    <n v="1.6544736E-3"/>
    <n v="1.3578239999999998E-4"/>
    <n v="1.2275199999999999E-5"/>
    <n v="8.9510400000000016E-5"/>
    <n v="1.3355999999999999E-4"/>
    <n v="2.4503520000000001E-2"/>
    <n v="1.0335256643811535E-4"/>
    <n v="0"/>
    <n v="0"/>
    <n v="0"/>
    <n v="6.5553302166897513E-4"/>
    <n v="2.1296522632865974E-4"/>
    <n v="2.1319179885249391E-3"/>
    <n v="7.9832389823252668E-6"/>
    <n v="6.0614561729038102E-4"/>
  </r>
  <r>
    <x v="0"/>
    <x v="5"/>
    <x v="2"/>
    <n v="2.8272E-5"/>
    <n v="1.1052287999999999E-4"/>
    <n v="1.8831359999999998E-5"/>
    <n v="2.1952E-7"/>
    <n v="1.8754560000000002E-5"/>
    <n v="2.87896E-5"/>
    <n v="1.066704E-6"/>
    <n v="3.7654531914754213E-6"/>
    <n v="1.7834014606837387E-7"/>
    <n v="1.8789749414848579E-6"/>
    <n v="9.8367057068745004E-16"/>
    <n v="1.4171298500600599E-5"/>
    <n v="2.8158718709003986E-5"/>
    <n v="7.2217021219235668E-5"/>
    <n v="4.4734004087620632E-7"/>
    <n v="2.9168509058315404E-7"/>
  </r>
  <r>
    <x v="1"/>
    <x v="6"/>
    <x v="1"/>
    <n v="8.6799999999999996E-5"/>
    <n v="3.8750400000000005E-4"/>
    <n v="4.7923199999999995E-5"/>
    <n v="7.4368000000000004E-5"/>
    <n v="2.3585280000000001E-5"/>
    <n v="3.1164000000000002E-5"/>
    <n v="5.0438400000000001E-6"/>
    <n v="9.8822400777650152E-6"/>
    <n v="2.1343970606843964E-5"/>
    <n v="1.0372018300965167E-4"/>
    <n v="1.16875080477606E-6"/>
    <n v="1.9663764744331654E-4"/>
    <n v="5.1268281860554974E-5"/>
    <n v="2.537292766503173E-4"/>
    <n v="1.1992033641825741E-5"/>
    <n v="1.440796834639437E-2"/>
  </r>
  <r>
    <x v="1"/>
    <x v="6"/>
    <x v="9"/>
    <n v="3.0256000000000003E-3"/>
    <n v="9.0979200000000007E-3"/>
    <n v="0.5898239999999999"/>
    <n v="7.7504000000000002E-3"/>
    <n v="5.6831999999999998E-4"/>
    <n v="7.8355199999999997E-4"/>
    <n v="4.2259200000000001E-4"/>
    <n v="1.0217250593690165E-3"/>
    <n v="1.932412259282561E-3"/>
    <n v="5.3548082803850896E-5"/>
    <n v="3.1951226017512356E-5"/>
    <n v="2.3008243805105809E-3"/>
    <n v="2.0649493544648225E-3"/>
    <n v="7.3056550434746513E-3"/>
    <n v="0.10813052286740958"/>
    <n v="0.80083014840767774"/>
  </r>
  <r>
    <x v="1"/>
    <x v="6"/>
    <x v="2"/>
    <n v="9.9200000000000004E-4"/>
    <n v="5.7957119999999997E-3"/>
    <n v="9.8611199999999993E-4"/>
    <n v="6.272E-7"/>
    <n v="6.1094399999999998E-4"/>
    <n v="9.2601599999999999E-4"/>
    <n v="5.1119999999999992E-5"/>
    <n v="1.4780013185042062E-4"/>
    <n v="3.9775589402879967E-6"/>
    <n v="5.9370853943107908E-7"/>
    <n v="2.0749016226741662E-14"/>
    <n v="4.2849567517805261E-4"/>
    <n v="1.3527499069705788E-3"/>
    <n v="3.8628593633826826E-3"/>
    <n v="8.7449815943873203E-6"/>
    <n v="2.1604001161586299E-6"/>
  </r>
  <r>
    <x v="0"/>
    <x v="7"/>
    <x v="1"/>
    <n v="8.6799999999999996E-5"/>
    <n v="3.8750400000000005E-4"/>
    <n v="4.7923199999999995E-5"/>
    <n v="7.4368000000000004E-5"/>
    <n v="2.3585280000000001E-5"/>
    <n v="3.1164000000000002E-5"/>
    <n v="5.0438400000000001E-6"/>
    <n v="9.8822400777650152E-6"/>
    <n v="2.1343970606843964E-5"/>
    <n v="1.0372018300965167E-4"/>
    <n v="1.16875080477606E-6"/>
    <n v="1.9663764744331654E-4"/>
    <n v="5.1268281860554974E-5"/>
    <n v="2.537292766503173E-4"/>
    <n v="1.1992033641825741E-5"/>
    <n v="1.440796834639437E-2"/>
  </r>
  <r>
    <x v="0"/>
    <x v="7"/>
    <x v="10"/>
    <n v="5.6345600000000003E-3"/>
    <n v="1.8195840000000001E-2"/>
    <n v="4.5772799999999995E-2"/>
    <n v="2.5939199999999999E-2"/>
    <n v="1.813888E-3"/>
    <n v="2.7483679999999997E-3"/>
    <n v="1.318896E-3"/>
    <n v="2.9568931398594022E-3"/>
    <n v="1.1325035344841106E-3"/>
    <n v="4.168803604235023E-4"/>
    <n v="1.0832764505342476E-4"/>
    <n v="5.3591667149244602E-3"/>
    <n v="3.7849967250879707E-3"/>
    <n v="1.1712570454485701E-2"/>
    <n v="0.57816206518395552"/>
    <n v="2.4083651160985817E-3"/>
  </r>
  <r>
    <x v="0"/>
    <x v="7"/>
    <x v="2"/>
    <n v="3.5414399999999999E-6"/>
    <n v="1.3815359999999999E-5"/>
    <n v="2.3562239999999998E-6"/>
    <n v="2.7417600000000003E-8"/>
    <n v="2.3490560000000001E-6"/>
    <n v="3.5972159999999996E-6"/>
    <n v="1.335936E-7"/>
    <n v="4.7082339267158384E-7"/>
    <n v="2.229923155373431E-8"/>
    <n v="2.3494259832988234E-7"/>
    <n v="1.2299584985168543E-16"/>
    <n v="1.7719457657101169E-6"/>
    <n v="3.5208998231268122E-6"/>
    <n v="9.0298461327449456E-6"/>
    <n v="5.5934344423666796E-8"/>
    <n v="3.6471616285387655E-8"/>
  </r>
  <r>
    <x v="0"/>
    <x v="8"/>
    <x v="1"/>
    <n v="8.6799999999999996E-5"/>
    <n v="3.8750400000000005E-4"/>
    <n v="4.7923199999999995E-5"/>
    <n v="7.4368000000000004E-5"/>
    <n v="2.3585280000000001E-5"/>
    <n v="3.1164000000000002E-5"/>
    <n v="5.0438400000000001E-6"/>
    <n v="9.8822400777650152E-6"/>
    <n v="2.1343970606843964E-5"/>
    <n v="1.0372018300965167E-4"/>
    <n v="1.16875080477606E-6"/>
    <n v="1.9663764744331654E-4"/>
    <n v="5.1268281860554974E-5"/>
    <n v="2.537292766503173E-4"/>
    <n v="1.1992033641825741E-5"/>
    <n v="1.440796834639437E-2"/>
  </r>
  <r>
    <x v="0"/>
    <x v="8"/>
    <x v="11"/>
    <n v="6.2297600000000002E-4"/>
    <n v="2.2812192000000002E-3"/>
    <n v="3.0719999999999996E-3"/>
    <n v="1.7024E-3"/>
    <n v="1.6907520000000002E-4"/>
    <n v="2.5584160000000002E-4"/>
    <n v="2.0925119999999999E-4"/>
    <n v="3.367889300540928E-4"/>
    <n v="1.0814537691591953E-4"/>
    <n v="8.6982070201079936E-5"/>
    <n v="8.1427318045079993E-6"/>
    <n v="6.6087761369566149E-4"/>
    <n v="3.7501578125115543E-4"/>
    <n v="1.4262687615081318E-3"/>
    <n v="2.9007573386237835E-2"/>
    <n v="1.9403359909174657E-4"/>
  </r>
  <r>
    <x v="0"/>
    <x v="8"/>
    <x v="2"/>
    <n v="2.8172800000000002E-4"/>
    <n v="1.6443648E-3"/>
    <n v="2.7955199999999997E-4"/>
    <n v="1.77856E-7"/>
    <n v="1.72864E-4"/>
    <n v="2.6237120000000003E-4"/>
    <n v="1.4518079999999999E-5"/>
    <n v="4.1834780708512628E-5"/>
    <n v="1.1258468036451767E-6"/>
    <n v="1.6804901484801931E-7"/>
    <n v="5.8730024993589647E-15"/>
    <n v="1.2128556572440469E-4"/>
    <n v="3.8289543455108811E-4"/>
    <n v="1.0933811245749509E-3"/>
    <n v="2.4752642823852129E-6"/>
    <n v="6.115005715531439E-7"/>
  </r>
  <r>
    <x v="0"/>
    <x v="9"/>
    <x v="3"/>
    <n v="1.79552E-4"/>
    <n v="1.5837119999999999E-3"/>
    <n v="4.6694399999999998E-5"/>
    <n v="4.3769599999999995E-7"/>
    <n v="5.5884799999999997E-5"/>
    <n v="8.1323199999999994E-5"/>
    <n v="6.6115199999999998E-6"/>
    <n v="5.2203607642967499E-5"/>
    <n v="2.397126214102705E-5"/>
    <n v="3.1768385953558408E-6"/>
    <n v="6.0167308992893243E-14"/>
    <n v="2.9602983034489734E-4"/>
    <n v="1.4528166300874389E-4"/>
    <n v="8.5528879961305096E-4"/>
    <n v="2.445539408323127E-5"/>
    <n v="1.5287944290429811E-4"/>
  </r>
  <r>
    <x v="0"/>
    <x v="9"/>
    <x v="4"/>
    <n v="3.89856E-4"/>
    <n v="3.8076479999999998E-3"/>
    <n v="6.8198399999999998E-3"/>
    <n v="8.9600000000000009E-5"/>
    <n v="1.6197120000000003E-4"/>
    <n v="1.9588799999999999E-4"/>
    <n v="2.6241599999999996E-4"/>
    <n v="1.6777097702417821E-3"/>
    <n v="4.5237559257766454E-4"/>
    <n v="1.7546438429844288E-6"/>
    <n v="7.073955402032588E-12"/>
    <n v="4.0345898297051936E-4"/>
    <n v="3.5164563619643937E-4"/>
    <n v="3.4633045159412242E-3"/>
    <n v="8.5185993357088282E-5"/>
    <n v="7.8339556466786465E-3"/>
  </r>
  <r>
    <x v="0"/>
    <x v="9"/>
    <x v="1"/>
    <n v="3.4720000000000003E-8"/>
    <n v="1.5466464000000001E-7"/>
    <n v="1.9199999999999997E-8"/>
    <n v="2.9747199999999999E-8"/>
    <n v="9.4246399999999994E-9"/>
    <n v="1.24656E-8"/>
    <n v="2.0209439999999999E-9"/>
    <n v="3.952896031106001E-9"/>
    <n v="8.5375882427376011E-9"/>
    <n v="4.1488073203860688E-8"/>
    <n v="4.6750032191042405E-10"/>
    <n v="7.8655058977326464E-8"/>
    <n v="2.0507312744221987E-8"/>
    <n v="1.0149171066012719E-7"/>
    <n v="4.7968134567303021E-9"/>
    <n v="5.763187338557721E-6"/>
  </r>
  <r>
    <x v="1"/>
    <x v="10"/>
    <x v="1"/>
    <n v="8.6799999999999996E-5"/>
    <n v="3.8750400000000005E-4"/>
    <n v="4.7923199999999995E-5"/>
    <n v="7.4368000000000004E-5"/>
    <n v="2.3585280000000001E-5"/>
    <n v="3.1164000000000002E-5"/>
    <n v="5.0438400000000001E-6"/>
    <n v="9.8822400777650152E-6"/>
    <n v="2.1343970606843964E-5"/>
    <n v="1.0372018300965167E-4"/>
    <n v="1.16875080477606E-6"/>
    <n v="1.9663764744331654E-4"/>
    <n v="5.1268281860554974E-5"/>
    <n v="2.537292766503173E-4"/>
    <n v="1.1992033641825741E-5"/>
    <n v="1.440796834639437E-2"/>
  </r>
  <r>
    <x v="1"/>
    <x v="10"/>
    <x v="12"/>
    <n v="2.2419199999999997E-2"/>
    <n v="0.24193728000000003"/>
    <n v="0.5898239999999999"/>
    <n v="0.33734400000000003"/>
    <n v="2.3964160000000002E-2"/>
    <n v="3.6209600000000002E-2"/>
    <n v="1.7483039999999998E-2"/>
    <n v="3.858786247820941E-2"/>
    <n v="1.4782393318133535E-2"/>
    <n v="5.4241107042179628E-3"/>
    <n v="1.4026174580696576E-3"/>
    <n v="7.1698427589535693E-2"/>
    <n v="5.0030137919160077E-2"/>
    <n v="0.15405934820254216"/>
    <n v="7.4342276214474463"/>
    <n v="3.1234674861426275E-2"/>
  </r>
  <r>
    <x v="1"/>
    <x v="10"/>
    <x v="2"/>
    <n v="5.7833600000000001E-6"/>
    <n v="2.2576320000000001E-5"/>
    <n v="3.8399999999999997E-6"/>
    <n v="4.4799999999999997E-8"/>
    <n v="3.8408960000000007E-6"/>
    <n v="5.8885119999999999E-6"/>
    <n v="2.1845279999999999E-7"/>
    <n v="7.7003825904231291E-7"/>
    <n v="3.6470705812182231E-8"/>
    <n v="3.8425191315635071E-7"/>
    <n v="2.0116143667331734E-16"/>
    <n v="2.8980421401801029E-6"/>
    <n v="5.758481019132641E-6"/>
    <n v="1.4768439936732384E-5"/>
    <n v="9.1481404431230767E-8"/>
    <n v="5.9649839719089077E-8"/>
  </r>
  <r>
    <x v="2"/>
    <x v="11"/>
    <x v="13"/>
    <n v="4.4044800000000002E-4"/>
    <n v="4.38048E-3"/>
    <n v="2.9491199999999995E-3"/>
    <n v="9.9904000000000001E-6"/>
    <n v="1.771264E-4"/>
    <n v="2.4515680000000001E-4"/>
    <n v="8.7926399999999985E-5"/>
    <n v="2.492202917767316E-4"/>
    <n v="1.3210074778894331E-2"/>
    <n v="1.2117270827647439E-4"/>
    <n v="9.0683904159325719E-12"/>
    <n v="5.1795795829021084E-4"/>
    <n v="3.4997808908669188E-4"/>
    <n v="1.681375866982749E-2"/>
    <n v="1.0850107883699643E-4"/>
    <n v="3.4100316666147459E-4"/>
  </r>
  <r>
    <x v="2"/>
    <x v="11"/>
    <x v="14"/>
    <n v="2.34112E-5"/>
    <n v="2.3283936000000001E-4"/>
    <n v="1.5636479999999998E-4"/>
    <n v="5.2863999999999995E-7"/>
    <n v="9.3772800000000011E-6"/>
    <n v="1.299984E-5"/>
    <n v="4.6689599999999994E-6"/>
    <n v="1.3222216678380392E-5"/>
    <n v="7.0085172366553088E-4"/>
    <n v="6.4287373749368263E-6"/>
    <n v="4.8111741683950399E-13"/>
    <n v="2.7479914681024799E-5"/>
    <n v="1.8567854541857987E-5"/>
    <n v="8.920427735861138E-4"/>
    <n v="5.7564525103198097E-6"/>
    <n v="1.8091696007050896E-5"/>
  </r>
  <r>
    <x v="2"/>
    <x v="11"/>
    <x v="15"/>
    <n v="1.6467199999999998E-4"/>
    <n v="5.6946240000000006E-3"/>
    <n v="1.2042239999999997E-5"/>
    <n v="1.5456E-7"/>
    <n v="1.013504E-4"/>
    <n v="1.5492960000000001E-4"/>
    <n v="2.7877439999999998E-5"/>
    <n v="5.302926432933452E-5"/>
    <n v="6.3516724575394525E-6"/>
    <n v="6.0453163167374733E-7"/>
    <n v="1.7813846092641995E-14"/>
    <n v="2.0780163339177983E-4"/>
    <n v="2.2617735810126732E-4"/>
    <n v="4.6816344488137636E-3"/>
    <n v="7.4457149361573877E-6"/>
    <n v="1.1850044288096035E-6"/>
  </r>
  <r>
    <x v="2"/>
    <x v="11"/>
    <x v="16"/>
    <n v="1.24E-5"/>
    <n v="4.3130879999999999E-4"/>
    <n v="9.0623999999999994E-7"/>
    <n v="1.1648000000000001E-8"/>
    <n v="7.6249599999999996E-6"/>
    <n v="1.1693920000000001E-5"/>
    <n v="2.1027359999999999E-6"/>
    <n v="3.9986046765113451E-6"/>
    <n v="4.7893983659011521E-7"/>
    <n v="4.5583943886102962E-8"/>
    <n v="1.3432305575713594E-15"/>
    <n v="1.5669019617294993E-5"/>
    <n v="1.70546179220596E-5"/>
    <n v="3.5301273056484461E-4"/>
    <n v="5.6143472741370414E-7"/>
    <n v="8.9353761751202631E-8"/>
  </r>
  <r>
    <x v="2"/>
    <x v="11"/>
    <x v="17"/>
    <n v="2.06336E-7"/>
    <n v="5.9978880000000009E-7"/>
    <n v="1.9476479999999997E-7"/>
    <n v="8.691200000000001E-7"/>
    <n v="9.99296E-8"/>
    <n v="1.329664E-7"/>
    <n v="2.43672E-8"/>
    <n v="2.843435432978821E-8"/>
    <n v="5.726758812455791E-8"/>
    <n v="4.5313953040903397E-6"/>
    <n v="3.1742053150432961E-9"/>
    <n v="3.0927697152002275E-7"/>
    <n v="2.1171308795862536E-7"/>
    <n v="4.3053677848013544E-7"/>
    <n v="2.0410868340142276E-7"/>
    <n v="1.1885122892316395E-7"/>
  </r>
  <r>
    <x v="0"/>
    <x v="12"/>
    <x v="18"/>
    <n v="3.7795200000000001E-6"/>
    <n v="3.3325344000000005E-5"/>
    <n v="9.799679999999999E-7"/>
    <n v="9.1840000000000014E-9"/>
    <n v="1.1745280000000001E-6"/>
    <n v="1.715504E-6"/>
    <n v="1.3904640000000001E-7"/>
    <n v="1.0977394130530541E-6"/>
    <n v="5.0406859642346743E-7"/>
    <n v="6.6802680743464028E-8"/>
    <n v="1.2652004227477531E-15"/>
    <n v="6.2249263390282039E-6"/>
    <n v="3.0549882408380765E-6"/>
    <n v="1.7985044851676363E-5"/>
    <n v="5.1424894100252856E-7"/>
    <n v="3.2147546405109653E-6"/>
  </r>
  <r>
    <x v="0"/>
    <x v="12"/>
    <x v="19"/>
    <n v="2.35104E-3"/>
    <n v="1.1928384000000002E-2"/>
    <n v="9.4924799999999987E-4"/>
    <n v="2.9702399999999999E-5"/>
    <n v="4.8307200000000008E-4"/>
    <n v="7.3012800000000003E-4"/>
    <n v="2.7468479999999998E-4"/>
    <n v="4.1448659174801229E-4"/>
    <n v="8.5890077734045471E-4"/>
    <n v="8.3458819213349202E-5"/>
    <n v="5.2755106865030052E-6"/>
    <n v="3.346402788866902E-3"/>
    <n v="1.1603700576564451E-3"/>
    <n v="7.8462024771912969E-3"/>
    <n v="8.5353050699951E-3"/>
    <n v="1.1869833147258426E-3"/>
  </r>
  <r>
    <x v="0"/>
    <x v="12"/>
    <x v="20"/>
    <n v="1.42848E-4"/>
    <n v="6.7728960000000007E-4"/>
    <n v="5.2531199999999996E-5"/>
    <n v="2.1952E-7"/>
    <n v="2.595328E-5"/>
    <n v="3.9118240000000004E-5"/>
    <n v="1.731264E-5"/>
    <n v="2.6121507653982754E-5"/>
    <n v="4.5730630381694358E-5"/>
    <n v="3.7336835595393767E-6"/>
    <n v="7.2160081511838625E-13"/>
    <n v="2.049075018260265E-4"/>
    <n v="6.2864512370678057E-5"/>
    <n v="4.2451909456479078E-4"/>
    <n v="5.7307782686232033E-4"/>
    <n v="3.0746561641302808E-5"/>
  </r>
  <r>
    <x v="0"/>
    <x v="12"/>
    <x v="21"/>
    <n v="2.5196799999999998E-4"/>
    <n v="1.3276224E-3"/>
    <n v="9.2774400000000004E-5"/>
    <n v="3.7632000000000002E-7"/>
    <n v="4.9254400000000001E-5"/>
    <n v="7.4200000000000001E-5"/>
    <n v="3.1319519999999999E-5"/>
    <n v="4.3147364058668017E-5"/>
    <n v="8.4965088263193314E-5"/>
    <n v="4.8914012029263993E-6"/>
    <n v="1.8842702727113122E-12"/>
    <n v="3.8780305067731617E-4"/>
    <n v="1.1786822089131733E-4"/>
    <n v="8.0575181550794303E-4"/>
    <n v="9.4201263743828604E-5"/>
    <n v="5.6372921752005372E-5"/>
  </r>
  <r>
    <x v="0"/>
    <x v="12"/>
    <x v="3"/>
    <n v="9.9199999999999999E-5"/>
    <n v="8.7609599999999993E-4"/>
    <n v="2.5743359999999999E-5"/>
    <n v="2.4192000000000004E-7"/>
    <n v="3.0878720000000001E-5"/>
    <n v="4.5054240000000003E-5"/>
    <n v="3.6465599999999997E-6"/>
    <n v="2.8866480861765487E-5"/>
    <n v="1.3255137165209677E-5"/>
    <n v="1.7566630862170151E-6"/>
    <n v="3.3270085190774376E-14"/>
    <n v="1.6369250743370506E-4"/>
    <n v="8.0334875962779383E-5"/>
    <n v="4.7294006832185917E-4"/>
    <n v="1.352284252265911E-5"/>
    <n v="8.4536140546768944E-5"/>
  </r>
  <r>
    <x v="0"/>
    <x v="12"/>
    <x v="22"/>
    <n v="9.3770034098150063E-5"/>
    <n v="4.4332238506828147E-4"/>
    <n v="3.3960017171988475E-5"/>
    <n v="1.4243314535251736E-7"/>
    <n v="1.6963562269904559E-5"/>
    <n v="2.5578182177138302E-5"/>
    <n v="1.133933859813582E-5"/>
    <n v="1.7017270215354273E-5"/>
    <n v="2.9953952814725668E-5"/>
    <n v="2.4428806080210847E-6"/>
    <n v="4.7283519894793136E-13"/>
    <n v="1.3420615848214163E-4"/>
    <n v="4.100279593260548E-5"/>
    <n v="2.7672527199619593E-4"/>
    <n v="3.7567832047977543E-4"/>
    <n v="2.0112797793164359E-5"/>
  </r>
  <r>
    <x v="0"/>
    <x v="12"/>
    <x v="23"/>
    <n v="2.8872076701907215E-6"/>
    <n v="3.0464520537901955E-5"/>
    <n v="1.3235503098165225E-5"/>
    <n v="6.1629582518767871E-7"/>
    <n v="1.1556510100506566E-6"/>
    <n v="1.7035700716137936E-6"/>
    <n v="4.3968799814138714E-7"/>
    <n v="2.3163530997700141E-6"/>
    <n v="2.0517066004126905E-6"/>
    <n v="1.3665450490532819E-8"/>
    <n v="1.7762444953619235E-14"/>
    <n v="2.1533198248084274E-6"/>
    <n v="2.4351403829584368E-6"/>
    <n v="2.5032121297226034E-5"/>
    <n v="-2.6562642459425796E-8"/>
    <n v="-4.4477853129116303E-7"/>
  </r>
  <r>
    <x v="0"/>
    <x v="12"/>
    <x v="24"/>
    <n v="9.2180586524543165E-6"/>
    <n v="3.2862508787793883E-5"/>
    <n v="3.5043599720376421E-6"/>
    <n v="2.9143050469605499E-8"/>
    <n v="2.1800588809893578E-6"/>
    <n v="3.2806369062975972E-6"/>
    <n v="1.1778590693867962E-4"/>
    <n v="1.6273524624986627E-6"/>
    <n v="9.1869329438474048E-7"/>
    <n v="4.0215411441822504E-7"/>
    <n v="5.1684203520503185E-15"/>
    <n v="2.1609341142170379E-5"/>
    <n v="5.0646670015014528E-6"/>
    <n v="2.0952745523042875E-5"/>
    <n v="2.5783904504193617E-5"/>
    <n v="7.8032050584948388E-6"/>
  </r>
  <r>
    <x v="0"/>
    <x v="12"/>
    <x v="1"/>
    <n v="1.9543326061880824E-6"/>
    <n v="7.4609469004434966E-6"/>
    <n v="5.664359895373363E-7"/>
    <n v="4.45591279628523E-7"/>
    <n v="9.6395165065070696E-7"/>
    <n v="1.3423663996473399E-6"/>
    <n v="1.4897147481603847E-7"/>
    <n v="6.7751822622981552E-7"/>
    <n v="-2.7628336616657807E-6"/>
    <n v="3.5810967760164802E-5"/>
    <n v="5.480141167481753E-9"/>
    <n v="3.3372534002545564E-6"/>
    <n v="2.1204725769737638E-6"/>
    <n v="-1.4736307869749339E-6"/>
    <n v="8.116298651964476E-8"/>
    <n v="6.855943801982525E-5"/>
  </r>
  <r>
    <x v="0"/>
    <x v="12"/>
    <x v="2"/>
    <n v="3.6059797593951437E-5"/>
    <n v="1.4064268597363796E-4"/>
    <n v="2.3997678456049829E-5"/>
    <n v="2.7941485449012441E-7"/>
    <n v="2.3917612167304727E-5"/>
    <n v="3.6685115314425643E-5"/>
    <n v="1.360433197073107E-6"/>
    <n v="4.7977080165698923E-6"/>
    <n v="2.2723000525023828E-7"/>
    <n v="2.3940738820241612E-6"/>
    <n v="1.2533323195559062E-15"/>
    <n v="1.8056193760543374E-5"/>
    <n v="3.5878101151906761E-5"/>
    <n v="9.2014470508015013E-5"/>
    <n v="5.6997306595213212E-7"/>
    <n v="3.7164713681019862E-7"/>
  </r>
  <r>
    <x v="0"/>
    <x v="13"/>
    <x v="21"/>
    <n v="1.9244799999999999E-5"/>
    <n v="1.0108800000000001E-4"/>
    <n v="7.12704E-6"/>
    <n v="2.8851199999999999E-8"/>
    <n v="3.7414400000000006E-6"/>
    <n v="5.6510720000000001E-6"/>
    <n v="2.382192E-6"/>
    <n v="3.2972799999999996E-6"/>
    <n v="6.4608960000000002E-6"/>
    <n v="3.722272E-7"/>
    <n v="1.4336320000000001E-13"/>
    <n v="2.9532159999999999E-5"/>
    <n v="9.0246400000000011E-6"/>
    <n v="6.1501439999999996E-5"/>
    <n v="7.1513599999999996E-6"/>
    <n v="4.2890399999999993E-6"/>
  </r>
  <r>
    <x v="0"/>
    <x v="13"/>
    <x v="3"/>
    <n v="3.3628800000000003E-6"/>
    <n v="2.9618784000000005E-5"/>
    <n v="8.6937599999999996E-7"/>
    <n v="8.1984000000000001E-9"/>
    <n v="1.0419200000000001E-6"/>
    <n v="1.525552E-6"/>
    <n v="1.2371040000000001E-7"/>
    <n v="9.7446400000000001E-7"/>
    <n v="4.4809439999999996E-7"/>
    <n v="5.9327679999999998E-8"/>
    <n v="1.1206560000000001E-15"/>
    <n v="5.5336960000000008E-6"/>
    <n v="2.7150400000000001E-6"/>
    <n v="1.5974400000000001E-5"/>
    <n v="4.5662400000000003E-7"/>
    <n v="2.8593599999999994E-6"/>
  </r>
  <r>
    <x v="0"/>
    <x v="13"/>
    <x v="25"/>
    <n v="1.64672E-6"/>
    <n v="4.7511360000000003E-6"/>
    <n v="1.072128E-4"/>
    <n v="1.4291200000000001E-8"/>
    <n v="2.9789440000000006E-7"/>
    <n v="4.5351040000000001E-7"/>
    <n v="4.7711999999999999E-4"/>
    <n v="3.8860800000000001E-3"/>
    <n v="1.8837599999999999E-7"/>
    <n v="1.0557023999999999E-8"/>
    <n v="6.0878879999999999E-12"/>
    <n v="5.6340479999999994E-6"/>
    <n v="7.0973440000000012E-7"/>
    <n v="2.7955199999999995E-6"/>
    <n v="8.2627199999999994E-5"/>
    <n v="8.8640159999999998E-7"/>
  </r>
  <r>
    <x v="0"/>
    <x v="13"/>
    <x v="26"/>
    <n v="2.0137599999999998E-5"/>
    <n v="2.4598080000000003E-4"/>
    <n v="5.1916799999999991E-5"/>
    <n v="2.8940800000000002E-6"/>
    <n v="7.3881600000000004E-6"/>
    <n v="1.050672E-5"/>
    <n v="8.75856E-6"/>
    <n v="8.7436799999999993E-6"/>
    <n v="2.6532959999999999E-5"/>
    <n v="1.422848E-6"/>
    <n v="2.8874560000000002E-7"/>
    <n v="2.121728E-5"/>
    <n v="1.9578879999999998E-5"/>
    <n v="3.4877440000000002E-4"/>
    <n v="5.84672E-6"/>
    <n v="1.3752159999999999E-5"/>
  </r>
  <r>
    <x v="0"/>
    <x v="13"/>
    <x v="1"/>
    <n v="1.21024E-5"/>
    <n v="4.8522239999999997E-5"/>
    <n v="8.8780799999999992E-6"/>
    <n v="1.5276800000000003E-5"/>
    <n v="3.7509120000000003E-6"/>
    <n v="4.8615839999999997E-6"/>
    <n v="8.9289599999999995E-7"/>
    <n v="1.7045759999999999E-6"/>
    <n v="4.8657120000000002E-6"/>
    <n v="3.2395199999999998E-5"/>
    <n v="2.0494880000000001E-7"/>
    <n v="3.0822399999999998E-5"/>
    <n v="7.8774399999999996E-6"/>
    <n v="3.0218239999999998E-5"/>
    <n v="2.6334399999999999E-6"/>
    <n v="2.3964159999999997E-3"/>
  </r>
  <r>
    <x v="0"/>
    <x v="13"/>
    <x v="2"/>
    <n v="2.3212799999999999E-5"/>
    <n v="9.0642240000000007E-5"/>
    <n v="1.5452159999999998E-5"/>
    <n v="1.8009600000000003E-7"/>
    <n v="1.5391999999999998E-5"/>
    <n v="2.3625280000000001E-5"/>
    <n v="8.75856E-7"/>
    <n v="3.0911999999999997E-6"/>
    <n v="1.4669280000000002E-7"/>
    <n v="1.5371840000000001E-6"/>
    <n v="8.0667039999999998E-16"/>
    <n v="1.1626496E-5"/>
    <n v="2.309696E-5"/>
    <n v="5.9238399999999992E-5"/>
    <n v="3.6723199999999999E-7"/>
    <n v="2.3964159999999997E-7"/>
  </r>
  <r>
    <x v="0"/>
    <x v="14"/>
    <x v="27"/>
    <n v="7.7276799999999992E-6"/>
    <n v="6.8065920000000003E-5"/>
    <n v="1.4039039999999998E-5"/>
    <n v="2.2444800000000002E-6"/>
    <n v="2.4864E-6"/>
    <n v="3.4488160000000004E-6"/>
    <n v="1.2541439999999999E-6"/>
    <n v="3.9974117351435797E-6"/>
    <n v="1.1432670738175808E-5"/>
    <n v="4.044374167047738E-7"/>
    <n v="3.7654583906361754E-8"/>
    <n v="8.9271755291613211E-6"/>
    <n v="7.1350692903176965E-6"/>
    <n v="1.0214801215462019E-4"/>
    <n v="2.0206293932322738E-6"/>
    <n v="2.7906029682136757E-5"/>
  </r>
  <r>
    <x v="0"/>
    <x v="14"/>
    <x v="1"/>
    <n v="9.0966399999999997E-6"/>
    <n v="3.6391680000000005E-5"/>
    <n v="6.6662399999999992E-6"/>
    <n v="1.1468799999999999E-5"/>
    <n v="2.813184E-6"/>
    <n v="3.6447039999999997E-6"/>
    <n v="6.6796799999999996E-7"/>
    <n v="1.2782419028130496E-6"/>
    <n v="3.6465786380998391E-6"/>
    <n v="2.4301588603844094E-5"/>
    <n v="1.5402936447031486E-7"/>
    <n v="2.3109775729669385E-5"/>
    <n v="5.9021607771692163E-6"/>
    <n v="2.2671617082134293E-5"/>
    <n v="1.9760764717808986E-6"/>
    <n v="1.8012154505110589E-3"/>
  </r>
  <r>
    <x v="0"/>
    <x v="14"/>
    <x v="2"/>
    <n v="4.3151999999999999E-7"/>
    <n v="1.6814304000000001E-6"/>
    <n v="2.8692479999999997E-7"/>
    <n v="3.3420800000000001E-9"/>
    <n v="2.8605439999999997E-7"/>
    <n v="4.3867040000000002E-7"/>
    <n v="1.6256159999999998E-8"/>
    <n v="5.7387725235710342E-8"/>
    <n v="2.7180089037458265E-9"/>
    <n v="2.8636685196574174E-8"/>
    <n v="1.4991719074045047E-17"/>
    <n v="2.1597893885039717E-7"/>
    <n v="4.2915546418698016E-7"/>
    <n v="1.1006299535082196E-6"/>
    <n v="6.8177257948268957E-9"/>
    <n v="4.4454526407697469E-9"/>
  </r>
  <r>
    <x v="0"/>
    <x v="15"/>
    <x v="28"/>
    <n v="1.6467199999999998E-4"/>
    <n v="1.5365376000000001E-3"/>
    <n v="6.2361600000000001E-4"/>
    <n v="6.8992000000000008E-6"/>
    <n v="5.9200000000000002E-5"/>
    <n v="8.3103999999999996E-5"/>
    <n v="2.8865759999999998E-5"/>
    <n v="1.2551163358955262E-4"/>
    <n v="3.0253459794724057E-5"/>
    <n v="4.9784823335534497E-6"/>
    <n v="3.6099127504980567E-7"/>
    <n v="2.9444514639347834E-4"/>
    <n v="1.4598630914165454E-4"/>
    <n v="1.6971569822599474E-3"/>
    <n v="4.2750689733721768E-4"/>
    <n v="1.3044091075416892E-4"/>
  </r>
  <r>
    <x v="0"/>
    <x v="15"/>
    <x v="27"/>
    <n v="4.14656E-6"/>
    <n v="3.6391680000000005E-5"/>
    <n v="7.5263999999999988E-6"/>
    <n v="1.20064E-6"/>
    <n v="1.3355520000000001E-6"/>
    <n v="1.8520320000000003E-6"/>
    <n v="6.7137600000000002E-7"/>
    <n v="2.1435396260914879E-6"/>
    <n v="6.1305625697464608E-6"/>
    <n v="2.1687223794314006E-7"/>
    <n v="2.0191588471527294E-8"/>
    <n v="4.787036153318394E-6"/>
    <n v="3.8260516484312258E-6"/>
    <n v="5.4775021010448525E-5"/>
    <n v="1.0835259065158562E-6"/>
    <n v="1.4964102873029862E-5"/>
  </r>
  <r>
    <x v="0"/>
    <x v="15"/>
    <x v="1"/>
    <n v="5.8230399999999997E-5"/>
    <n v="2.3317632000000003E-4"/>
    <n v="4.2700799999999996E-5"/>
    <n v="7.3472000000000004E-5"/>
    <n v="1.79968E-5"/>
    <n v="2.3328480000000001E-5"/>
    <n v="4.2940799999999996E-6"/>
    <n v="8.1807481780035172E-6"/>
    <n v="2.3338103283838946E-5"/>
    <n v="1.5553016706460236E-4"/>
    <n v="9.857879326100164E-7"/>
    <n v="1.4790256466988441E-4"/>
    <n v="3.7773828973882979E-5"/>
    <n v="1.4509834932566006E-4"/>
    <n v="1.2646889419397748E-5"/>
    <n v="1.152777888327082E-2"/>
  </r>
  <r>
    <x v="0"/>
    <x v="15"/>
    <x v="29"/>
    <n v="3.1446400000000002E-3"/>
    <n v="2.9686176E-3"/>
    <n v="3.1641600000000003E-4"/>
    <n v="4.8831999999999999E-4"/>
    <n v="8.5247999999999997E-4"/>
    <n v="2.617776E-3"/>
    <n v="1.673328E-5"/>
    <n v="5.9675170910500644E-5"/>
    <n v="2.5745788675782862E-5"/>
    <n v="1.2993656987057949E-3"/>
    <n v="1.7312745151106598E-6"/>
    <n v="2.9543455433894564E-3"/>
    <n v="1.3593981627632107E-4"/>
    <n v="2.3977976539237158E-4"/>
    <n v="4.9733972072880136E-5"/>
    <n v="1.0879667049734686E-2"/>
  </r>
  <r>
    <x v="0"/>
    <x v="15"/>
    <x v="2"/>
    <n v="4.4342400000000004E-5"/>
    <n v="1.7286048E-4"/>
    <n v="2.9521919999999997E-5"/>
    <n v="3.43616E-7"/>
    <n v="2.9410560000000003E-5"/>
    <n v="4.5113600000000001E-5"/>
    <n v="1.6733280000000001E-6"/>
    <n v="5.9007301502027522E-6"/>
    <n v="2.7947155983231918E-7"/>
    <n v="2.9444859688591051E-6"/>
    <n v="1.5414810114923388E-15"/>
    <n v="2.2207422075867468E-5"/>
    <n v="4.4126693927163802E-5"/>
    <n v="1.1316915462683098E-4"/>
    <n v="7.0101332624901858E-7"/>
    <n v="4.5709106469976856E-7"/>
  </r>
  <r>
    <x v="0"/>
    <x v="15"/>
    <x v="30"/>
    <n v="7.8169600000000005E-6"/>
    <n v="9.2327040000000002E-5"/>
    <n v="2.0582399999999998E-5"/>
    <n v="1.7024000000000002E-7"/>
    <n v="3.5046400000000001E-6"/>
    <n v="4.932816E-6"/>
    <n v="1.206432E-6"/>
    <n v="4.0426594858218394E-6"/>
    <n v="1.9281825864870352E-6"/>
    <n v="2.433173556431307E-7"/>
    <n v="6.1063283056422881E-9"/>
    <n v="8.8777455745970507E-6"/>
    <n v="9.0739373065634371E-6"/>
    <n v="8.7354394609850104E-5"/>
    <n v="7.4546214016899157E-6"/>
    <n v="4.5759629319626362E-6"/>
  </r>
  <r>
    <x v="0"/>
    <x v="16"/>
    <x v="28"/>
    <n v="1.9840000000000003E-5"/>
    <n v="1.8499103999999999E-4"/>
    <n v="7.526399999999999E-5"/>
    <n v="8.2880000000000001E-7"/>
    <n v="7.1513600000000004E-6"/>
    <n v="9.9724800000000001E-6"/>
    <n v="3.47616E-6"/>
    <n v="1.5111350909786924E-5"/>
    <n v="3.6424563533946392E-6"/>
    <n v="5.9939936553230616E-7"/>
    <n v="4.3462631125399491E-8"/>
    <n v="3.5450609665284424E-5"/>
    <n v="1.7576461100637062E-5"/>
    <n v="2.0433432323726754E-4"/>
    <n v="5.1470979679406243E-5"/>
    <n v="1.5704826070899704E-5"/>
  </r>
  <r>
    <x v="0"/>
    <x v="16"/>
    <x v="1"/>
    <n v="1.21024E-5"/>
    <n v="4.8522239999999997E-5"/>
    <n v="8.8780799999999992E-6"/>
    <n v="1.5276800000000003E-5"/>
    <n v="3.7509120000000003E-6"/>
    <n v="4.8615839999999997E-6"/>
    <n v="8.9289599999999995E-7"/>
    <n v="1.7043225392227015E-6"/>
    <n v="4.8621048499314954E-6"/>
    <n v="3.2402118440531077E-5"/>
    <n v="2.0537248617203399E-7"/>
    <n v="3.0813034327422054E-5"/>
    <n v="7.8695477178924322E-6"/>
    <n v="3.0228822793760478E-5"/>
    <n v="2.634768642607288E-6"/>
    <n v="2.4016206006917465E-3"/>
  </r>
  <r>
    <x v="0"/>
    <x v="16"/>
    <x v="29"/>
    <n v="1.8649599999999999E-3"/>
    <n v="1.7623008000000001E-3"/>
    <n v="1.880064E-4"/>
    <n v="2.9075199999999997E-4"/>
    <n v="5.0675200000000007E-4"/>
    <n v="1.5552319999999999E-3"/>
    <n v="9.9513599999999999E-6"/>
    <n v="3.5413789950166032E-5"/>
    <n v="1.5278648361694118E-5"/>
    <n v="7.7109898841229267E-4"/>
    <n v="1.0274120892951832E-6"/>
    <n v="1.7532345683720948E-3"/>
    <n v="8.0672481134472273E-5"/>
    <n v="1.4229553290498058E-4"/>
    <n v="2.9514258836692869E-5"/>
    <n v="6.456458150826158E-3"/>
  </r>
  <r>
    <x v="0"/>
    <x v="16"/>
    <x v="2"/>
    <n v="7.9855999999999986E-6"/>
    <n v="3.1135103999999997E-5"/>
    <n v="5.3145599999999996E-6"/>
    <n v="6.1823999999999998E-8"/>
    <n v="5.3043199999999999E-6"/>
    <n v="8.1323199999999998E-6"/>
    <n v="3.012672E-7"/>
    <n v="1.0619687298773204E-6"/>
    <n v="5.0297175074471782E-8"/>
    <n v="5.2992628791598869E-7"/>
    <n v="2.7742407977227714E-16"/>
    <n v="3.9967236622315804E-6"/>
    <n v="7.9415882290271219E-6"/>
    <n v="2.0367327490177873E-5"/>
    <n v="1.261630701207653E-7"/>
    <n v="8.2263788558576565E-8"/>
  </r>
  <r>
    <x v="0"/>
    <x v="16"/>
    <x v="31"/>
    <n v="1.6070399999999999E-6"/>
    <n v="1.9004544000000001E-5"/>
    <n v="4.2393599999999993E-6"/>
    <n v="3.5078400000000007E-8"/>
    <n v="7.1987200000000006E-7"/>
    <n v="1.0150560000000001E-6"/>
    <n v="2.4810239999999998E-7"/>
    <n v="8.3231224708096578E-7"/>
    <n v="3.9697876780615469E-7"/>
    <n v="5.0094749691232601E-8"/>
    <n v="1.257185239396941E-9"/>
    <n v="1.8277711477111582E-6"/>
    <n v="1.8681635631159959E-6"/>
    <n v="1.7984728302027999E-5"/>
    <n v="1.5347749944655662E-6"/>
    <n v="9.4211001540413261E-7"/>
  </r>
  <r>
    <x v="0"/>
    <x v="16"/>
    <x v="30"/>
    <n v="6.9010940561059057E-7"/>
    <n v="8.1376106205911526E-6"/>
    <n v="1.8167757386351214E-6"/>
    <n v="1.5040468683495093E-8"/>
    <n v="3.0920610314254289E-7"/>
    <n v="4.352267783788569E-7"/>
    <n v="1.0638525533875329E-7"/>
    <n v="3.5670524874898496E-7"/>
    <n v="1.7013375763120924E-7"/>
    <n v="2.1469178439099649E-8"/>
    <n v="5.3879367402726092E-10"/>
    <n v="7.833304918762101E-7"/>
    <n v="8.0064152704971129E-7"/>
    <n v="7.7077407008691284E-6"/>
    <n v="6.577607119138168E-7"/>
    <n v="4.0376143517320244E-7"/>
  </r>
  <r>
    <x v="0"/>
    <x v="17"/>
    <x v="28"/>
    <n v="1.42848E-4"/>
    <n v="1.330992E-3"/>
    <n v="5.4067199999999996E-4"/>
    <n v="5.9584000000000004E-6"/>
    <n v="5.1148800000000001E-5"/>
    <n v="7.1825599999999999E-5"/>
    <n v="2.5014719999999998E-5"/>
    <n v="1.086336E-4"/>
    <n v="2.6212320000000001E-5"/>
    <n v="4.3193600000000003E-6"/>
    <n v="3.1285910504316484E-7"/>
    <n v="2.5518579354101513E-4"/>
    <n v="1.2652146792276747E-4"/>
    <n v="1.470869384625292E-3"/>
    <n v="3.7050597769225504E-4"/>
    <n v="1.1304878932028071E-4"/>
  </r>
  <r>
    <x v="0"/>
    <x v="17"/>
    <x v="1"/>
    <n v="5.2774400000000001E-5"/>
    <n v="2.1127392000000003E-4"/>
    <n v="3.8707199999999994E-5"/>
    <n v="6.6303999999999994E-5"/>
    <n v="1.6339200000000001E-5"/>
    <n v="2.1132159999999998E-5"/>
    <n v="3.88512E-6"/>
    <n v="7.4188799999999997E-6"/>
    <n v="2.1162240000000002E-5"/>
    <n v="1.4101439999999999E-4"/>
    <n v="8.9337031392782791E-7"/>
    <n v="1.3403669923208269E-4"/>
    <n v="3.4232532507581406E-5"/>
    <n v="1.3149537907637888E-4"/>
    <n v="1.1461243536329216E-5"/>
    <n v="1.0447049612964176E-2"/>
  </r>
  <r>
    <x v="0"/>
    <x v="17"/>
    <x v="29"/>
    <n v="4.07712E-3"/>
    <n v="3.841344E-3"/>
    <n v="4.0857599999999996E-4"/>
    <n v="6.3615999999999998E-4"/>
    <n v="1.1034880000000001E-3"/>
    <n v="3.3953920000000001E-3"/>
    <n v="2.167488E-5"/>
    <n v="7.7427200000000003E-5"/>
    <n v="3.3346560000000001E-5"/>
    <n v="1.6769280000000001E-3"/>
    <n v="2.2421424048154435E-6"/>
    <n v="3.8261196381601174E-3"/>
    <n v="1.7605320468572742E-4"/>
    <n v="3.1053445026225088E-4"/>
    <n v="6.4409570389467699E-5"/>
    <n v="1.4090060605394101E-2"/>
  </r>
  <r>
    <x v="0"/>
    <x v="17"/>
    <x v="2"/>
    <n v="3.3628799999999999E-5"/>
    <n v="1.3107743999999998E-4"/>
    <n v="2.2364159999999996E-5"/>
    <n v="2.6028800000000001E-7"/>
    <n v="2.2306560000000001E-5"/>
    <n v="3.4191359999999996E-5"/>
    <n v="1.2677759999999999E-6"/>
    <n v="4.4748799999999996E-6"/>
    <n v="2.1162239999999998E-7"/>
    <n v="2.2359040000000002E-6"/>
    <n v="1.1684267649461903E-15"/>
    <n v="1.6832997708340245E-5"/>
    <n v="3.3447580507768734E-5"/>
    <n v="8.5781056170331391E-5"/>
    <n v="5.3136089699888005E-7"/>
    <n v="3.4647032952805975E-7"/>
  </r>
  <r>
    <x v="0"/>
    <x v="17"/>
    <x v="30"/>
    <n v="5.7536000000000003E-6"/>
    <n v="6.7728959999999999E-5"/>
    <n v="1.5144959999999999E-5"/>
    <n v="1.2544000000000002E-7"/>
    <n v="2.576384E-6"/>
    <n v="3.6268960000000003E-6"/>
    <n v="8.8608000000000006E-7"/>
    <n v="2.97344E-6"/>
    <n v="1.4188319999999999E-6"/>
    <n v="1.7912640000000001E-7"/>
    <n v="4.4899472835605022E-9"/>
    <n v="6.5277540989684099E-6"/>
    <n v="6.6720127254142789E-6"/>
    <n v="6.4231172507242691E-5"/>
    <n v="5.4813392659484702E-6"/>
    <n v="3.3646786264434395E-6"/>
  </r>
  <r>
    <x v="0"/>
    <x v="18"/>
    <x v="28"/>
    <n v="1.3987200000000001E-4"/>
    <n v="1.3040351999999999E-3"/>
    <n v="5.3145599999999992E-4"/>
    <n v="5.8239999999999996E-6"/>
    <n v="5.0201600000000004E-5"/>
    <n v="7.0638400000000011E-5"/>
    <n v="2.4503519999999998E-5"/>
    <n v="1.0665366675171926E-4"/>
    <n v="2.5707915089248151E-5"/>
    <n v="4.2304715550792474E-6"/>
    <n v="3.0675278496769597E-7"/>
    <n v="2.5020512937316413E-4"/>
    <n v="1.2405204776813288E-4"/>
    <n v="1.4421612565671568E-3"/>
    <n v="3.6327451773729766E-4"/>
    <n v="1.1084232615329584E-4"/>
  </r>
  <r>
    <x v="0"/>
    <x v="18"/>
    <x v="1"/>
    <n v="5.8230399999999997E-5"/>
    <n v="2.3317632000000003E-4"/>
    <n v="4.2700799999999996E-5"/>
    <n v="7.3472000000000004E-5"/>
    <n v="1.79968E-5"/>
    <n v="2.3328480000000001E-5"/>
    <n v="4.2940799999999996E-6"/>
    <n v="8.1807481780035172E-6"/>
    <n v="2.3338103283838946E-5"/>
    <n v="1.5553016706460236E-4"/>
    <n v="9.857879326100164E-7"/>
    <n v="1.4790256466988441E-4"/>
    <n v="3.7773828973882979E-5"/>
    <n v="1.4509834932566006E-4"/>
    <n v="1.2646889419397748E-5"/>
    <n v="1.152777888327082E-2"/>
  </r>
  <r>
    <x v="0"/>
    <x v="18"/>
    <x v="29"/>
    <n v="7.5788799999999996E-3"/>
    <n v="7.1435520000000001E-3"/>
    <n v="7.6185599999999988E-4"/>
    <n v="1.18272E-3"/>
    <n v="2.0506879999999997E-3"/>
    <n v="6.2921600000000006E-3"/>
    <n v="4.0214399999999999E-5"/>
    <n v="1.4380737907940315E-4"/>
    <n v="6.2043130087542344E-5"/>
    <n v="3.1312583231106967E-3"/>
    <n v="4.1720877659224119E-6"/>
    <n v="7.1194884406270463E-3"/>
    <n v="3.2759267201015052E-4"/>
    <n v="5.7782992643735356E-4"/>
    <n v="1.1985071958546531E-4"/>
    <n v="2.621821403788523E-2"/>
  </r>
  <r>
    <x v="0"/>
    <x v="18"/>
    <x v="2"/>
    <n v="4.0076800000000002E-5"/>
    <n v="1.5634944000000002E-4"/>
    <n v="2.6664959999999997E-5"/>
    <n v="3.1046399999999999E-7"/>
    <n v="2.6568960000000003E-5"/>
    <n v="4.0720960000000003E-5"/>
    <n v="1.5097439999999999E-6"/>
    <n v="5.3290714954707199E-6"/>
    <n v="2.5239654845866557E-7"/>
    <n v="2.6592262052385609E-6"/>
    <n v="1.3921433975202198E-15"/>
    <n v="2.0055982388607833E-5"/>
    <n v="3.9851730347053812E-5"/>
    <n v="1.0220540521881738E-4"/>
    <n v="6.3309964017426018E-7"/>
    <n v="4.1280839857456194E-7"/>
  </r>
  <r>
    <x v="0"/>
    <x v="18"/>
    <x v="31"/>
    <n v="1.15072E-6"/>
    <n v="1.3579488000000002E-5"/>
    <n v="3.0289919999999999E-6"/>
    <n v="2.5087999999999999E-8"/>
    <n v="5.1622399999999995E-7"/>
    <n v="7.2419199999999998E-7"/>
    <n v="1.7721599999999999E-7"/>
    <n v="5.945087479149769E-7"/>
    <n v="2.8355626271868154E-7"/>
    <n v="3.578196406516612E-8"/>
    <n v="8.9798945671210037E-10"/>
    <n v="1.3055508197936835E-6"/>
    <n v="1.3344025450828575E-6"/>
    <n v="1.2846234501448537E-5"/>
    <n v="1.096267853189694E-6"/>
    <n v="6.7293572528866347E-7"/>
  </r>
  <r>
    <x v="0"/>
    <x v="18"/>
    <x v="30"/>
    <n v="1.84512E-6"/>
    <n v="2.1700224000000002E-5"/>
    <n v="4.8537599999999998E-6"/>
    <n v="4.0096000000000004E-8"/>
    <n v="8.2406400000000004E-7"/>
    <n v="1.163456E-6"/>
    <n v="2.8354559999999999E-7"/>
    <n v="9.5121399666396186E-7"/>
    <n v="4.5369002034989078E-7"/>
    <n v="5.7251142504266282E-8"/>
    <n v="1.4367831307393582E-9"/>
    <n v="2.0888813116698994E-6"/>
    <n v="2.1350440721325688E-6"/>
    <n v="2.0553975202317636E-5"/>
    <n v="1.754028565103506E-6"/>
    <n v="1.0766971604617679E-6"/>
  </r>
  <r>
    <x v="0"/>
    <x v="19"/>
    <x v="28"/>
    <n v="1.7888666274652591E-4"/>
    <n v="1.6669240727317559E-3"/>
    <n v="6.7834958464233982E-4"/>
    <n v="7.4668866826185409E-6"/>
    <n v="6.4340257739046845E-5"/>
    <n v="9.0119686872159853E-5"/>
    <n v="3.1323503983132488E-5"/>
    <n v="1.3625193258328555E-4"/>
    <n v="3.2842313070690535E-5"/>
    <n v="5.4045017173202122E-6"/>
    <n v="3.9188207072570975E-7"/>
    <n v="3.1964144747789579E-4"/>
    <n v="1.5847866992392543E-4"/>
    <n v="1.8423863359657798E-3"/>
    <n v="4.640895771093578E-4"/>
    <n v="1.4160301854010204E-4"/>
  </r>
  <r>
    <x v="0"/>
    <x v="19"/>
    <x v="1"/>
    <n v="5.8230399999999997E-5"/>
    <n v="2.3317632000000003E-4"/>
    <n v="4.2700799999999996E-5"/>
    <n v="7.3472000000000004E-5"/>
    <n v="1.79968E-5"/>
    <n v="2.3328480000000001E-5"/>
    <n v="4.2940799999999996E-6"/>
    <n v="8.1807481780035172E-6"/>
    <n v="2.3338103283838946E-5"/>
    <n v="1.5553016706460236E-4"/>
    <n v="9.857879326100164E-7"/>
    <n v="1.4790256466988441E-4"/>
    <n v="3.7773828973882979E-5"/>
    <n v="1.4509834932566006E-4"/>
    <n v="1.2646889419397748E-5"/>
    <n v="1.152777888327082E-2"/>
  </r>
  <r>
    <x v="0"/>
    <x v="19"/>
    <x v="29"/>
    <n v="7.37056E-3"/>
    <n v="6.9750719999999997E-3"/>
    <n v="7.4342399999999991E-4"/>
    <n v="1.1468800000000001E-3"/>
    <n v="1.993856E-3"/>
    <n v="6.11408E-3"/>
    <n v="3.9192E-5"/>
    <n v="1.3989425311805868E-4"/>
    <n v="6.0354881649786121E-5"/>
    <n v="3.0460540149988427E-3"/>
    <n v="4.0585615682102343E-6"/>
    <n v="6.9257608640113438E-3"/>
    <n v="3.1867858569694903E-4"/>
    <n v="5.62106663132935E-4"/>
    <n v="1.1658947551511251E-4"/>
    <n v="2.5504793247738668E-2"/>
  </r>
  <r>
    <x v="0"/>
    <x v="19"/>
    <x v="2"/>
    <n v="4.3945600000000002E-5"/>
    <n v="1.7117568000000002E-4"/>
    <n v="2.9214719999999995E-5"/>
    <n v="3.4048000000000004E-7"/>
    <n v="2.9126400000000003E-5"/>
    <n v="4.4698080000000004E-5"/>
    <n v="1.656288E-6"/>
    <n v="5.843786144492063E-6"/>
    <n v="2.767745664613338E-7"/>
    <n v="2.9160707013315726E-6"/>
    <n v="1.5266052077719606E-15"/>
    <n v="2.1993113077266044E-5"/>
    <n v="4.3700856675328832E-5"/>
    <n v="1.1207703469873651E-4"/>
    <n v="6.942483148288934E-7"/>
    <n v="4.5267998411547812E-7"/>
  </r>
  <r>
    <x v="0"/>
    <x v="19"/>
    <x v="31"/>
    <n v="1.3788799999999999E-6"/>
    <n v="1.6275168000000002E-5"/>
    <n v="3.6249599999999998E-6"/>
    <n v="3.0060800000000003E-8"/>
    <n v="6.2041600000000004E-7"/>
    <n v="8.7259200000000001E-7"/>
    <n v="2.1265919999999998E-7"/>
    <n v="7.1341049749796991E-7"/>
    <n v="3.4026751526241848E-7"/>
    <n v="4.2938356878199423E-8"/>
    <n v="1.0775873480545237E-9"/>
    <n v="1.5666609837524172E-6"/>
    <n v="1.6012830540994304E-6"/>
    <n v="1.541548140173823E-5"/>
    <n v="1.3155214238276385E-6"/>
    <n v="8.0752287034640487E-7"/>
  </r>
  <r>
    <x v="0"/>
    <x v="19"/>
    <x v="30"/>
    <n v="5.0592000000000006E-6"/>
    <n v="5.9641920000000004E-5"/>
    <n v="1.3332479999999998E-5"/>
    <n v="1.10208E-7"/>
    <n v="2.2685439999999999E-6"/>
    <n v="3.1935680000000002E-6"/>
    <n v="7.8043200000000001E-7"/>
    <n v="2.6158384908258936E-6"/>
    <n v="1.2476475559621985E-6"/>
    <n v="1.5744064188673058E-7"/>
    <n v="3.9511536095332395E-9"/>
    <n v="5.7444236070922014E-6"/>
    <n v="5.8713711983645682E-6"/>
    <n v="5.6523431806373644E-5"/>
    <n v="4.8235785540346502E-6"/>
    <n v="2.9609171912698614E-6"/>
  </r>
  <r>
    <x v="0"/>
    <x v="20"/>
    <x v="32"/>
    <n v="3.0751999999999998E-6"/>
    <n v="2.7158976000000003E-5"/>
    <n v="7.9871999999999999E-7"/>
    <n v="7.4816000000000003E-9"/>
    <n v="9.5667200000000016E-7"/>
    <n v="1.3949599999999999E-6"/>
    <n v="1.1348639999999998E-7"/>
    <n v="8.944543365617473E-7"/>
    <n v="4.1072256004875213E-7"/>
    <n v="5.4431813939118806E-8"/>
    <n v="1.0309040481648375E-15"/>
    <n v="5.0721622021711297E-6"/>
    <n v="2.4892496777199119E-6"/>
    <n v="1.4654480990254774E-5"/>
    <n v="4.1901765563169003E-7"/>
    <n v="2.6194297070829984E-6"/>
  </r>
  <r>
    <x v="0"/>
    <x v="20"/>
    <x v="19"/>
    <n v="1.11104E-4"/>
    <n v="5.8294080000000005E-4"/>
    <n v="4.577279999999999E-5"/>
    <n v="1.5097600000000001E-6"/>
    <n v="2.3869440000000002E-5"/>
    <n v="3.5972160000000005E-5"/>
    <n v="1.2677760000000001E-5"/>
    <n v="1.920569325336238E-5"/>
    <n v="4.3742803137623114E-5"/>
    <n v="4.1235165370359055E-6"/>
    <n v="2.6780093315004484E-7"/>
    <n v="1.5585872177319342E-4"/>
    <n v="5.7085253917749822E-5"/>
    <n v="3.9258448268813498E-4"/>
    <n v="3.8609088546095961E-4"/>
    <n v="5.794599250813071E-5"/>
  </r>
  <r>
    <x v="0"/>
    <x v="20"/>
    <x v="21"/>
    <n v="1.7260800000000001E-4"/>
    <n v="9.0979200000000009E-4"/>
    <n v="6.3283199999999997E-5"/>
    <n v="2.57152E-7"/>
    <n v="3.3625600000000005E-5"/>
    <n v="5.0752800000000006E-5"/>
    <n v="2.1402239999999999E-5"/>
    <n v="2.9493134926178124E-5"/>
    <n v="5.807740210395493E-5"/>
    <n v="3.3434894298483991E-6"/>
    <n v="1.2879822117267214E-12"/>
    <n v="2.6508056628576053E-4"/>
    <n v="8.0568150989001933E-5"/>
    <n v="5.5076706376492365E-4"/>
    <n v="6.4390737242617037E-5"/>
    <n v="3.8533389552042518E-5"/>
  </r>
  <r>
    <x v="0"/>
    <x v="20"/>
    <x v="3"/>
    <n v="2.1228799999999999E-6"/>
    <n v="1.8768672000000002E-5"/>
    <n v="5.4988800000000001E-7"/>
    <n v="5.1968000000000001E-9"/>
    <n v="6.6303999999999999E-7"/>
    <n v="9.6756800000000003E-7"/>
    <n v="7.8383999999999996E-8"/>
    <n v="6.1792158130909469E-7"/>
    <n v="2.8374207984749743E-7"/>
    <n v="3.7603476407831901E-8"/>
    <n v="7.1218600389220408E-16"/>
    <n v="3.5040340915217184E-6"/>
    <n v="1.7196641955390131E-6"/>
    <n v="1.0123848358285822E-5"/>
    <n v="2.8947263351603082E-7"/>
    <n v="1.8095972936422651E-6"/>
  </r>
  <r>
    <x v="0"/>
    <x v="20"/>
    <x v="33"/>
    <n v="4.57312E-5"/>
    <n v="1.482624E-4"/>
    <n v="1.2165119999999999E-5"/>
    <n v="1.1020800000000001E-6"/>
    <n v="8.0038400000000006E-6"/>
    <n v="1.199072E-5"/>
    <n v="2.1947519999999999E-3"/>
    <n v="9.2603899528551487E-6"/>
    <n v="0"/>
    <n v="0"/>
    <n v="0"/>
    <n v="5.8735758741540102E-5"/>
    <n v="1.9081684279047862E-5"/>
    <n v="1.9101985177183466E-4"/>
    <n v="7.1529821281634381E-7"/>
    <n v="5.431064730921817E-5"/>
  </r>
  <r>
    <x v="0"/>
    <x v="20"/>
    <x v="23"/>
    <n v="8.6083190941467366E-7"/>
    <n v="9.0822201237873454E-6"/>
    <n v="3.9737304390316644E-6"/>
    <n v="1.8489835962391046E-7"/>
    <n v="3.4278113647624956E-7"/>
    <n v="5.050389379785573E-7"/>
    <n v="1.3208031278509511E-7"/>
    <n v="6.9528792106790986E-7"/>
    <n v="6.2985844345831674E-7"/>
    <n v="4.2146442580442958E-9"/>
    <n v="5.3380055265222082E-15"/>
    <n v="6.4530807155706714E-7"/>
    <n v="7.2288762118277646E-7"/>
    <n v="7.5452170318594867E-6"/>
    <n v="-7.8347446092544388E-9"/>
    <n v="-1.3561079201414762E-7"/>
  </r>
  <r>
    <x v="0"/>
    <x v="20"/>
    <x v="28"/>
    <n v="2.6234524325796621E-6"/>
    <n v="2.4446182551519778E-5"/>
    <n v="9.9482982165695996E-6"/>
    <n v="1.0950521257735764E-7"/>
    <n v="9.4357848196585709E-7"/>
    <n v="1.3216452703524848E-6"/>
    <n v="4.593731106600542E-7"/>
    <n v="1.9981951616247197E-6"/>
    <n v="4.8164712111003521E-7"/>
    <n v="7.9259420235676856E-8"/>
    <n v="5.7471247769123272E-9"/>
    <n v="4.687683922682235E-6"/>
    <n v="2.3241601455387835E-6"/>
    <n v="2.7019414642944522E-5"/>
    <n v="6.8060799576074463E-6"/>
    <n v="2.0766712159867801E-6"/>
  </r>
  <r>
    <x v="0"/>
    <x v="20"/>
    <x v="27"/>
    <n v="1.3002267531448739E-4"/>
    <n v="1.1453811198223612E-3"/>
    <n v="2.362077711312098E-4"/>
    <n v="3.7741626233590093E-5"/>
    <n v="4.1836733165203357E-5"/>
    <n v="5.8058284784996121E-5"/>
    <n v="2.1099850873704826E-5"/>
    <n v="6.7260797456546262E-5"/>
    <n v="1.9236711198582806E-4"/>
    <n v="6.8050991419455374E-6"/>
    <n v="6.3357930312008677E-7"/>
    <n v="1.5020943172980184E-4"/>
    <n v="1.2005529631969353E-4"/>
    <n v="1.7187513349494826E-3"/>
    <n v="3.3999285877429962E-5"/>
    <n v="4.695492820429092E-4"/>
  </r>
  <r>
    <x v="0"/>
    <x v="20"/>
    <x v="4"/>
    <n v="1.8235555918242663E-6"/>
    <n v="1.7739413459253499E-5"/>
    <n v="3.1861578807186735E-5"/>
    <n v="4.1792711662350699E-7"/>
    <n v="7.5631877791920714E-7"/>
    <n v="9.1426765290061779E-7"/>
    <n v="1.2266258805208021E-6"/>
    <n v="7.839765281503648E-6"/>
    <n v="2.1139046382133882E-6"/>
    <n v="8.199270294319666E-9"/>
    <n v="3.3055866364638243E-14"/>
    <n v="1.8853223503295284E-6"/>
    <n v="1.6432039074599957E-6"/>
    <n v="1.6183665962342195E-5"/>
    <n v="3.98065389519104E-7"/>
    <n v="3.6607269377003055E-5"/>
  </r>
  <r>
    <x v="0"/>
    <x v="20"/>
    <x v="1"/>
    <n v="1.734995401306507E-6"/>
    <n v="6.6242922304731384E-6"/>
    <n v="5.0326073266633422E-7"/>
    <n v="3.958643724385939E-7"/>
    <n v="8.5570602938946805E-7"/>
    <n v="1.1916150156616542E-6"/>
    <n v="1.3226117915781045E-7"/>
    <n v="6.0144340371413303E-7"/>
    <n v="-2.4521339308351104E-6"/>
    <n v="3.1785974820701707E-5"/>
    <n v="4.8697936932715371E-9"/>
    <n v="2.9629658752797714E-6"/>
    <n v="1.8823555390017306E-6"/>
    <n v="-1.3065839969956113E-6"/>
    <n v="7.2100568574217531E-8"/>
    <n v="6.0922546878820953E-5"/>
  </r>
  <r>
    <x v="0"/>
    <x v="20"/>
    <x v="2"/>
    <n v="1.3631270269217695E-5"/>
    <n v="5.3165535910189262E-5"/>
    <n v="9.071566195453869E-6"/>
    <n v="1.056239816339931E-7"/>
    <n v="9.0412996578091427E-6"/>
    <n v="1.3867651930254673E-5"/>
    <n v="5.1426890415020081E-7"/>
    <n v="1.8136223442814486E-6"/>
    <n v="8.5897143675629286E-8"/>
    <n v="9.0500419602523321E-7"/>
    <n v="4.7378279205532233E-16"/>
    <n v="6.8255751170554144E-6"/>
    <n v="1.3562585654391102E-5"/>
    <n v="3.4783171283914924E-5"/>
    <n v="2.1546035825424078E-7"/>
    <n v="1.404894898104118E-7"/>
  </r>
  <r>
    <x v="0"/>
    <x v="21"/>
    <x v="3"/>
    <n v="3.3529599999999998E-5"/>
    <n v="4.110912E-4"/>
    <n v="6.6662399999999992E-6"/>
    <n v="7.0784000000000007E-8"/>
    <n v="9.140480000000002E-6"/>
    <n v="1.2940480000000001E-5"/>
    <n v="9.4060799999999999E-6"/>
    <n v="1.4988844357756703E-5"/>
    <n v="2.859039129215542E-6"/>
    <n v="-2.3591056235099653E-8"/>
    <n v="4.3017965724747412E-14"/>
    <n v="7.946969712064022E-5"/>
    <n v="2.980182644911896E-5"/>
    <n v="2.0608739535444201E-4"/>
    <n v="4.0274950252538089E-5"/>
    <n v="2.7586008223060249E-4"/>
  </r>
  <r>
    <x v="0"/>
    <x v="21"/>
    <x v="34"/>
    <n v="1.02176E-3"/>
    <n v="9.1316160000000004E-3"/>
    <n v="4.5465599999999998E-3"/>
    <n v="4.03648E-4"/>
    <n v="4.0540159999999999E-4"/>
    <n v="5.4255039999999996E-4"/>
    <n v="1.6256159999999999E-4"/>
    <n v="8.7413080303314398E-4"/>
    <n v="1.2405457704846605E-3"/>
    <n v="1.8683766663477497E-3"/>
    <n v="1.0516762939622427E-5"/>
    <n v="1.7851828153377504E-3"/>
    <n v="9.7046825905246225E-4"/>
    <n v="9.3253162080739471E-3"/>
    <n v="1.4558849126732856E-4"/>
    <n v="1.676541440352319E-3"/>
  </r>
  <r>
    <x v="0"/>
    <x v="21"/>
    <x v="1"/>
    <n v="3.9382399999999998E-4"/>
    <n v="2.5002432000000002E-3"/>
    <n v="3.6863999999999994E-4"/>
    <n v="9.0048000000000005E-4"/>
    <n v="4.6554880000000002E-5"/>
    <n v="8.0136000000000007E-5"/>
    <n v="1.7278559999999999E-4"/>
    <n v="3.1043304932996111E-5"/>
    <n v="-6.3349180252221234E-4"/>
    <n v="-9.749257294937478E-3"/>
    <n v="1.3557662254348664E-5"/>
    <n v="1.2123059881008742E-3"/>
    <n v="5.3457705432285747E-4"/>
    <n v="-2.9794867603724954E-4"/>
    <n v="3.0896280400344219E-4"/>
    <n v="0.15333211670565669"/>
  </r>
  <r>
    <x v="0"/>
    <x v="21"/>
    <x v="35"/>
    <n v="2.31136E-4"/>
    <n v="2.0049120000000002E-3"/>
    <n v="1.1182079999999999E-3"/>
    <n v="2.5177599999999998E-5"/>
    <n v="6.4883199999999996E-5"/>
    <n v="9.7943999999999996E-5"/>
    <n v="5.0779199999999998E-6"/>
    <n v="1.0872829987866534E-4"/>
    <n v="7.474118032097455E-5"/>
    <n v="6.8558213264186508E-7"/>
    <n v="5.130797627134575E-14"/>
    <n v="7.1783380087313015E-4"/>
    <n v="1.5131973660361815E-4"/>
    <n v="1.4215084380685126E-3"/>
    <n v="1.2712398586254364E-5"/>
    <n v="9.0083485162961751E-4"/>
  </r>
  <r>
    <x v="0"/>
    <x v="21"/>
    <x v="2"/>
    <n v="8.0649599999999994E-5"/>
    <n v="3.1472063999999999E-4"/>
    <n v="5.3759999999999994E-5"/>
    <n v="6.272E-7"/>
    <n v="5.3516800000000002E-5"/>
    <n v="8.1916799999999995E-5"/>
    <n v="3.0433439999999997E-6"/>
    <n v="1.0731504619077836E-5"/>
    <n v="5.0826766500046935E-7"/>
    <n v="5.3550601317594016E-6"/>
    <n v="2.8034514668464216E-15"/>
    <n v="4.0388061565024339E-5"/>
    <n v="8.0252071802965161E-5"/>
    <n v="2.0581780130603694E-4"/>
    <n v="1.2749147236326246E-6"/>
    <n v="8.3129964382399933E-7"/>
  </r>
  <r>
    <x v="0"/>
    <x v="22"/>
    <x v="21"/>
    <n v="2.9065599999999999E-3"/>
    <n v="1.5331680000000002E-2"/>
    <n v="1.0813439999999999E-3"/>
    <n v="4.3724800000000004E-6"/>
    <n v="5.6831999999999998E-4"/>
    <n v="8.5478400000000003E-4"/>
    <n v="3.6124799999999999E-4"/>
    <n v="4.9976021599087972E-4"/>
    <n v="9.7840839108311777E-4"/>
    <n v="5.6428707739670372E-5"/>
    <n v="2.1687663532290349E-11"/>
    <n v="4.4659575342701815E-3"/>
    <n v="1.36265339710066E-3"/>
    <n v="9.3196529382922836E-3"/>
    <n v="1.0840980630025731E-3"/>
    <n v="6.4997990431304412E-4"/>
  </r>
  <r>
    <x v="0"/>
    <x v="22"/>
    <x v="3"/>
    <n v="1.3987200000000001E-5"/>
    <n v="1.2299040000000001E-4"/>
    <n v="3.6249599999999998E-6"/>
    <n v="3.3958400000000001E-8"/>
    <n v="4.3334400000000001E-6"/>
    <n v="6.3515199999999998E-6"/>
    <n v="5.1460799999999992E-7"/>
    <n v="4.0512642236937047E-6"/>
    <n v="1.8602912919909911E-6"/>
    <n v="2.4653875712645908E-7"/>
    <n v="4.6692877631354848E-15"/>
    <n v="2.2973413428141858E-5"/>
    <n v="1.1274592509610573E-5"/>
    <n v="6.6374740582992689E-5"/>
    <n v="1.8978623815297353E-6"/>
    <n v="1.1864218691786988E-5"/>
  </r>
  <r>
    <x v="0"/>
    <x v="22"/>
    <x v="23"/>
    <n v="4.9996800000000003E-8"/>
    <n v="5.2565760000000004E-7"/>
    <n v="2.2886399999999998E-7"/>
    <n v="1.0662400000000002E-8"/>
    <n v="1.9985920000000002E-8"/>
    <n v="2.944256E-8"/>
    <n v="7.5998400000000005E-9"/>
    <n v="4.0072908626021274E-8"/>
    <n v="3.5494524187139504E-8"/>
    <n v="2.3641229348621947E-10"/>
    <n v="3.0729029769761292E-16"/>
    <n v="3.7252432969185852E-8"/>
    <n v="4.2127928625181031E-8"/>
    <n v="4.3305569844201128E-7"/>
    <n v="-4.5953371454806586E-10"/>
    <n v="-7.6946685913369662E-9"/>
  </r>
  <r>
    <x v="0"/>
    <x v="22"/>
    <x v="4"/>
    <n v="7.8367999999999999E-7"/>
    <n v="7.6152960000000005E-6"/>
    <n v="1.3701119999999998E-5"/>
    <n v="1.79648E-7"/>
    <n v="3.2488960000000002E-7"/>
    <n v="3.9296320000000001E-7"/>
    <n v="5.2824000000000002E-7"/>
    <n v="3.3683551531980609E-6"/>
    <n v="9.0823912780837965E-7"/>
    <n v="3.5228164819544653E-9"/>
    <n v="1.4202452983566791E-14"/>
    <n v="8.1002874781908315E-7"/>
    <n v="7.0600255884018835E-7"/>
    <n v="6.9533120807203123E-6"/>
    <n v="1.7102879460688384E-7"/>
    <n v="1.572831328782934E-5"/>
  </r>
  <r>
    <x v="0"/>
    <x v="22"/>
    <x v="1"/>
    <n v="4.2060799999999999E-10"/>
    <n v="1.6072992000000002E-9"/>
    <n v="1.2257279999999998E-10"/>
    <n v="9.632000000000001E-11"/>
    <n v="2.074368E-10"/>
    <n v="2.8908319999999998E-10"/>
    <n v="3.2103359999999999E-11"/>
    <n v="1.4587517661909263E-10"/>
    <n v="-5.9411299369749807E-10"/>
    <n v="7.7043707305872082E-9"/>
    <n v="1.1882296636162024E-12"/>
    <n v="7.1930839024012881E-10"/>
    <n v="4.5654264089688571E-10"/>
    <n v="-3.1484253799032718E-10"/>
    <n v="1.7559202370080932E-11"/>
    <n v="1.4863542194658521E-8"/>
  </r>
  <r>
    <x v="0"/>
    <x v="22"/>
    <x v="2"/>
    <n v="8.8369939534192098E-5"/>
    <n v="3.446659849666341E-4"/>
    <n v="5.88099084193923E-5"/>
    <n v="6.847479865053139E-7"/>
    <n v="5.8613693976516053E-5"/>
    <n v="8.9902374346228977E-5"/>
    <n v="3.3339454846475285E-6"/>
    <n v="1.1757502693196119E-5"/>
    <n v="5.5686119069303839E-7"/>
    <n v="5.8670369306329596E-6"/>
    <n v="3.0714787293753999E-15"/>
    <n v="4.4249409517055164E-5"/>
    <n v="8.7924665165826154E-5"/>
    <n v="2.2549525337402151E-4"/>
    <n v="1.3968044397109067E-6"/>
    <n v="9.1077702037579792E-7"/>
  </r>
  <r>
    <x v="0"/>
    <x v="22"/>
    <x v="30"/>
    <n v="1.8402917482949107E-6"/>
    <n v="2.170029498824304E-5"/>
    <n v="4.8447353030270053E-6"/>
    <n v="4.010791648932029E-8"/>
    <n v="8.2454960838011627E-7"/>
    <n v="1.1606047423436188E-6"/>
    <n v="2.8369401423667575E-7"/>
    <n v="9.5121399666396186E-7"/>
    <n v="4.5369002034989078E-7"/>
    <n v="5.7251142504266282E-8"/>
    <n v="1.4367831307393582E-9"/>
    <n v="2.0888813116698994E-6"/>
    <n v="2.1350440721325688E-6"/>
    <n v="2.0553975202317636E-5"/>
    <n v="1.754028565103506E-6"/>
    <n v="1.0766971604617679E-6"/>
  </r>
  <r>
    <x v="0"/>
    <x v="23"/>
    <x v="36"/>
    <n v="7.9756799999999992E-6"/>
    <n v="7.0424640000000006E-5"/>
    <n v="2.0674559999999997E-6"/>
    <n v="1.9443199999999998E-8"/>
    <n v="2.4816640000000002E-6"/>
    <n v="3.6209600000000003E-6"/>
    <n v="2.9376959999999999E-7"/>
    <n v="2.3174498720008925E-6"/>
    <n v="1.064144814671763E-6"/>
    <n v="1.4102788156953439E-7"/>
    <n v="2.6709786702452676E-15"/>
    <n v="1.314151116017066E-5"/>
    <n v="6.449419619547056E-6"/>
    <n v="3.7968428020205629E-5"/>
    <n v="1.0856366532275606E-6"/>
    <n v="6.7867042410786286E-6"/>
  </r>
  <r>
    <x v="0"/>
    <x v="23"/>
    <x v="19"/>
    <n v="1.26976E-2"/>
    <n v="6.6044160000000005E-2"/>
    <n v="5.1916799999999989E-3"/>
    <n v="1.6441599999999999E-4"/>
    <n v="2.690048E-3"/>
    <n v="4.0602240000000003E-3"/>
    <n v="1.4654399999999999E-3"/>
    <n v="2.2173445161681659E-3"/>
    <n v="4.8930016131286374E-3"/>
    <n v="4.625487460714516E-4"/>
    <n v="2.9029403660256946E-5"/>
    <n v="1.7951499891143311E-2"/>
    <n v="6.4471508846429115E-3"/>
    <n v="4.4135341538533941E-2"/>
    <n v="4.5015026495306421E-2"/>
    <n v="6.4450248488731599E-3"/>
  </r>
  <r>
    <x v="0"/>
    <x v="23"/>
    <x v="3"/>
    <n v="8.1145599999999998E-5"/>
    <n v="7.1435520000000003E-4"/>
    <n v="2.1043199999999999E-5"/>
    <n v="1.9756800000000001E-7"/>
    <n v="2.524288E-5"/>
    <n v="3.68032E-5"/>
    <n v="2.9888160000000001E-6"/>
    <n v="2.3581068872991538E-5"/>
    <n v="1.0828140219467073E-5"/>
    <n v="1.4350205493040422E-6"/>
    <n v="2.717837945161845E-14"/>
    <n v="1.3372063987542062E-4"/>
    <n v="6.562567332170683E-5"/>
    <n v="3.8634540792489836E-4"/>
    <n v="1.104682910301728E-5"/>
    <n v="6.9057692277642627E-5"/>
  </r>
  <r>
    <x v="0"/>
    <x v="23"/>
    <x v="22"/>
    <n v="1.71616E-4"/>
    <n v="9.1653120000000001E-4"/>
    <n v="6.2975999999999988E-5"/>
    <n v="2.54912E-7"/>
    <n v="3.3720319999999998E-5"/>
    <n v="5.0990240000000001E-5"/>
    <n v="2.136816E-5"/>
    <n v="2.9040551448758964E-5"/>
    <n v="5.7910570900851549E-5"/>
    <n v="3.1500007939185375E-6"/>
    <n v="1.2806440150167214E-12"/>
    <n v="2.6613121638642957E-4"/>
    <n v="8.080880456031948E-5"/>
    <n v="5.5308733969150633E-4"/>
    <n v="-2.8492740150159177E-5"/>
    <n v="3.8519019797827001E-5"/>
  </r>
  <r>
    <x v="0"/>
    <x v="23"/>
    <x v="24"/>
    <n v="1.21024E-5"/>
    <n v="4.3130880000000003E-5"/>
    <n v="4.6079999999999998E-6"/>
    <n v="3.8214400000000002E-8"/>
    <n v="2.8605439999999999E-6"/>
    <n v="4.3035999999999998E-6"/>
    <n v="1.543824E-4"/>
    <n v="2.1347088130997671E-6"/>
    <n v="1.2051124247832514E-6"/>
    <n v="5.2753288058739446E-7"/>
    <n v="6.7797681999298794E-15"/>
    <n v="2.8346441256273527E-5"/>
    <n v="6.6436678793728686E-6"/>
    <n v="2.7485140163182671E-5"/>
    <n v="3.3822499704036981E-5"/>
    <n v="1.0235994348278306E-5"/>
  </r>
  <r>
    <x v="0"/>
    <x v="23"/>
    <x v="4"/>
    <n v="1.22016E-5"/>
    <n v="1.1827296000000001E-4"/>
    <n v="2.1227519999999998E-4"/>
    <n v="2.7865599999999999E-6"/>
    <n v="5.0201600000000004E-6"/>
    <n v="6.1140799999999999E-6"/>
    <n v="8.1791999999999995E-6"/>
    <n v="5.2265101876691086E-5"/>
    <n v="1.4092697588089253E-5"/>
    <n v="5.4661801962131274E-8"/>
    <n v="2.2037244243092159E-13"/>
    <n v="1.2568815668863556E-5"/>
    <n v="1.0954692716399972E-5"/>
    <n v="1.0789110641561453E-4"/>
    <n v="2.6537692634606977E-6"/>
    <n v="2.4404846251335373E-4"/>
  </r>
  <r>
    <x v="0"/>
    <x v="23"/>
    <x v="1"/>
    <n v="9.1207286614532044E-6"/>
    <n v="3.4819811331042219E-5"/>
    <n v="2.6437354865947509E-6"/>
    <n v="2.0799766100194098E-6"/>
    <n v="4.4985937260387542E-6"/>
    <n v="6.264573759511244E-6"/>
    <n v="6.9523649098867819E-7"/>
    <n v="3.1618238258622159E-6"/>
    <n v="-1.2893011044416707E-5"/>
    <n v="1.6711868327788843E-4"/>
    <n v="2.5582649528321523E-8"/>
    <n v="1.5575176181599213E-5"/>
    <n v="9.8958585923786035E-6"/>
    <n v="-6.8756442303672383E-6"/>
    <n v="3.7884759992739277E-7"/>
    <n v="3.2005076181687889E-4"/>
  </r>
  <r>
    <x v="0"/>
    <x v="23"/>
    <x v="37"/>
    <n v="4.1408639071168286E-7"/>
    <n v="5.9414331007894785E-6"/>
    <n v="1.546984297713537E-6"/>
    <n v="6.3928263604867202E-9"/>
    <n v="1.6733543670231266E-7"/>
    <n v="2.5189961012150559E-7"/>
    <n v="9.5060108584300043E-8"/>
    <n v="2.8800374840492593E-7"/>
    <n v="8.9121958410416539E-7"/>
    <n v="3.0387003585102868E-8"/>
    <n v="1.5045029334080747E-15"/>
    <n v="4.8214617700049638E-7"/>
    <n v="4.5029442666435526E-7"/>
    <n v="9.0548378675359079E-6"/>
    <n v="1.4758742986331107E-7"/>
    <n v="1.872635285429755E-7"/>
  </r>
  <r>
    <x v="0"/>
    <x v="23"/>
    <x v="2"/>
    <n v="1.4655001774526634E-4"/>
    <n v="5.7158357784669765E-4"/>
    <n v="9.7528561950919058E-5"/>
    <n v="1.1355652171127891E-6"/>
    <n v="9.7203165891614421E-5"/>
    <n v="1.4909136099027902E-4"/>
    <n v="5.5289137065415726E-6"/>
    <n v="1.9498284568376521E-5"/>
    <n v="9.2348164780783539E-7"/>
    <n v="9.7297154533382341E-6"/>
    <n v="5.0936468290782232E-15"/>
    <n v="7.338187379242109E-5"/>
    <n v="1.4581158828690577E-4"/>
    <n v="3.7395446412690728E-4"/>
    <n v="2.3164179641324339E-6"/>
    <n v="1.5104048865667933E-6"/>
  </r>
  <r>
    <x v="0"/>
    <x v="24"/>
    <x v="3"/>
    <n v="6.0313600000000001E-6"/>
    <n v="5.3239680000000003E-5"/>
    <n v="1.5605759999999997E-6"/>
    <n v="1.4694400000000001E-8"/>
    <n v="1.8754560000000001E-6"/>
    <n v="2.7364959999999999E-6"/>
    <n v="2.2186079999999999E-7"/>
    <n v="1.7513456566894335E-6"/>
    <n v="8.0419663949618211E-7"/>
    <n v="1.0657773911013054E-7"/>
    <n v="2.0185148122342474E-15"/>
    <n v="9.9313166471338084E-6"/>
    <n v="4.8739621837468586E-6"/>
    <n v="2.869354039019613E-5"/>
    <n v="8.2043847435255664E-7"/>
    <n v="5.1288552729671885E-6"/>
  </r>
  <r>
    <x v="0"/>
    <x v="24"/>
    <x v="38"/>
    <n v="4.3945600000000002E-5"/>
    <n v="3.8750400000000005E-4"/>
    <n v="7.9871999999999983E-5"/>
    <n v="1.27232E-5"/>
    <n v="1.4113279999999999E-5"/>
    <n v="1.9588800000000001E-5"/>
    <n v="7.1227200000000001E-6"/>
    <n v="2.2709933335888179E-5"/>
    <n v="6.495082506325988E-5"/>
    <n v="2.2976734398300245E-6"/>
    <n v="2.1392169407672155E-7"/>
    <n v="5.0716707354075894E-5"/>
    <n v="4.0535466113109268E-5"/>
    <n v="5.8031914151610345E-4"/>
    <n v="1.1479517712276096E-5"/>
    <n v="1.5853860341155971E-4"/>
  </r>
  <r>
    <x v="0"/>
    <x v="24"/>
    <x v="22"/>
    <n v="5.59488E-3"/>
    <n v="2.6619840000000002E-2"/>
    <n v="2.1411839999999995E-3"/>
    <n v="4.7488000000000003E-5"/>
    <n v="1.0466560000000002E-3"/>
    <n v="1.5730400000000002E-3"/>
    <n v="6.8159999999999998E-4"/>
    <n v="1.020430454658508E-3"/>
    <n v="1.773339977188383E-3"/>
    <n v="1.7317346223836612E-4"/>
    <n v="8.033225400027733E-6"/>
    <n v="8.1359874753614489E-3"/>
    <n v="2.5353013546755014E-3"/>
    <n v="1.6705766007025571E-2"/>
    <n v="2.2026052907566429E-2"/>
    <n v="2.2766875669547708E-3"/>
  </r>
  <r>
    <x v="0"/>
    <x v="24"/>
    <x v="23"/>
    <n v="5.7436800000000002E-7"/>
    <n v="6.0652799999999996E-6"/>
    <n v="2.648064E-6"/>
    <n v="1.2320000000000002E-7"/>
    <n v="2.2874879999999999E-7"/>
    <n v="3.3657120000000001E-7"/>
    <n v="8.7926399999999998E-8"/>
    <n v="4.6352528071193897E-7"/>
    <n v="4.1990562897221084E-7"/>
    <n v="2.8097628386961382E-9"/>
    <n v="3.5586703510148055E-15"/>
    <n v="4.3020538103804481E-7"/>
    <n v="4.819250807885176E-7"/>
    <n v="5.0301446879063247E-6"/>
    <n v="-5.2231630728362801E-9"/>
    <n v="-9.0407194676102545E-8"/>
  </r>
  <r>
    <x v="0"/>
    <x v="24"/>
    <x v="24"/>
    <n v="2.4204799999999998E-6"/>
    <n v="8.6261759999999999E-6"/>
    <n v="9.2159999999999999E-7"/>
    <n v="7.6608000000000007E-9"/>
    <n v="5.7305600000000002E-7"/>
    <n v="8.607200000000001E-7"/>
    <n v="3.0978719999999997E-5"/>
    <n v="4.2789479776373603E-7"/>
    <n v="2.4156050423402507E-7"/>
    <n v="1.0574209178669612E-7"/>
    <n v="1.3589804496949147E-15"/>
    <n v="5.6819434455147645E-6"/>
    <n v="1.3316996239528006E-6"/>
    <n v="5.5092987012853774E-6"/>
    <n v="6.7795999069811375E-6"/>
    <n v="2.0517687024523869E-6"/>
  </r>
  <r>
    <x v="0"/>
    <x v="24"/>
    <x v="27"/>
    <n v="1.5499688426808824E-4"/>
    <n v="1.3653811109682556E-3"/>
    <n v="2.8157756696433651E-4"/>
    <n v="4.4990879162177989E-5"/>
    <n v="4.9872557020362899E-5"/>
    <n v="6.9209876091674773E-5"/>
    <n v="2.5152621541091688E-5"/>
    <n v="8.0179968716503151E-5"/>
    <n v="2.2931617828457092E-4"/>
    <n v="8.1121939814406749E-6"/>
    <n v="7.5527455255658927E-7"/>
    <n v="1.7906102800520704E-4"/>
    <n v="1.4311501301158956E-4"/>
    <n v="2.0488818669854281E-3"/>
    <n v="4.0529725800485018E-5"/>
    <n v="5.5973833449387254E-4"/>
  </r>
  <r>
    <x v="0"/>
    <x v="24"/>
    <x v="4"/>
    <n v="3.1608296924953868E-6"/>
    <n v="3.0748316662706058E-5"/>
    <n v="5.522673659912355E-5"/>
    <n v="7.2440700214741379E-7"/>
    <n v="1.3109525483932885E-6"/>
    <n v="1.5847305983610729E-6"/>
    <n v="2.1261515262360539E-6"/>
    <n v="1.3588926487939676E-5"/>
    <n v="3.6641013729032011E-6"/>
    <n v="1.4212068510154111E-8"/>
    <n v="5.7296835032039669E-14"/>
    <n v="3.2678920739045249E-6"/>
    <n v="2.8482201062639943E-6"/>
    <n v="2.8051687668059757E-5"/>
    <n v="6.8998000849978064E-7"/>
    <n v="6.3452600253471916E-5"/>
  </r>
  <r>
    <x v="0"/>
    <x v="24"/>
    <x v="1"/>
    <n v="9.1207286614532044E-6"/>
    <n v="3.4819811331042219E-5"/>
    <n v="2.6437354865947509E-6"/>
    <n v="2.0799766100194098E-6"/>
    <n v="4.4985937260387542E-6"/>
    <n v="6.264573759511244E-6"/>
    <n v="6.9523649098867819E-7"/>
    <n v="3.1618238258622159E-6"/>
    <n v="-1.2893011044416707E-5"/>
    <n v="1.6711868327788843E-4"/>
    <n v="2.5582649528321523E-8"/>
    <n v="1.5575176181599213E-5"/>
    <n v="9.8958585923786035E-6"/>
    <n v="-6.8756442303672383E-6"/>
    <n v="3.7884759992739277E-7"/>
    <n v="3.2005076181687889E-4"/>
  </r>
  <r>
    <x v="0"/>
    <x v="24"/>
    <x v="2"/>
    <n v="7.1623462079989982E-5"/>
    <n v="2.7935032245856195E-4"/>
    <n v="4.7665181936378572E-5"/>
    <n v="5.5498534574459646E-7"/>
    <n v="4.7506150960653079E-5"/>
    <n v="7.2865494011080295E-5"/>
    <n v="2.7021487086569046E-6"/>
    <n v="9.5294061842792381E-6"/>
    <n v="4.5133363885565243E-7"/>
    <n v="4.7552086075661562E-6"/>
    <n v="2.4894205140628889E-15"/>
    <n v="3.5863959184678196E-5"/>
    <n v="7.1262569088481956E-5"/>
    <n v="1.8276294874008505E-4"/>
    <n v="1.132104088201699E-6"/>
    <n v="7.3818092131848811E-7"/>
  </r>
  <r>
    <x v="0"/>
    <x v="25"/>
    <x v="36"/>
    <n v="2.19232E-4"/>
    <n v="1.8330624E-3"/>
    <n v="5.3452799999999998E-5"/>
    <n v="1.67104E-6"/>
    <n v="5.6832000000000001E-5"/>
    <n v="8.369760000000001E-5"/>
    <n v="2.3583359999999999E-5"/>
    <n v="6.0977091346723238E-5"/>
    <n v="-1.6481169500478098E-7"/>
    <n v="6.2892115769782539E-6"/>
    <n v="6.676380465668338E-14"/>
    <n v="1.2983679363721358E-3"/>
    <n v="1.5685038548686456E-4"/>
    <n v="1.0337226231709391E-3"/>
    <n v="1.7348398709382952E-4"/>
    <n v="3.6083363411889566E-3"/>
  </r>
  <r>
    <x v="0"/>
    <x v="25"/>
    <x v="39"/>
    <n v="3.1049600000000003E-7"/>
    <n v="2.5878528000000001E-6"/>
    <n v="7.5263999999999992E-8"/>
    <n v="2.3609600000000001E-9"/>
    <n v="8.0512E-8"/>
    <n v="1.1871999999999999E-7"/>
    <n v="3.3296160000000001E-8"/>
    <n v="8.6065054829531586E-8"/>
    <n v="-2.3262059986560202E-10"/>
    <n v="8.876798273787223E-9"/>
    <n v="9.4232610665749242E-17"/>
    <n v="1.8325588375047761E-6"/>
    <n v="2.213837480407403E-7"/>
    <n v="1.4590298139321682E-6"/>
    <n v="2.4486095567230679E-7"/>
    <n v="5.0929235584882799E-6"/>
  </r>
  <r>
    <x v="0"/>
    <x v="25"/>
    <x v="19"/>
    <n v="1.3888000000000001E-2"/>
    <n v="6.705504000000001E-2"/>
    <n v="5.0380800000000003E-3"/>
    <n v="1.3753600000000001E-4"/>
    <n v="2.8084480000000003E-3"/>
    <n v="4.2442399999999998E-3"/>
    <n v="1.506336E-3"/>
    <n v="2.3176277853145951E-3"/>
    <n v="3.9709949791843953E-3"/>
    <n v="5.6012479166651387E-4"/>
    <n v="2.2093528418216407E-5"/>
    <n v="1.9577728050861425E-2"/>
    <n v="6.7319266643850106E-3"/>
    <n v="4.3222252708714791E-2"/>
    <n v="4.6193820148201607E-2"/>
    <n v="5.5995298941519155E-3"/>
  </r>
  <r>
    <x v="0"/>
    <x v="25"/>
    <x v="20"/>
    <n v="5.6841599999999997E-3"/>
    <n v="2.7192672000000005E-2"/>
    <n v="2.1534719999999996E-3"/>
    <n v="7.8848000000000001E-5"/>
    <n v="1.1413759999999999E-3"/>
    <n v="1.7214399999999999E-3"/>
    <n v="6.3729599999999998E-4"/>
    <n v="9.7090919486158059E-4"/>
    <n v="1.6314868307773865E-3"/>
    <n v="2.3321629101087665E-4"/>
    <n v="1.3924861263829111E-5"/>
    <n v="8.140703818673994E-3"/>
    <n v="2.7498292792629414E-3"/>
    <n v="1.7464406006000712E-2"/>
    <n v="1.9477649324594844E-2"/>
    <n v="2.9777617558282405E-3"/>
  </r>
  <r>
    <x v="0"/>
    <x v="25"/>
    <x v="21"/>
    <n v="3.7993599999999999E-4"/>
    <n v="1.9476287999999999E-3"/>
    <n v="1.345536E-4"/>
    <n v="6.3168E-7"/>
    <n v="7.3407999999999999E-5"/>
    <n v="1.1100319999999999E-4"/>
    <n v="4.5667200000000002E-5"/>
    <n v="6.3510476563643183E-5"/>
    <n v="1.1468241755564434E-4"/>
    <n v="8.5362314408067974E-6"/>
    <n v="2.7253660894683662E-12"/>
    <n v="5.8038256925502588E-4"/>
    <n v="1.7629899143989074E-4"/>
    <n v="1.1735104475685853E-3"/>
    <n v="1.3667988225214437E-4"/>
    <n v="8.2309455181792582E-5"/>
  </r>
  <r>
    <x v="0"/>
    <x v="25"/>
    <x v="3"/>
    <n v="2.6150553805489804E-4"/>
    <n v="2.1831449173307562E-3"/>
    <n v="6.3559651997822044E-5"/>
    <n v="1.9909116927435322E-6"/>
    <n v="6.7741229562197079E-5"/>
    <n v="9.9992302051970689E-5"/>
    <n v="2.8081680114237221E-5"/>
    <n v="7.2595873748709851E-5"/>
    <n v="-1.9621547598663995E-7"/>
    <n v="7.4875793439395326E-6"/>
    <n v="7.9485207096559549E-14"/>
    <n v="1.5457633794352761E-3"/>
    <n v="1.867371914723646E-4"/>
    <n v="1.2306916480517814E-3"/>
    <n v="2.0654021610959095E-4"/>
    <n v="4.2958810215848802E-3"/>
  </r>
  <r>
    <x v="0"/>
    <x v="25"/>
    <x v="24"/>
    <n v="2.3715570312463537E-5"/>
    <n v="8.3026791996841266E-5"/>
    <n v="8.7079574519064576E-6"/>
    <n v="7.7460993703453248E-8"/>
    <n v="5.5550599458231808E-6"/>
    <n v="8.3648093454989315E-6"/>
    <n v="2.9285696388966982E-4"/>
    <n v="4.1023454878872526E-6"/>
    <n v="1.7943678808148528E-6"/>
    <n v="1.0835590770562665E-6"/>
    <n v="1.2523708374990072E-14"/>
    <n v="5.4784217716975737E-5"/>
    <n v="1.290784060024228E-5"/>
    <n v="5.2421372026136024E-5"/>
    <n v="6.4112179140708383E-5"/>
    <n v="1.9435208916779905E-5"/>
  </r>
  <r>
    <x v="0"/>
    <x v="25"/>
    <x v="4"/>
    <n v="4.4141182604908756E-5"/>
    <n v="2.7194082653930296E-4"/>
    <n v="4.300167091836303E-4"/>
    <n v="5.7647703610362435E-6"/>
    <n v="1.3495186600952215E-5"/>
    <n v="1.7416602793235439E-5"/>
    <n v="1.7023785309006974E-5"/>
    <n v="1.0722499497956277E-4"/>
    <n v="1.6531561278352265E-5"/>
    <n v="2.1637290064466715E-6"/>
    <n v="4.3826306004687154E-13"/>
    <n v="5.139469169129093E-5"/>
    <n v="2.9880500707709407E-5"/>
    <n v="2.2652427690420334E-4"/>
    <n v="5.5834075286343709E-6"/>
    <n v="4.9505572191278107E-4"/>
  </r>
  <r>
    <x v="0"/>
    <x v="25"/>
    <x v="1"/>
    <n v="1.9007035035632758E-4"/>
    <n v="7.6828920490554752E-4"/>
    <n v="1.3773193480303287E-4"/>
    <n v="2.0642306311613191E-4"/>
    <n v="5.6667096563586633E-5"/>
    <n v="7.3128852572386776E-5"/>
    <n v="1.3522582164077264E-5"/>
    <n v="2.6623178679275588E-5"/>
    <n v="8.1758653438900549E-5"/>
    <n v="2.8830838409321267E-4"/>
    <n v="3.2465300286591329E-6"/>
    <n v="4.9588707019319336E-4"/>
    <n v="1.1865899964464057E-4"/>
    <n v="4.8916253455365971E-4"/>
    <n v="3.260774003021712E-5"/>
    <n v="4.0018409122801718E-2"/>
  </r>
  <r>
    <x v="0"/>
    <x v="25"/>
    <x v="2"/>
    <n v="1.1285377765166294E-2"/>
    <n v="6.5763789017744725E-2"/>
    <n v="1.1186586851368641E-2"/>
    <n v="7.127006555412039E-6"/>
    <n v="6.9208515985361603E-3"/>
    <n v="1.05054038466867E-2"/>
    <n v="5.8105275475872338E-4"/>
    <n v="1.6747519643115062E-3"/>
    <n v="4.5070491920492507E-5"/>
    <n v="6.7274266280560776E-6"/>
    <n v="2.3511112776566807E-13"/>
    <n v="4.8553676151635123E-3"/>
    <n v="1.5328271602720767E-2"/>
    <n v="4.3770808765119754E-2"/>
    <n v="9.9091082800183936E-5"/>
    <n v="2.4479912791273163E-5"/>
  </r>
  <r>
    <x v="0"/>
    <x v="26"/>
    <x v="31"/>
    <n v="1.380218811221183E-5"/>
    <n v="1.627522124118227E-4"/>
    <n v="3.6335514772702306E-5"/>
    <n v="3.0080937366990227E-7"/>
    <n v="6.1841220628508476E-6"/>
    <n v="8.704535567577127E-6"/>
    <n v="2.1277051067750657E-6"/>
    <n v="7.1341049749797279E-6"/>
    <n v="3.4026751526241851E-6"/>
    <n v="4.2938356878199423E-7"/>
    <n v="1.0775873480545237E-8"/>
    <n v="1.566660983752417E-5"/>
    <n v="1.6012830540994305E-5"/>
    <n v="1.541548140173823E-4"/>
    <n v="1.3155214238276264E-5"/>
    <n v="8.0752287034638173E-6"/>
  </r>
  <r>
    <x v="0"/>
    <x v="26"/>
    <x v="40"/>
    <n v="4.5691998802013139E-4"/>
    <n v="1.5996495258058091E-3"/>
    <n v="1.6777331357339779E-4"/>
    <n v="1.4924151453531982E-6"/>
    <n v="1.0702748828952609E-4"/>
    <n v="1.6116199338994609E-4"/>
    <n v="5.6423775042742947E-3"/>
    <n v="7.9038523066627553E-5"/>
    <n v="3.45714878370329E-5"/>
    <n v="2.0876571551284258E-5"/>
    <n v="2.4129011469147487E-13"/>
    <n v="1.0555092613470647E-3"/>
    <n v="2.4869106223133499E-4"/>
    <n v="1.0099851010368871E-3"/>
    <n v="1.2352279847776442E-3"/>
    <n v="3.7445169179663174E-4"/>
  </r>
  <r>
    <x v="0"/>
    <x v="27"/>
    <x v="36"/>
    <n v="1.9641599999999999E-6"/>
    <n v="2.3957855999999999E-5"/>
    <n v="3.9014399999999992E-7"/>
    <n v="4.1484800000000001E-9"/>
    <n v="5.3516800000000004E-7"/>
    <n v="7.5387199999999996E-7"/>
    <n v="5.5209599999999997E-7"/>
    <n v="8.7636388382045162E-7"/>
    <n v="1.6716156199042575E-7"/>
    <n v="-1.3793157879392166E-9"/>
    <n v="2.5151633185840162E-15"/>
    <n v="4.6464137429406557E-6"/>
    <n v="1.7424454980331623E-6"/>
    <n v="1.204946464773951E-5"/>
    <n v="2.3547853978298455E-6"/>
    <n v="1.6128916098160135E-5"/>
  </r>
  <r>
    <x v="0"/>
    <x v="27"/>
    <x v="3"/>
    <n v="2.0038400000000001E-4"/>
    <n v="1.7690399999999999E-3"/>
    <n v="5.1916799999999991E-5"/>
    <n v="4.8831999999999997E-7"/>
    <n v="6.2515200000000008E-5"/>
    <n v="9.0820800000000003E-5"/>
    <n v="7.3953599999999993E-6"/>
    <n v="5.8247155061709769E-5"/>
    <n v="2.6746385661746361E-5"/>
    <n v="3.54461729034626E-6"/>
    <n v="6.713280431734631E-14"/>
    <n v="3.3030083953045829E-4"/>
    <n v="1.6210074236188028E-4"/>
    <n v="9.5430453148607412E-4"/>
    <n v="2.7286564963160892E-5"/>
    <n v="1.705781078866499E-4"/>
  </r>
  <r>
    <x v="0"/>
    <x v="27"/>
    <x v="22"/>
    <n v="3.3430400000000002E-3"/>
    <n v="1.6949088000000001E-2"/>
    <n v="1.3025279999999998E-3"/>
    <n v="2.5088000000000001E-5"/>
    <n v="6.72512E-4"/>
    <n v="1.0150560000000001E-3"/>
    <n v="3.8851199999999998E-4"/>
    <n v="5.8889248153263379E-4"/>
    <n v="1.2308415332086184E-3"/>
    <n v="1.0686549341293231E-4"/>
    <n v="3.9635821379433274E-6"/>
    <n v="4.7156929285146277E-3"/>
    <n v="1.6153368699521524E-3"/>
    <n v="1.1101977867589766E-2"/>
    <n v="1.2346147444397094E-2"/>
    <n v="1.2157193303507128E-3"/>
  </r>
  <r>
    <x v="0"/>
    <x v="27"/>
    <x v="41"/>
    <n v="3.0156800000000001E-6"/>
    <n v="2.0891519999999999E-5"/>
    <n v="4.5772799999999997E-6"/>
    <n v="3.8841600000000003E-8"/>
    <n v="5.3990400000000012E-7"/>
    <n v="8.0729599999999998E-7"/>
    <n v="3.0365279999999999E-7"/>
    <n v="1.6299040602287071E-6"/>
    <n v="4.3676688428294388E-7"/>
    <n v="2.4572359371722464E-7"/>
    <n v="9.0178994703727483E-14"/>
    <n v="2.1214394538819113E-5"/>
    <n v="1.4026808613846252E-6"/>
    <n v="2.0849668909695242E-5"/>
    <n v="2.601755362140318E-3"/>
    <n v="1.2300615443599408E-7"/>
  </r>
  <r>
    <x v="0"/>
    <x v="27"/>
    <x v="24"/>
    <n v="1.3788800000000001E-5"/>
    <n v="4.8859200000000001E-5"/>
    <n v="5.2223999999999993E-6"/>
    <n v="4.3455999999999996E-8"/>
    <n v="3.2536320000000001E-6"/>
    <n v="4.8912640000000008E-6"/>
    <n v="1.7585279999999997E-4"/>
    <n v="2.4275423473736961E-6"/>
    <n v="1.3704264612369094E-6"/>
    <n v="5.9989840272331308E-7"/>
    <n v="7.709798315213182E-15"/>
    <n v="3.2234928775613279E-5"/>
    <n v="7.5550281237866972E-6"/>
    <n v="3.1255476747080471E-5"/>
    <n v="3.8462177989681125E-5"/>
    <n v="1.1640140142506302E-5"/>
  </r>
  <r>
    <x v="0"/>
    <x v="27"/>
    <x v="4"/>
    <n v="8.0964713358455754E-6"/>
    <n v="7.8761872262899917E-5"/>
    <n v="1.414633920039177E-4"/>
    <n v="1.855569929090985E-6"/>
    <n v="3.3580074737720038E-6"/>
    <n v="4.0592904752607359E-6"/>
    <n v="5.4461412232065934E-6"/>
    <n v="3.4808061331408474E-5"/>
    <n v="9.3856027130403403E-6"/>
    <n v="3.6404240819661418E-8"/>
    <n v="1.4676595312079082E-13"/>
    <n v="8.3707118317142694E-6"/>
    <n v="7.2957212795415853E-6"/>
    <n v="7.1854451907288358E-5"/>
    <n v="1.7673851186568237E-6"/>
    <n v="1.6253395757349955E-4"/>
  </r>
  <r>
    <x v="0"/>
    <x v="27"/>
    <x v="1"/>
    <n v="7.0834837391869598E-5"/>
    <n v="4.669358334978786E-4"/>
    <n v="6.8205560792713104E-5"/>
    <n v="1.7803260081234747E-4"/>
    <n v="7.3748381619971407E-6"/>
    <n v="1.3530842511344921E-5"/>
    <n v="3.4091018138214993E-5"/>
    <n v="5.1237526013160393E-6"/>
    <n v="-1.3114546047261928E-4"/>
    <n v="-1.9197632963890441E-3"/>
    <n v="2.5718577180791451E-6"/>
    <n v="2.1945779059787734E-4"/>
    <n v="1.0290023885597601E-4"/>
    <n v="-8.2780304923004547E-5"/>
    <n v="6.210578480877747E-5"/>
    <n v="2.8554999499387317E-2"/>
  </r>
  <r>
    <x v="0"/>
    <x v="27"/>
    <x v="2"/>
    <n v="2.7509793264946596E-5"/>
    <n v="1.0729542242385083E-4"/>
    <n v="1.8307678279240458E-5"/>
    <n v="2.1316383881943316E-7"/>
    <n v="1.824659621007102E-5"/>
    <n v="2.798684422926029E-5"/>
    <n v="1.0378659476593699E-6"/>
    <n v="3.6601413343360973E-6"/>
    <n v="1.7335234485828941E-7"/>
    <n v="1.8264239388448419E-6"/>
    <n v="9.5615936039092678E-16"/>
    <n v="1.377495689514588E-5"/>
    <n v="2.7371178189678801E-5"/>
    <n v="7.0197262046850899E-5"/>
    <n v="4.3482887473447744E-7"/>
    <n v="2.835272681306878E-7"/>
  </r>
  <r>
    <x v="0"/>
    <x v="28"/>
    <x v="19"/>
    <n v="1.3491199999999998E-2"/>
    <n v="6.7392000000000007E-2"/>
    <n v="5.1609599999999992E-3"/>
    <n v="7.7504000000000009E-5"/>
    <n v="2.6568960000000002E-3"/>
    <n v="4.0068000000000005E-3"/>
    <n v="1.5847199999999997E-3"/>
    <n v="2.3897068026821175E-3"/>
    <n v="4.837396795510665E-3"/>
    <n v="4.0996695696499124E-4"/>
    <n v="1.1248225742438043E-5"/>
    <n v="1.9059782804468368E-2"/>
    <n v="6.3768590782409479E-3"/>
    <n v="4.3760163732019006E-2"/>
    <n v="5.0740846900581178E-2"/>
    <n v="4.2959558601558048E-3"/>
  </r>
  <r>
    <x v="0"/>
    <x v="28"/>
    <x v="20"/>
    <n v="2.5990400000000004E-4"/>
    <n v="1.4522976000000002E-3"/>
    <n v="2.5343999999999996E-4"/>
    <n v="5.5104000000000006E-5"/>
    <n v="9.1878400000000004E-5"/>
    <n v="1.3890239999999999E-4"/>
    <n v="3.6806400000000001E-5"/>
    <n v="5.3437090373189323E-5"/>
    <n v="6.2664763939277392E-5"/>
    <n v="4.5058977503575887E-5"/>
    <n v="1.1246478791562538E-5"/>
    <n v="5.4526005483253965E-4"/>
    <n v="2.3642417951635011E-4"/>
    <n v="1.0299650787550484E-3"/>
    <n v="4.7678595870810246E-4"/>
    <n v="1.5620240668579634E-3"/>
  </r>
  <r>
    <x v="0"/>
    <x v="28"/>
    <x v="3"/>
    <n v="1.5872000000000003E-4"/>
    <n v="1.3983840000000001E-3"/>
    <n v="4.1164799999999996E-5"/>
    <n v="3.8617599999999998E-7"/>
    <n v="4.9254400000000001E-5"/>
    <n v="7.1825599999999999E-5"/>
    <n v="5.8276799999999996E-6"/>
    <n v="4.6064398332929973E-5"/>
    <n v="2.1152211842510703E-5"/>
    <n v="2.8032384178646174E-6"/>
    <n v="5.3091558480489177E-14"/>
    <n v="2.6121635341181255E-4"/>
    <n v="1.2819635840257573E-4"/>
    <n v="7.5470577099812032E-4"/>
    <n v="2.1579409265032022E-5"/>
    <n v="1.3490062991477453E-4"/>
  </r>
  <r>
    <x v="0"/>
    <x v="28"/>
    <x v="24"/>
    <n v="6.1107200000000003E-6"/>
    <n v="2.1801312E-5"/>
    <n v="2.3224319999999996E-6"/>
    <n v="1.93088E-8"/>
    <n v="1.44448E-6"/>
    <n v="2.1725759999999999E-6"/>
    <n v="7.8043199999999998E-5"/>
    <n v="1.078907709943866E-6"/>
    <n v="6.0907842721640316E-7"/>
    <n v="2.6662151232147348E-7"/>
    <n v="3.426577028983639E-15"/>
    <n v="1.4326635011383669E-5"/>
    <n v="3.3577902772385326E-6"/>
    <n v="1.3891322998702489E-5"/>
    <n v="1.7094301328747222E-5"/>
    <n v="5.1733956188914593E-6"/>
  </r>
  <r>
    <x v="0"/>
    <x v="28"/>
    <x v="27"/>
    <n v="5.0889600000000001E-5"/>
    <n v="4.4815680000000007E-4"/>
    <n v="9.2467199999999995E-5"/>
    <n v="1.4739200000000001E-5"/>
    <n v="1.6339200000000001E-5"/>
    <n v="2.2675520000000001E-5"/>
    <n v="8.2473599999999989E-6"/>
    <n v="2.630181054717662E-5"/>
    <n v="7.5223659639591764E-5"/>
    <n v="2.6610809736806834E-6"/>
    <n v="2.477562477317132E-7"/>
    <n v="5.8738227394771597E-5"/>
    <n v="4.6946687794264306E-5"/>
    <n v="6.7210431185793517E-4"/>
    <n v="1.3295155717789211E-5"/>
    <n v="1.8361358660420426E-4"/>
  </r>
  <r>
    <x v="0"/>
    <x v="28"/>
    <x v="4"/>
    <n v="7.9360000000000013E-5"/>
    <n v="7.7163840000000008E-4"/>
    <n v="1.385472E-3"/>
    <n v="1.8188799999999998E-5"/>
    <n v="3.29152E-5"/>
    <n v="3.9771200000000003E-5"/>
    <n v="5.3505599999999998E-5"/>
    <n v="3.4102978974540982E-4"/>
    <n v="9.1954851762282377E-5"/>
    <n v="3.5666825780290762E-7"/>
    <n v="1.4379301868617631E-12"/>
    <n v="8.2011522239334634E-5"/>
    <n v="7.1479369974509875E-5"/>
    <n v="7.0398946936188543E-4"/>
    <n v="1.7315844444081012E-5"/>
    <n v="1.5924162178996258E-3"/>
  </r>
  <r>
    <x v="0"/>
    <x v="28"/>
    <x v="1"/>
    <n v="1.3987618220450135E-6"/>
    <n v="8.730275034867864E-6"/>
    <n v="1.6910180911645316E-6"/>
    <n v="8.4017882731431042E-8"/>
    <n v="7.6598866476940684E-7"/>
    <n v="1.0629046660732499E-6"/>
    <n v="1.6693120940737488E-7"/>
    <n v="7.1818858126652605E-7"/>
    <n v="-2.3898807731246809E-6"/>
    <n v="2.8280616097759544E-5"/>
    <n v="-2.8901794805962419E-17"/>
    <n v="1.920149294114681E-6"/>
    <n v="1.7428781393768404E-6"/>
    <n v="1.1612925787580934E-6"/>
    <n v="4.3643934086920796E-8"/>
    <n v="3.612557792772156E-7"/>
  </r>
  <r>
    <x v="0"/>
    <x v="28"/>
    <x v="29"/>
    <n v="2.0623564961606579E-5"/>
    <n v="1.947486662899541E-5"/>
    <n v="2.0760120337846668E-6"/>
    <n v="3.2138474008194447E-6"/>
    <n v="5.5789599575703892E-6"/>
    <n v="1.7178138638562894E-5"/>
    <n v="1.0982993365038058E-7"/>
    <n v="3.9131259613442971E-7"/>
    <n v="1.6882484377562549E-7"/>
    <n v="8.5204308111855534E-6"/>
    <n v="1.1352619771217454E-8"/>
    <n v="1.9372757661570253E-5"/>
    <n v="8.9140863132014184E-7"/>
    <n v="1.5723263304417844E-6"/>
    <n v="3.261244070352802E-7"/>
    <n v="7.1342079014653648E-5"/>
  </r>
  <r>
    <x v="0"/>
    <x v="28"/>
    <x v="2"/>
    <n v="2.3144598881560571E-5"/>
    <n v="9.0270017295691749E-5"/>
    <n v="1.5402655561414011E-5"/>
    <n v="1.7933946278745281E-7"/>
    <n v="1.5351265862619598E-5"/>
    <n v="2.3545952432594769E-5"/>
    <n v="8.7317962807138811E-7"/>
    <n v="3.0793580386869295E-6"/>
    <n v="1.4584517041919883E-7"/>
    <n v="1.5366109459683652E-6"/>
    <n v="8.0443806501795217E-16"/>
    <n v="1.1589176584441243E-5"/>
    <n v="2.3027978946066637E-5"/>
    <n v="5.9058512618063323E-5"/>
    <n v="3.6583117113691488E-7"/>
    <n v="2.3853777560846558E-7"/>
  </r>
  <r>
    <x v="0"/>
    <x v="29"/>
    <x v="19"/>
    <n v="4.7599475436448683E-3"/>
    <n v="2.5028296612749322E-2"/>
    <n v="1.8829856317007707E-3"/>
    <n v="3.6101858053300977E-5"/>
    <n v="1.0035352638019506E-3"/>
    <n v="1.513841329989978E-3"/>
    <n v="5.3899768753196467E-4"/>
    <n v="8.1877504493564417E-4"/>
    <n v="1.8996616646505056E-3"/>
    <n v="1.5727602583430795E-4"/>
    <n v="5.5976878678438751E-6"/>
    <n v="6.5829924317311935E-3"/>
    <n v="2.3922803016785516E-3"/>
    <n v="1.6786228179175536E-2"/>
    <n v="1.6786686964744418E-2"/>
    <n v="1.6940286503631015E-3"/>
  </r>
  <r>
    <x v="0"/>
    <x v="29"/>
    <x v="20"/>
    <n v="1.3651913296087751E-3"/>
    <n v="6.6716227334385576E-3"/>
    <n v="5.1571192897462885E-4"/>
    <n v="7.2873534164858559E-6"/>
    <n v="2.609294865324965E-4"/>
    <n v="3.9350637142543951E-4"/>
    <n v="1.6239301092336938E-4"/>
    <n v="2.4440707367109909E-4"/>
    <n v="4.6592480573927727E-4"/>
    <n v="4.0279304199627292E-5"/>
    <n v="1.0444206395216875E-6"/>
    <n v="1.9442330553773998E-3"/>
    <n v="6.2870808420535196E-4"/>
    <n v="4.2657507991517955E-3"/>
    <n v="5.2538084765403684E-3"/>
    <n v="4.2645324202427451E-4"/>
  </r>
  <r>
    <x v="0"/>
    <x v="29"/>
    <x v="42"/>
    <n v="2.6223823095245403E-5"/>
    <n v="1.23979989044519E-4"/>
    <n v="9.497292937929001E-6"/>
    <n v="3.9832998276551423E-8"/>
    <n v="4.7440470754817733E-6"/>
    <n v="7.1532204393691722E-6"/>
    <n v="3.1711709638854434E-6"/>
    <n v="4.7590670941245174E-6"/>
    <n v="8.3769529058131425E-6"/>
    <n v="6.8317847512454649E-7"/>
    <n v="1.3223357258713309E-13"/>
    <n v="3.75322307619549E-5"/>
    <n v="1.1466883608270996E-5"/>
    <n v="7.7389270981987189E-5"/>
    <n v="1.0506258115112362E-4"/>
    <n v="5.6247654845301779E-6"/>
  </r>
  <r>
    <x v="0"/>
    <x v="29"/>
    <x v="3"/>
    <n v="1.6300228402320081E-5"/>
    <n v="1.4377512155535263E-4"/>
    <n v="4.2244248869457712E-6"/>
    <n v="3.9707058948035497E-8"/>
    <n v="5.0685467254990149E-6"/>
    <n v="7.395955649678816E-6"/>
    <n v="6.0028558188075999E-7"/>
    <n v="4.7365422822474244E-6"/>
    <n v="2.1749626475308911E-6"/>
    <n v="2.8824119654124208E-7"/>
    <n v="5.4591055277819887E-15"/>
    <n v="2.685940438876979E-5"/>
    <n v="1.3181708520653212E-5"/>
    <n v="7.760213797112192E-5"/>
    <n v="2.2188889491405351E-6"/>
    <n v="1.3871070948871288E-5"/>
  </r>
  <r>
    <x v="0"/>
    <x v="29"/>
    <x v="23"/>
    <n v="2.0210453691335072E-6"/>
    <n v="2.1325164376531368E-5"/>
    <n v="9.2648521687156532E-6"/>
    <n v="4.3140707763137424E-7"/>
    <n v="8.089557070354577E-7"/>
    <n v="1.1924990501296549E-6"/>
    <n v="3.0778159869897132E-7"/>
    <n v="1.6214471698390104E-6"/>
    <n v="1.4361946202888802E-6"/>
    <n v="9.5658153433730253E-9"/>
    <n v="1.2433711467533493E-14"/>
    <n v="1.5073238773658992E-6"/>
    <n v="1.7045982680709064E-6"/>
    <n v="1.7522484908058225E-5"/>
    <n v="-1.8593849721597998E-8"/>
    <n v="-3.1134497190381831E-7"/>
  </r>
  <r>
    <x v="0"/>
    <x v="29"/>
    <x v="24"/>
    <n v="7.1324799999999993E-6"/>
    <n v="2.5406784000000002E-5"/>
    <n v="2.7095039999999997E-6"/>
    <n v="2.25344E-8"/>
    <n v="1.6860160000000001E-6"/>
    <n v="2.5346720000000001E-6"/>
    <n v="9.0993599999999989E-5"/>
    <n v="1.2587256616011775E-6"/>
    <n v="7.1059149841913614E-7"/>
    <n v="3.1105843104172178E-7"/>
    <n v="3.9976732004809073E-15"/>
    <n v="1.6714407513280942E-5"/>
    <n v="3.9174219901116181E-6"/>
    <n v="1.6206543498486149E-5"/>
    <n v="1.9943351550205093E-5"/>
    <n v="6.0356282220401718E-6"/>
  </r>
  <r>
    <x v="0"/>
    <x v="29"/>
    <x v="27"/>
    <n v="6.6067199999999995E-6"/>
    <n v="5.8294080000000007E-5"/>
    <n v="1.201152E-5"/>
    <n v="1.9174399999999999E-6"/>
    <n v="2.1264640000000002E-6"/>
    <n v="2.9501919999999999E-6"/>
    <n v="1.0735199999999999E-6"/>
    <n v="3.4180767010647883E-6"/>
    <n v="9.7757619355416566E-6"/>
    <n v="3.4582329834176356E-7"/>
    <n v="3.219739783297599E-8"/>
    <n v="7.6333819742104077E-6"/>
    <n v="6.1010012772281788E-6"/>
    <n v="8.734395242206646E-5"/>
    <n v="1.7277845536333936E-6"/>
    <n v="2.3861677554290828E-5"/>
  </r>
  <r>
    <x v="0"/>
    <x v="29"/>
    <x v="4"/>
    <n v="1.0812800000000001E-5"/>
    <n v="1.0479456E-4"/>
    <n v="1.8862079999999997E-4"/>
    <n v="2.47296E-6"/>
    <n v="4.4755199999999995E-6"/>
    <n v="5.4076959999999998E-6"/>
    <n v="7.2590399999999997E-6"/>
    <n v="4.638527791556324E-5"/>
    <n v="1.2507269109429177E-5"/>
    <n v="4.8512349241391711E-8"/>
    <n v="1.9558054265744299E-13"/>
    <n v="1.1154823906116394E-5"/>
    <n v="9.7222897858049674E-6"/>
    <n v="9.5753356943857883E-5"/>
    <n v="2.3552202213213693E-6"/>
    <n v="2.1659301048060085E-4"/>
  </r>
  <r>
    <x v="0"/>
    <x v="29"/>
    <x v="1"/>
    <n v="8.3427199999999997E-7"/>
    <n v="3.1842719999999998E-6"/>
    <n v="2.4176639999999999E-7"/>
    <n v="1.8995200000000001E-7"/>
    <n v="4.1108479999999999E-7"/>
    <n v="5.7282400000000007E-7"/>
    <n v="6.3388800000000002E-8"/>
    <n v="2.8905856709801009E-7"/>
    <n v="-1.178777590743057E-6"/>
    <n v="1.5278687584077147E-5"/>
    <n v="2.3375009717479309E-9"/>
    <n v="1.423746537871927E-6"/>
    <n v="9.0467767457058109E-7"/>
    <n v="-6.2880757101395652E-7"/>
    <n v="3.4622196397316759E-8"/>
    <n v="2.9243471534198841E-5"/>
  </r>
  <r>
    <x v="0"/>
    <x v="29"/>
    <x v="43"/>
    <n v="2.3807999999999997E-7"/>
    <n v="1.9577376000000004E-6"/>
    <n v="2.0367360000000001E-7"/>
    <n v="2.7910400000000003E-9"/>
    <n v="7.6723200000000002E-8"/>
    <n v="1.151584E-7"/>
    <n v="3.9532799999999998E-7"/>
    <n v="2.8722663853567372E-6"/>
    <n v="1.7464561828643912E-7"/>
    <n v="1.9686224757242127E-7"/>
    <n v="1.117166316033959E-15"/>
    <n v="3.4365644761053348E-7"/>
    <n v="1.9980476102015344E-7"/>
    <n v="1.5371578901050645E-6"/>
    <n v="1.3786036980700374E-6"/>
    <n v="7.7183984219724323E-8"/>
  </r>
  <r>
    <x v="0"/>
    <x v="29"/>
    <x v="2"/>
    <n v="1.7657599999999998E-5"/>
    <n v="6.9076800000000002E-5"/>
    <n v="1.1765759999999999E-5"/>
    <n v="1.3708800000000002E-7"/>
    <n v="1.1745280000000001E-5"/>
    <n v="1.7986080000000002E-5"/>
    <n v="6.6796799999999996E-7"/>
    <n v="2.3552765503833044E-6"/>
    <n v="1.1155107836095344E-7"/>
    <n v="1.1752916298245169E-6"/>
    <n v="6.1528217471600535E-16"/>
    <n v="8.8640929390675834E-6"/>
    <n v="1.7613170710580538E-5"/>
    <n v="4.5171470196805887E-5"/>
    <n v="2.7980948235088926E-7"/>
    <n v="1.8244790706791944E-7"/>
  </r>
  <r>
    <x v="0"/>
    <x v="30"/>
    <x v="19"/>
    <n v="3.5116800000000001E-4"/>
    <n v="1.6612127999999999E-3"/>
    <n v="1.2748799999999998E-4"/>
    <n v="5.3312000000000005E-7"/>
    <n v="6.3462400000000011E-5"/>
    <n v="9.6163200000000008E-5"/>
    <n v="4.2599999999999999E-5"/>
    <n v="6.3814763307578598E-5"/>
    <n v="1.1232732305522155E-4"/>
    <n v="9.160802280079136E-6"/>
    <n v="1.7731319960547347E-12"/>
    <n v="5.0327309430803148E-4"/>
    <n v="1.5376048474727017E-4"/>
    <n v="1.0377197699857372E-3"/>
    <n v="1.4087937017991639E-3"/>
    <n v="7.5422991724369276E-5"/>
  </r>
  <r>
    <x v="0"/>
    <x v="30"/>
    <x v="20"/>
    <n v="2.3014400000000001E-5"/>
    <n v="1.0883808E-4"/>
    <n v="8.3558399999999999E-6"/>
    <n v="3.4988800000000006E-8"/>
    <n v="4.1676800000000002E-6"/>
    <n v="6.2921600000000002E-6"/>
    <n v="2.787744E-6"/>
    <n v="4.1822104766548698E-6"/>
    <n v="7.3615646748054558E-6"/>
    <n v="6.0036896298823341E-7"/>
    <n v="1.1620526075839021E-13"/>
    <n v="3.2982869457475482E-5"/>
    <n v="1.0076958322419964E-5"/>
    <n v="6.8008753287200863E-5"/>
    <n v="9.2327722829775309E-5"/>
    <n v="4.9429757288294621E-6"/>
  </r>
  <r>
    <x v="0"/>
    <x v="30"/>
    <x v="24"/>
    <n v="4.7814399999999997E-7"/>
    <n v="1.5702336000000001E-6"/>
    <n v="1.8462719999999999E-7"/>
    <n v="1.64864E-9"/>
    <n v="1.174528E-7"/>
    <n v="1.7689280000000001E-7"/>
    <n v="7.1567999999999998E-6"/>
    <n v="8.2125256276786668E-8"/>
    <n v="3.2566768052933453E-8"/>
    <n v="2.2535928286399886E-8"/>
    <n v="3.7757275789215924E-15"/>
    <n v="1.1883048014056355E-6"/>
    <n v="2.7005148759551298E-7"/>
    <n v="1.0201516554792229E-6"/>
    <n v="1.2490344945607354E-6"/>
    <n v="3.9760064909747654E-7"/>
  </r>
  <r>
    <x v="0"/>
    <x v="30"/>
    <x v="4"/>
    <n v="1.06144E-6"/>
    <n v="1.0277280000000001E-5"/>
    <n v="1.8585599999999997E-5"/>
    <n v="2.4371200000000001E-7"/>
    <n v="4.3665920000000006E-7"/>
    <n v="5.2652320000000005E-7"/>
    <n v="7.1567999999999996E-7"/>
    <n v="4.5736420705368563E-6"/>
    <n v="1.2498485795147343E-6"/>
    <n v="4.9170849677182667E-9"/>
    <n v="1.9293406093214838E-14"/>
    <n v="1.0989688491591894E-6"/>
    <n v="9.4960537002944898E-7"/>
    <n v="9.4819825611732044E-6"/>
    <n v="2.323612000361459E-7"/>
    <n v="2.135170036518718E-5"/>
  </r>
  <r>
    <x v="0"/>
    <x v="30"/>
    <x v="1"/>
    <n v="2.7676799999999999E-5"/>
    <n v="1.078272E-4"/>
    <n v="2.1043199999999999E-5"/>
    <n v="5.1520000000000001E-5"/>
    <n v="9.6140800000000003E-6"/>
    <n v="1.2643679999999999E-5"/>
    <n v="2.2663199999999999E-6"/>
    <n v="3.9446214627756963E-6"/>
    <n v="8.3957910151905844E-6"/>
    <n v="1.8217345671279876E-4"/>
    <n v="4.5643208571552241E-7"/>
    <n v="6.4153904548403852E-5"/>
    <n v="2.0315249218759715E-5"/>
    <n v="6.1620260778971113E-5"/>
    <n v="1.0304678209111265E-5"/>
    <n v="4.3271487184060597E-3"/>
  </r>
  <r>
    <x v="0"/>
    <x v="30"/>
    <x v="29"/>
    <n v="1.8664326290254024E-3"/>
    <n v="1.7624754299240828E-3"/>
    <n v="1.8787908905751243E-4"/>
    <n v="2.9085318977415992E-4"/>
    <n v="5.0489587616012101E-4"/>
    <n v="1.5546215467899408E-3"/>
    <n v="9.9396089953594691E-6"/>
    <n v="3.5413789950166032E-5"/>
    <n v="1.5278648361694118E-5"/>
    <n v="7.7109898841229267E-4"/>
    <n v="1.0274120892951832E-6"/>
    <n v="1.7532345683720948E-3"/>
    <n v="8.0672481134472273E-5"/>
    <n v="1.4229553290498058E-4"/>
    <n v="2.9514258836692869E-5"/>
    <n v="6.456458150826158E-3"/>
  </r>
  <r>
    <x v="0"/>
    <x v="30"/>
    <x v="2"/>
    <n v="3.6907332645744735E-6"/>
    <n v="1.4394829538063613E-5"/>
    <n v="2.4561710286793605E-6"/>
    <n v="2.8598210941037474E-8"/>
    <n v="2.447976215203976E-6"/>
    <n v="3.7547347583673623E-6"/>
    <n v="1.3924082745021609E-7"/>
    <n v="4.9104714257853277E-7"/>
    <n v="2.3257072835793135E-8"/>
    <n v="2.450343236457213E-7"/>
    <n v="1.2827901408207459E-16"/>
    <n v="1.848057931274068E-6"/>
    <n v="3.6721365683239774E-6"/>
    <n v="9.4177141799348681E-6"/>
    <n v="5.8336948479541395E-8"/>
    <n v="3.8038218238347669E-8"/>
  </r>
  <r>
    <x v="0"/>
    <x v="31"/>
    <x v="21"/>
    <n v="9.1660799999999996E-4"/>
    <n v="5.5261440000000002E-3"/>
    <n v="6.4204799999999988E-4"/>
    <n v="2.4371200000000001E-6"/>
    <n v="1.970176E-4"/>
    <n v="2.926448E-4"/>
    <n v="1.1928E-4"/>
    <n v="2.3388781777829542E-4"/>
    <n v="2.9877915962940582E-4"/>
    <n v="2.009525726695215E-5"/>
    <n v="6.3287594224089152E-12"/>
    <n v="1.3706140437817196E-3"/>
    <n v="5.6608557699553298E-4"/>
    <n v="3.9972719698352756E-3"/>
    <n v="3.1231424168210207E-4"/>
    <n v="2.2152680045747859E-4"/>
  </r>
  <r>
    <x v="0"/>
    <x v="31"/>
    <x v="3"/>
    <n v="3.7894399999999999E-6"/>
    <n v="3.3426432000000003E-5"/>
    <n v="9.8303999999999978E-7"/>
    <n v="9.2288000000000002E-9"/>
    <n v="1.1792639999999999E-6"/>
    <n v="1.7214400000000002E-6"/>
    <n v="1.3972799999999999E-7"/>
    <n v="1.1014635956543748E-6"/>
    <n v="5.0577869580985212E-7"/>
    <n v="6.7029315023319388E-8"/>
    <n v="1.2694927323301134E-15"/>
    <n v="6.2460449780154239E-6"/>
    <n v="3.0653525713144003E-6"/>
    <n v="1.8046060781617623E-5"/>
    <n v="5.1599357815052264E-7"/>
    <n v="3.2256609932913325E-6"/>
  </r>
  <r>
    <x v="0"/>
    <x v="31"/>
    <x v="1"/>
    <n v="4.2060799999999999E-10"/>
    <n v="1.6072992000000002E-9"/>
    <n v="1.2257279999999998E-10"/>
    <n v="9.632000000000001E-11"/>
    <n v="2.074368E-10"/>
    <n v="2.8908319999999998E-10"/>
    <n v="3.2103359999999999E-11"/>
    <n v="1.4587517661909263E-10"/>
    <n v="-5.9411299369749807E-10"/>
    <n v="7.7043707305872082E-9"/>
    <n v="1.1882296636162024E-12"/>
    <n v="7.1930839024012881E-10"/>
    <n v="4.5654264089688571E-10"/>
    <n v="-3.1484253799032718E-10"/>
    <n v="1.7559202370080932E-11"/>
    <n v="1.4863542194658521E-8"/>
  </r>
  <r>
    <x v="0"/>
    <x v="31"/>
    <x v="2"/>
    <n v="5.8726399999999997E-6"/>
    <n v="2.2879584000000003E-5"/>
    <n v="3.9014399999999999E-6"/>
    <n v="4.5696000000000001E-8"/>
    <n v="3.8929919999999996E-6"/>
    <n v="5.99536E-6"/>
    <n v="2.2152000000000001E-7"/>
    <n v="7.810245905520522E-7"/>
    <n v="3.699104263927085E-8"/>
    <n v="3.8973413284039506E-7"/>
    <n v="2.0403145800578659E-16"/>
    <n v="2.9393892437913149E-6"/>
    <n v="5.8406387310720787E-6"/>
    <n v="1.4979145021994515E-5"/>
    <n v="9.2786592873826133E-8"/>
    <n v="6.0500879139484692E-8"/>
  </r>
  <r>
    <x v="0"/>
    <x v="31"/>
    <x v="30"/>
    <n v="1.6070399999999999E-6"/>
    <n v="1.9004544000000001E-5"/>
    <n v="4.2393599999999993E-6"/>
    <n v="3.5078400000000007E-8"/>
    <n v="7.1987200000000006E-7"/>
    <n v="1.0150560000000001E-6"/>
    <n v="2.4810239999999998E-7"/>
    <n v="8.3231224708096578E-7"/>
    <n v="3.9697876780615469E-7"/>
    <n v="5.0094749691232601E-8"/>
    <n v="1.257185239396941E-9"/>
    <n v="1.8277711477111582E-6"/>
    <n v="1.8681635631159959E-6"/>
    <n v="1.7984728302027999E-5"/>
    <n v="1.5347749944655662E-6"/>
    <n v="9.4211001540413261E-7"/>
  </r>
  <r>
    <x v="0"/>
    <x v="32"/>
    <x v="21"/>
    <n v="8.6998399999999997E-5"/>
    <n v="4.4815680000000007E-4"/>
    <n v="3.0719999999999997E-5"/>
    <n v="1.4470400000000002E-7"/>
    <n v="1.6860159999999999E-5"/>
    <n v="2.5524800000000003E-5"/>
    <n v="1.0496640000000002E-5"/>
    <n v="1.456053253011983E-5"/>
    <n v="2.6292229922118872E-5"/>
    <n v="1.9569954229385246E-6"/>
    <n v="6.2481119924346682E-13"/>
    <n v="1.3305514431687345E-4"/>
    <n v="4.0417403126622337E-5"/>
    <n v="2.6903696145954599E-4"/>
    <n v="3.1334920109210592E-5"/>
    <n v="1.8870062799726618E-5"/>
  </r>
  <r>
    <x v="0"/>
    <x v="32"/>
    <x v="22"/>
    <n v="8.12448E-7"/>
    <n v="3.7739520000000006E-6"/>
    <n v="2.8784639999999999E-7"/>
    <n v="1.3171200000000001E-9"/>
    <n v="1.4681600000000001E-7"/>
    <n v="2.2141280000000001E-7"/>
    <n v="9.6446399999999997E-8"/>
    <n v="1.4546841160291456E-7"/>
    <n v="2.4296536394643149E-7"/>
    <n v="2.2563009275204672E-8"/>
    <n v="3.9998345019925405E-15"/>
    <n v="1.1608811355484443E-6"/>
    <n v="3.5450636725382054E-7"/>
    <n v="2.352438552163295E-6"/>
    <n v="3.1839045616238936E-6"/>
    <n v="1.7122466883490006E-7"/>
  </r>
  <r>
    <x v="0"/>
    <x v="32"/>
    <x v="33"/>
    <n v="1.5872E-5"/>
    <n v="5.1554880000000002E-5"/>
    <n v="4.2393599999999993E-6"/>
    <n v="3.8348800000000005E-7"/>
    <n v="2.7895040000000003E-6"/>
    <n v="4.1670719999999995E-6"/>
    <n v="7.6339199999999989E-4"/>
    <n v="3.2246000728692107E-6"/>
    <n v="0"/>
    <n v="0"/>
    <n v="0"/>
    <n v="2.0452630276071958E-5"/>
    <n v="6.644515061454168E-6"/>
    <n v="6.6515841241978146E-5"/>
    <n v="2.4907705624854871E-7"/>
    <n v="1.8911743259459915E-5"/>
  </r>
  <r>
    <x v="0"/>
    <x v="32"/>
    <x v="28"/>
    <n v="6.3984000000000004E-6"/>
    <n v="5.9641920000000004E-5"/>
    <n v="2.4238079999999996E-5"/>
    <n v="2.67008E-7"/>
    <n v="2.3016960000000002E-6"/>
    <n v="3.223248E-6"/>
    <n v="1.121232E-6"/>
    <n v="4.8706007064602424E-6"/>
    <n v="1.1740148577057126E-6"/>
    <n v="1.931948368244624E-7"/>
    <n v="1.4008616643723778E-8"/>
    <n v="1.1426229561537953E-5"/>
    <n v="5.6651403547507802E-6"/>
    <n v="6.5859823192177124E-5"/>
    <n v="1.6589819896668096E-5"/>
    <n v="5.0618860889677996E-6"/>
  </r>
  <r>
    <x v="0"/>
    <x v="32"/>
    <x v="1"/>
    <n v="2.9958399999999999E-7"/>
    <n v="1.09512E-6"/>
    <n v="8.6015999999999994E-8"/>
    <n v="1.1558400000000001E-7"/>
    <n v="1.368704E-7"/>
    <n v="1.8876480000000003E-7"/>
    <n v="2.1538559999999997E-8"/>
    <n v="8.9485959211975774E-8"/>
    <n v="-3.2428675227602434E-7"/>
    <n v="4.6052875415578908E-6"/>
    <n v="1.6232648014021451E-9"/>
    <n v="5.6512497739814929E-7"/>
    <n v="2.9822366156471933E-7"/>
    <n v="-9.8466867491556881E-8"/>
    <n v="1.9203976132049363E-8"/>
    <n v="2.0144375904728435E-5"/>
  </r>
  <r>
    <x v="0"/>
    <x v="32"/>
    <x v="2"/>
    <n v="2.7116920423857915E-4"/>
    <n v="1.5681706020110532E-3"/>
    <n v="2.6676259251785133E-4"/>
    <n v="2.1566451320005314E-7"/>
    <n v="1.6660890165423584E-4"/>
    <n v="2.5296722245504938E-4"/>
    <n v="1.3875879844484032E-5"/>
    <n v="4.0145755156304373E-5"/>
    <n v="1.0973719037569592E-6"/>
    <n v="5.7224453277277587E-7"/>
    <n v="5.7362275671933546E-15"/>
    <n v="1.1710647224268726E-4"/>
    <n v="3.6604630375056287E-4"/>
    <n v="1.0434610879690436E-3"/>
    <n v="2.424841495422868E-6"/>
    <n v="6.3899250765864294E-7"/>
  </r>
  <r>
    <x v="0"/>
    <x v="33"/>
    <x v="21"/>
    <n v="1.4086400000000001E-4"/>
    <n v="7.2446399999999997E-4"/>
    <n v="4.9766399999999998E-5"/>
    <n v="2.3475199999999998E-7"/>
    <n v="2.7326720000000002E-5"/>
    <n v="4.1255199999999998E-5"/>
    <n v="1.6971839999999998E-5"/>
    <n v="2.3573757676461467E-5"/>
    <n v="4.2567709573055614E-5"/>
    <n v="3.1684701854523046E-6"/>
    <n v="1.0115987668332336E-12"/>
    <n v="2.1542584448330589E-4"/>
    <n v="6.5438490272448594E-5"/>
    <n v="4.3558248053855774E-4"/>
    <n v="5.0732707386167256E-5"/>
    <n v="3.0551544499794651E-5"/>
  </r>
  <r>
    <x v="0"/>
    <x v="33"/>
    <x v="3"/>
    <n v="2.8966399999999998E-6"/>
    <n v="2.3755680000000002E-5"/>
    <n v="7.1884799999999995E-7"/>
    <n v="2.2579200000000001E-8"/>
    <n v="7.5302400000000006E-7"/>
    <n v="1.115968E-6"/>
    <n v="2.8524959999999997E-7"/>
    <n v="7.779146952356498E-7"/>
    <n v="2.1503074560028411E-8"/>
    <n v="8.7190329008274881E-8"/>
    <n v="6.8118853953764606E-14"/>
    <n v="1.734129982817448E-5"/>
    <n v="2.0564104643391801E-6"/>
    <n v="1.3557526096566467E-5"/>
    <n v="2.1987246284843794E-6"/>
    <n v="4.7822713807395886E-5"/>
  </r>
  <r>
    <x v="0"/>
    <x v="33"/>
    <x v="33"/>
    <n v="2.4502400000000001E-5"/>
    <n v="7.952256E-5"/>
    <n v="6.5126399999999995E-6"/>
    <n v="5.9136000000000002E-7"/>
    <n v="4.2955520000000004E-6"/>
    <n v="6.4108800000000002E-6"/>
    <n v="1.1757599999999999E-3"/>
    <n v="4.9609231890295254E-6"/>
    <n v="0"/>
    <n v="0"/>
    <n v="0"/>
    <n v="3.1465585040110735E-5"/>
    <n v="1.0222330863775655E-5"/>
    <n v="1.0233206344919714E-4"/>
    <n v="3.8319547115161225E-7"/>
    <n v="2.909498962993833E-5"/>
  </r>
  <r>
    <x v="0"/>
    <x v="33"/>
    <x v="28"/>
    <n v="6.3984000000000004E-6"/>
    <n v="5.9641920000000004E-5"/>
    <n v="2.4238079999999996E-5"/>
    <n v="2.67008E-7"/>
    <n v="2.3016960000000002E-6"/>
    <n v="3.223248E-6"/>
    <n v="1.121232E-6"/>
    <n v="4.8706007064602424E-6"/>
    <n v="1.1740148577057126E-6"/>
    <n v="1.931948368244624E-7"/>
    <n v="1.4008616643723778E-8"/>
    <n v="1.1426229561537953E-5"/>
    <n v="5.6651403547507802E-6"/>
    <n v="6.5859823192177124E-5"/>
    <n v="1.6589819896668096E-5"/>
    <n v="5.0618860889677996E-6"/>
  </r>
  <r>
    <x v="0"/>
    <x v="33"/>
    <x v="1"/>
    <n v="2.9958399999999999E-7"/>
    <n v="1.09512E-6"/>
    <n v="8.6015999999999994E-8"/>
    <n v="1.1558400000000001E-7"/>
    <n v="1.368704E-7"/>
    <n v="1.8876480000000003E-7"/>
    <n v="2.1538559999999997E-8"/>
    <n v="8.9485959211975774E-8"/>
    <n v="-3.2428675227602434E-7"/>
    <n v="4.6052875415578908E-6"/>
    <n v="1.6232648014021451E-9"/>
    <n v="5.6512497739814929E-7"/>
    <n v="2.9822366156471933E-7"/>
    <n v="-9.8466867491556881E-8"/>
    <n v="1.9203976132049363E-8"/>
    <n v="2.0144375904728435E-5"/>
  </r>
  <r>
    <x v="0"/>
    <x v="33"/>
    <x v="2"/>
    <n v="3.0752018153723309E-4"/>
    <n v="1.7800002856425861E-3"/>
    <n v="3.0279535749437489E-4"/>
    <n v="2.386210910740169E-7"/>
    <n v="1.8890144024539166E-4"/>
    <n v="2.8680585016344778E-4"/>
    <n v="1.5747490696780873E-5"/>
    <n v="4.5540246320213258E-5"/>
    <n v="1.2425470554207311E-6"/>
    <n v="5.9391403624208829E-7"/>
    <n v="6.4935366662693798E-15"/>
    <n v="1.3274594498592215E-4"/>
    <n v="4.1541971992259001E-4"/>
    <n v="1.1844498708767583E-3"/>
    <n v="2.744020682537615E-6"/>
    <n v="7.1784398898833418E-7"/>
  </r>
  <r>
    <x v="0"/>
    <x v="33"/>
    <x v="31"/>
    <n v="1.380218811221183E-6"/>
    <n v="1.6275221241182268E-5"/>
    <n v="3.6335514772702309E-6"/>
    <n v="3.0080937366990226E-8"/>
    <n v="6.1841220628508482E-7"/>
    <n v="8.7045355675771263E-7"/>
    <n v="2.1277051067750657E-7"/>
    <n v="7.1341049749796991E-7"/>
    <n v="3.4026751526241848E-7"/>
    <n v="4.2938356878199423E-8"/>
    <n v="1.0775873480545237E-9"/>
    <n v="1.5666609837524172E-6"/>
    <n v="1.6012830540994304E-6"/>
    <n v="1.541548140173823E-5"/>
    <n v="1.3155214238276385E-6"/>
    <n v="8.0752287034640487E-7"/>
  </r>
  <r>
    <x v="0"/>
    <x v="34"/>
    <x v="21"/>
    <n v="7.4399999999999998E-4"/>
    <n v="3.9087360000000003E-3"/>
    <n v="2.7340799999999994E-4"/>
    <n v="1.1110400000000001E-6"/>
    <n v="1.4492160000000002E-4"/>
    <n v="2.1903840000000001E-4"/>
    <n v="9.2356799999999983E-5"/>
    <n v="1.2712087322348038E-4"/>
    <n v="2.5032435814250931E-4"/>
    <n v="1.4411058607355881E-5"/>
    <n v="5.5514418477665484E-12"/>
    <n v="1.1425463296853831E-3"/>
    <n v="3.4726365079055887E-4"/>
    <n v="2.37390803872752E-3"/>
    <n v="2.7753600172628041E-4"/>
    <n v="1.6608604478206526E-4"/>
  </r>
  <r>
    <x v="0"/>
    <x v="34"/>
    <x v="44"/>
    <n v="2.46016E-4"/>
    <n v="1.5601248E-3"/>
    <n v="1.2718079999999999E-4"/>
    <n v="3.6601599999999999E-7"/>
    <n v="5.6832000000000001E-5"/>
    <n v="8.5478399999999998E-5"/>
    <n v="2.9445119999999998E-5"/>
    <n v="4.6448713310718956E-5"/>
    <n v="1.5671691127354121E-4"/>
    <n v="6.8310282318356276E-6"/>
    <n v="2.2950866700978395E-12"/>
    <n v="3.4122354723299799E-4"/>
    <n v="1.3219592499555706E-4"/>
    <n v="1.0174254970637534E-3"/>
    <n v="1.0376871141616026E-4"/>
    <n v="3.0472528741126476E-5"/>
  </r>
  <r>
    <x v="0"/>
    <x v="34"/>
    <x v="3"/>
    <n v="8.0252800000000012E-6"/>
    <n v="7.0761599999999997E-5"/>
    <n v="2.0797440000000001E-6"/>
    <n v="1.9532799999999999E-8"/>
    <n v="2.4958720000000002E-6"/>
    <n v="3.6387679999999998E-6"/>
    <n v="2.9547360000000002E-7"/>
    <n v="2.3320863975082653E-6"/>
    <n v="1.0708657292907465E-6"/>
    <n v="1.419185839794484E-7"/>
    <n v="2.6878480092152349E-15"/>
    <n v="1.3224510178024371E-5"/>
    <n v="6.490152796091563E-6"/>
    <n v="3.8208228618227862E-5"/>
    <n v="1.0924933057742617E-6"/>
    <n v="6.8295676362854981E-6"/>
  </r>
  <r>
    <x v="0"/>
    <x v="34"/>
    <x v="1"/>
    <n v="4.0076800000000002E-5"/>
    <n v="2.5777440000000003E-4"/>
    <n v="3.5327999999999998E-5"/>
    <n v="9.0048000000000002E-5"/>
    <n v="4.6602240000000005E-6"/>
    <n v="8.1323199999999998E-6"/>
    <n v="1.72104E-5"/>
    <n v="2.8895482337243262E-6"/>
    <n v="-6.5600357720841266E-5"/>
    <n v="-9.6586492094930302E-4"/>
    <n v="1.3223384803255343E-6"/>
    <n v="1.1821860583009132E-4"/>
    <n v="5.3756132045228631E-5"/>
    <n v="-2.4441689483356621E-5"/>
    <n v="3.1082641224873429E-5"/>
    <n v="1.481093308183269E-2"/>
  </r>
  <r>
    <x v="0"/>
    <x v="34"/>
    <x v="2"/>
    <n v="1.5772799999999999E-5"/>
    <n v="6.1326719999999998E-5"/>
    <n v="1.0506239999999999E-5"/>
    <n v="1.2230400000000001E-7"/>
    <n v="1.046656E-5"/>
    <n v="1.6027200000000001E-5"/>
    <n v="5.9640000000000002E-7"/>
    <n v="2.097688984741331E-6"/>
    <n v="9.9351164633175498E-8"/>
    <n v="1.0467544906097582E-6"/>
    <n v="5.4799112240106457E-16"/>
    <n v="7.8946610812982587E-6"/>
    <n v="1.5686885762922653E-5"/>
    <n v="4.0231239699215054E-5"/>
    <n v="2.4920779212025563E-7"/>
    <n v="1.624942790192586E-7"/>
  </r>
  <r>
    <x v="0"/>
    <x v="35"/>
    <x v="36"/>
    <n v="1.1193289890005218E-6"/>
    <n v="9.8729697205392445E-6"/>
    <n v="2.9008926262288616E-7"/>
    <n v="2.7266649921397734E-9"/>
    <n v="3.4805471076387986E-7"/>
    <n v="5.0787678281056319E-7"/>
    <n v="4.122132751112542E-8"/>
    <n v="3.2525612238609101E-7"/>
    <n v="1.4935365819954585E-7"/>
    <n v="1.9793386886952212E-8"/>
    <n v="3.7487419933266923E-16"/>
    <n v="1.8444226189713263E-6"/>
    <n v="9.0518170098906029E-7"/>
    <n v="5.3289021782744607E-6"/>
    <n v="1.5237005659334205E-7"/>
    <n v="9.5251989348472354E-7"/>
  </r>
  <r>
    <x v="0"/>
    <x v="35"/>
    <x v="19"/>
    <n v="5.3911945706181094E-3"/>
    <n v="3.0434197622366228E-2"/>
    <n v="2.1874264308979568E-3"/>
    <n v="3.7161512762291678E-5"/>
    <n v="1.2372013202384844E-3"/>
    <n v="1.866718106975383E-3"/>
    <n v="5.7560317603413751E-4"/>
    <n v="8.8472850686745121E-4"/>
    <n v="2.4934456831186389E-3"/>
    <n v="1.8693057209996042E-4"/>
    <n v="5.2775724895919936E-6"/>
    <n v="7.1640919302164603E-3"/>
    <n v="2.9161004369202396E-3"/>
    <n v="2.1265277955115548E-2"/>
    <n v="1.7318324757032558E-2"/>
    <n v="1.709491983301197E-3"/>
  </r>
  <r>
    <x v="0"/>
    <x v="35"/>
    <x v="21"/>
    <n v="1.9651164087494143E-3"/>
    <n v="1.0362218252308025E-2"/>
    <n v="7.2968340102994933E-4"/>
    <n v="2.9553739619592161E-6"/>
    <n v="3.8312811219041418E-4"/>
    <n v="5.7853308290282002E-4"/>
    <n v="2.439644987638031E-4"/>
    <n v="3.3770881198141644E-4"/>
    <n v="6.6115133274616744E-4"/>
    <n v="3.8131230022510579E-5"/>
    <n v="1.4655258243951787E-11"/>
    <n v="3.0178336601493173E-3"/>
    <n v="9.2080170452565305E-4"/>
    <n v="6.297677997112892E-3"/>
    <n v="7.3257024891723534E-4"/>
    <n v="4.3921851511904129E-4"/>
  </r>
  <r>
    <x v="0"/>
    <x v="35"/>
    <x v="3"/>
    <n v="1.3202219584626258E-5"/>
    <n v="1.1644933302345177E-4"/>
    <n v="3.4215339564370636E-6"/>
    <n v="3.2160365999353041E-8"/>
    <n v="4.1052226504661585E-6"/>
    <n v="5.9902860325146583E-6"/>
    <n v="4.8619576792843969E-7"/>
    <n v="3.8363187152148578E-6"/>
    <n v="1.7615909269698219E-6"/>
    <n v="2.33458297402217E-7"/>
    <n v="4.4215521485064905E-15"/>
    <n v="2.1754526740394719E-5"/>
    <n v="1.067640318251199E-5"/>
    <n v="6.2853135578479924E-5"/>
    <n v="1.7971686296300324E-6"/>
    <n v="1.1234745920177591E-5"/>
  </r>
  <r>
    <x v="0"/>
    <x v="35"/>
    <x v="23"/>
    <n v="5.7388793960978184E-6"/>
    <n v="6.0548134158582183E-5"/>
    <n v="2.6491536260211148E-5"/>
    <n v="1.2326557308260697E-6"/>
    <n v="2.2852075765083338E-6"/>
    <n v="3.3669262531903814E-6"/>
    <n v="8.805354185672997E-7"/>
    <n v="4.6352528071193892E-6"/>
    <n v="4.1990562897221086E-6"/>
    <n v="2.8097628386961508E-8"/>
    <n v="3.5586703510148052E-14"/>
    <n v="4.302053810380448E-6"/>
    <n v="4.8192508078851754E-6"/>
    <n v="5.0301446879063246E-5"/>
    <n v="-5.2231630728362925E-8"/>
    <n v="-9.0407194676097105E-7"/>
  </r>
  <r>
    <x v="0"/>
    <x v="35"/>
    <x v="24"/>
    <n v="4.7219200000000002E-6"/>
    <n v="1.6848000000000002E-5"/>
    <n v="1.7971199999999998E-6"/>
    <n v="1.4963200000000001E-8"/>
    <n v="1.117696E-6"/>
    <n v="1.6798880000000001E-6"/>
    <n v="6.0321599999999995E-5"/>
    <n v="8.3435529568992162E-7"/>
    <n v="4.7102065038068453E-7"/>
    <n v="2.0618730286194023E-7"/>
    <n v="2.6498862357473491E-15"/>
    <n v="1.107926440880337E-5"/>
    <n v="2.5966911477311341E-6"/>
    <n v="1.0742623118996547E-5"/>
    <n v="1.321959302756448E-5"/>
    <n v="4.0007592786095441E-6"/>
  </r>
  <r>
    <x v="0"/>
    <x v="35"/>
    <x v="27"/>
    <n v="2.5296E-5"/>
    <n v="2.2306752000000001E-4"/>
    <n v="4.6079999999999992E-5"/>
    <n v="7.3471999999999997E-6"/>
    <n v="8.1459200000000008E-6"/>
    <n v="1.12784E-5"/>
    <n v="4.1236799999999995E-6"/>
    <n v="1.309297177018042E-5"/>
    <n v="3.7446138939532473E-5"/>
    <n v="1.3246790750040389E-6"/>
    <n v="1.2333240525851808E-7"/>
    <n v="2.9239734341890724E-5"/>
    <n v="2.336993709582321E-5"/>
    <n v="3.3457174995571291E-4"/>
    <n v="6.6182933749346938E-6"/>
    <n v="9.1402358089317506E-5"/>
  </r>
  <r>
    <x v="0"/>
    <x v="35"/>
    <x v="4"/>
    <n v="1.22016E-5"/>
    <n v="1.1827296000000001E-4"/>
    <n v="2.1227519999999998E-4"/>
    <n v="2.7865599999999999E-6"/>
    <n v="5.0201600000000004E-6"/>
    <n v="6.1140799999999999E-6"/>
    <n v="8.1791999999999995E-6"/>
    <n v="5.2265101876691086E-5"/>
    <n v="1.4092697588089253E-5"/>
    <n v="5.4661801962131274E-8"/>
    <n v="2.2037244243092159E-13"/>
    <n v="1.2568815668863556E-5"/>
    <n v="1.0954692716399972E-5"/>
    <n v="1.0789110641561453E-4"/>
    <n v="2.6537692634606977E-6"/>
    <n v="2.4404846251335373E-4"/>
  </r>
  <r>
    <x v="0"/>
    <x v="35"/>
    <x v="1"/>
    <n v="1.56736E-6"/>
    <n v="5.9641920000000002E-6"/>
    <n v="4.5465599999999997E-7"/>
    <n v="3.5660800000000001E-7"/>
    <n v="7.7196800000000005E-7"/>
    <n v="1.0744160000000001E-6"/>
    <n v="1.1927999999999999E-7"/>
    <n v="5.4201727879263433E-7"/>
    <n v="-2.2099448456072465E-6"/>
    <n v="2.8646898810136734E-5"/>
    <n v="4.3893073821427869E-9"/>
    <n v="2.6704300034483959E-6"/>
    <n v="1.6964427859068166E-6"/>
    <n v="-1.1779422847748901E-6"/>
    <n v="6.498104255683959E-8"/>
    <n v="5.4911509069229218E-5"/>
  </r>
  <r>
    <x v="0"/>
    <x v="35"/>
    <x v="45"/>
    <n v="2.3807999999999997E-7"/>
    <n v="1.9577376000000004E-6"/>
    <n v="2.0367360000000001E-7"/>
    <n v="2.7910400000000003E-9"/>
    <n v="7.6723200000000002E-8"/>
    <n v="1.151584E-7"/>
    <n v="3.9532799999999998E-7"/>
    <n v="2.8722663853567372E-6"/>
    <n v="1.7464561828643912E-7"/>
    <n v="1.9686224757242127E-7"/>
    <n v="1.117166316033959E-15"/>
    <n v="3.4365644761053348E-7"/>
    <n v="1.9980476102015344E-7"/>
    <n v="1.5371578901050645E-6"/>
    <n v="1.3786036980700374E-6"/>
    <n v="7.7183984219724323E-8"/>
  </r>
  <r>
    <x v="0"/>
    <x v="35"/>
    <x v="2"/>
    <n v="3.3232000000000003E-5"/>
    <n v="1.2972960000000002E-4"/>
    <n v="2.2149119999999999E-5"/>
    <n v="2.5760000000000003E-7"/>
    <n v="2.2069760000000001E-5"/>
    <n v="3.3835200000000004E-5"/>
    <n v="1.2541439999999999E-6"/>
    <n v="4.426305717320988E-6"/>
    <n v="2.0963957537897348E-7"/>
    <n v="2.2087427736522791E-6"/>
    <n v="1.1563088025768842E-15"/>
    <n v="1.6658419686925578E-5"/>
    <n v="3.3100689684914266E-5"/>
    <n v="8.4891405537654331E-5"/>
    <n v="5.2585005836737271E-7"/>
    <n v="3.4287702394719508E-7"/>
  </r>
  <r>
    <x v="0"/>
    <x v="36"/>
    <x v="21"/>
    <n v="1.5375999999999999E-3"/>
    <n v="8.1207359999999999E-3"/>
    <n v="5.6524799999999997E-4"/>
    <n v="2.2982400000000001E-6"/>
    <n v="2.997888E-4"/>
    <n v="4.5291680000000004E-4"/>
    <n v="1.9118879999999999E-4"/>
    <n v="2.6325353767440421E-4"/>
    <n v="5.1839458915011621E-4"/>
    <n v="2.984373898494317E-5"/>
    <n v="1.1496433815782931E-11"/>
    <n v="2.3660894990691983E-3"/>
    <n v="7.1914534771664543E-4"/>
    <n v="4.9161060136054232E-3"/>
    <n v="5.7474695094335922E-4"/>
    <n v="3.4394618081611417E-4"/>
  </r>
  <r>
    <x v="0"/>
    <x v="36"/>
    <x v="3"/>
    <n v="9.3247999999999992E-6"/>
    <n v="8.2218240000000008E-5"/>
    <n v="2.4176639999999996E-6"/>
    <n v="2.2713599999999999E-8"/>
    <n v="2.8984320000000001E-6"/>
    <n v="4.2323680000000003E-6"/>
    <n v="3.4420800000000003E-7"/>
    <n v="2.7095583246419136E-6"/>
    <n v="1.244196250393504E-6"/>
    <n v="1.6488955171376394E-7"/>
    <n v="3.1229035753232772E-15"/>
    <n v="1.5365031793188761E-5"/>
    <n v="7.5406501044031546E-6"/>
    <n v="4.4392619429947044E-5"/>
    <n v="1.2693244703279607E-6"/>
    <n v="7.9350026921705334E-6"/>
  </r>
  <r>
    <x v="0"/>
    <x v="36"/>
    <x v="23"/>
    <n v="7.8665600000000003E-8"/>
    <n v="8.2892160000000002E-7"/>
    <n v="3.5942399999999998E-7"/>
    <n v="1.6799999999999998E-8"/>
    <n v="3.1494400000000006E-8"/>
    <n v="4.6419520000000001E-8"/>
    <n v="1.1996159999999998E-8"/>
    <n v="6.3120621968732776E-8"/>
    <n v="5.5909004861245759E-8"/>
    <n v="3.7238352586702094E-10"/>
    <n v="4.8402662498612464E-16"/>
    <n v="5.8677965226029647E-8"/>
    <n v="6.6357575435617449E-8"/>
    <n v="6.8212530534941104E-7"/>
    <n v="-7.2383200701935365E-10"/>
    <n v="-1.2120214977683788E-8"/>
  </r>
  <r>
    <x v="0"/>
    <x v="36"/>
    <x v="1"/>
    <n v="1.2995199999999999E-6"/>
    <n v="4.9870080000000001E-6"/>
    <n v="3.7785599999999997E-7"/>
    <n v="2.9657599999999997E-7"/>
    <n v="6.44096E-7"/>
    <n v="8.9633600000000004E-7"/>
    <n v="9.91728E-8"/>
    <n v="4.5155465485474056E-7"/>
    <n v="-1.8415730751376091E-6"/>
    <n v="2.3868401448021079E-5"/>
    <n v="3.6490987385307981E-9"/>
    <n v="2.223805226148223E-6"/>
    <n v="1.4132121058238207E-6"/>
    <n v="-9.8267344191875931E-7"/>
    <n v="5.4061805042112584E-8"/>
    <n v="4.5652776798325455E-5"/>
  </r>
  <r>
    <x v="0"/>
    <x v="36"/>
    <x v="2"/>
    <n v="6.2892800000000004E-6"/>
    <n v="2.4530687999999999E-5"/>
    <n v="4.17792E-6"/>
    <n v="4.8831999999999997E-8"/>
    <n v="4.1724160000000005E-6"/>
    <n v="6.4108800000000002E-6"/>
    <n v="2.3719679999999999E-7"/>
    <n v="8.3657454044501855E-7"/>
    <n v="3.9622010460204123E-8"/>
    <n v="4.174537614062035E-7"/>
    <n v="2.1854308466378811E-16"/>
    <n v="3.1484517076160655E-6"/>
    <n v="6.2560509892503229E-6"/>
    <n v="1.6044528577745539E-5"/>
    <n v="9.9385988907229868E-8"/>
    <n v="6.4803971315246065E-8"/>
  </r>
  <r>
    <x v="0"/>
    <x v="37"/>
    <x v="19"/>
    <n v="1.7939995420921217E-3"/>
    <n v="9.7700979636484598E-3"/>
    <n v="8.0116733023021653E-4"/>
    <n v="4.269752748163262E-5"/>
    <n v="4.1293633925492957E-4"/>
    <n v="6.2308058735498358E-4"/>
    <n v="2.0247556057609344E-4"/>
    <n v="3.0750230397393313E-4"/>
    <n v="7.4057878651247471E-4"/>
    <n v="8.0825617154608477E-5"/>
    <n v="8.0605471848961628E-6"/>
    <n v="2.5438571011399741E-3"/>
    <n v="9.8927340306653342E-4"/>
    <n v="6.702721483747621E-3"/>
    <n v="5.8453913549998448E-3"/>
    <n v="1.4284788957737266E-3"/>
  </r>
  <r>
    <x v="0"/>
    <x v="37"/>
    <x v="21"/>
    <n v="4.04736E-4"/>
    <n v="2.1666528000000001E-3"/>
    <n v="1.5052799999999998E-4"/>
    <n v="6.0480000000000002E-7"/>
    <n v="7.9564800000000001E-5"/>
    <n v="1.205008E-4"/>
    <n v="5.0438399999999995E-5"/>
    <n v="6.8941442167717618E-5"/>
    <n v="1.3667181164869169E-4"/>
    <n v="7.4487187550868623E-6"/>
    <n v="3.0209296103435736E-12"/>
    <n v="6.2811340973637365E-4"/>
    <n v="1.914566681923953E-4"/>
    <n v="1.3110238093212935E-3"/>
    <n v="-6.7165627889665173E-5"/>
    <n v="9.1021037298189542E-5"/>
  </r>
  <r>
    <x v="0"/>
    <x v="37"/>
    <x v="3"/>
    <n v="8.0252800000000012E-6"/>
    <n v="7.0761599999999997E-5"/>
    <n v="2.0797440000000001E-6"/>
    <n v="1.9532799999999999E-8"/>
    <n v="2.4958720000000002E-6"/>
    <n v="3.6387679999999998E-6"/>
    <n v="2.9547360000000002E-7"/>
    <n v="2.3320863975082653E-6"/>
    <n v="1.0708657292907465E-6"/>
    <n v="1.419185839794484E-7"/>
    <n v="2.6878480092152349E-15"/>
    <n v="1.3224510178024371E-5"/>
    <n v="6.490152796091563E-6"/>
    <n v="3.8208228618227862E-5"/>
    <n v="1.0924933057742617E-6"/>
    <n v="6.8295676362854981E-6"/>
  </r>
  <r>
    <x v="0"/>
    <x v="37"/>
    <x v="24"/>
    <n v="7.1324799999999993E-6"/>
    <n v="2.5406784000000002E-5"/>
    <n v="2.7095039999999997E-6"/>
    <n v="2.25344E-8"/>
    <n v="1.6860160000000001E-6"/>
    <n v="2.5346720000000001E-6"/>
    <n v="9.0993599999999989E-5"/>
    <n v="1.2587256616011775E-6"/>
    <n v="7.1059149841913614E-7"/>
    <n v="3.1105843104172178E-7"/>
    <n v="3.9976732004809073E-15"/>
    <n v="1.6714407513280942E-5"/>
    <n v="3.9174219901116181E-6"/>
    <n v="1.6206543498486149E-5"/>
    <n v="1.9943351550205093E-5"/>
    <n v="6.0356282220401718E-6"/>
  </r>
  <r>
    <x v="0"/>
    <x v="37"/>
    <x v="1"/>
    <n v="7.8169599999999996E-7"/>
    <n v="2.9854656000000002E-6"/>
    <n v="2.2671359999999998E-7"/>
    <n v="1.7830400000000001E-7"/>
    <n v="3.8551039999999998E-7"/>
    <n v="5.3720800000000003E-7"/>
    <n v="5.9639999999999997E-8"/>
    <n v="2.7100863939631775E-7"/>
    <n v="-1.1049724228036271E-6"/>
    <n v="1.432344940506843E-5"/>
    <n v="2.1946536910713934E-9"/>
    <n v="1.3352150017241992E-6"/>
    <n v="8.482213929534083E-7"/>
    <n v="-5.8897114238744507E-7"/>
    <n v="3.2490521278419795E-8"/>
    <n v="2.7455754534614609E-5"/>
  </r>
  <r>
    <x v="0"/>
    <x v="37"/>
    <x v="2"/>
    <n v="1.1904E-5"/>
    <n v="4.6500480000000005E-5"/>
    <n v="7.9257600000000002E-6"/>
    <n v="9.2287999999999999E-8"/>
    <n v="7.9091199999999999E-6"/>
    <n v="1.2109440000000001E-5"/>
    <n v="4.4985600000000003E-7"/>
    <n v="1.5825491538107033E-6"/>
    <n v="7.4953009080003138E-8"/>
    <n v="7.896978271859018E-7"/>
    <n v="4.1341823948154162E-16"/>
    <n v="5.9559302187838275E-6"/>
    <n v="1.1834579849833988E-5"/>
    <n v="3.0351455723832821E-5"/>
    <n v="1.8800860538035143E-7"/>
    <n v="1.2258975740996946E-7"/>
  </r>
  <r>
    <x v="0"/>
    <x v="38"/>
    <x v="21"/>
    <n v="7.9062399999999997E-5"/>
    <n v="4.1783040000000003E-4"/>
    <n v="2.9061119999999997E-5"/>
    <n v="1.1782400000000001E-7"/>
    <n v="1.5391999999999998E-5"/>
    <n v="2.3269119999999999E-5"/>
    <n v="9.8150399999999995E-6"/>
    <n v="1.351768684116494E-5"/>
    <n v="2.6618809297646003E-5"/>
    <n v="1.5324326553471735E-6"/>
    <n v="5.9032518037474932E-13"/>
    <n v="1.2149525954763997E-4"/>
    <n v="3.6927069203292484E-5"/>
    <n v="2.5243490422558986E-4"/>
    <n v="2.9512421236199494E-5"/>
    <n v="1.7661136878010072E-5"/>
  </r>
  <r>
    <x v="0"/>
    <x v="38"/>
    <x v="3"/>
    <n v="4.1961599999999999E-7"/>
    <n v="3.7065600000000004E-6"/>
    <n v="1.0874879999999999E-7"/>
    <n v="1.0214399999999999E-9"/>
    <n v="1.3071359999999999E-7"/>
    <n v="1.905456E-7"/>
    <n v="1.5472320000000001E-8"/>
    <n v="1.2197104589478383E-7"/>
    <n v="5.6007621824829722E-8"/>
    <n v="7.4225200826070897E-9"/>
    <n v="1.4057782474975045E-16"/>
    <n v="6.9165848211424551E-7"/>
    <n v="3.3944313787089717E-7"/>
    <n v="1.9983383168529263E-6"/>
    <n v="5.7138771222503216E-8"/>
    <n v="3.5719496005677321E-7"/>
  </r>
  <r>
    <x v="0"/>
    <x v="38"/>
    <x v="1"/>
    <n v="9.0966399999999997E-6"/>
    <n v="3.6391680000000005E-5"/>
    <n v="6.6662399999999992E-6"/>
    <n v="1.1468799999999999E-5"/>
    <n v="2.813184E-6"/>
    <n v="3.6447039999999997E-6"/>
    <n v="6.6796799999999996E-7"/>
    <n v="1.2782419028130496E-6"/>
    <n v="3.6465786380998391E-6"/>
    <n v="2.4301588603844094E-5"/>
    <n v="1.5402936447031486E-7"/>
    <n v="2.3109775729669385E-5"/>
    <n v="5.9021607771692163E-6"/>
    <n v="2.2671617082134293E-5"/>
    <n v="1.9760764717808986E-6"/>
    <n v="1.8012154505110589E-3"/>
  </r>
  <r>
    <x v="0"/>
    <x v="38"/>
    <x v="2"/>
    <n v="5.0492800000000006E-7"/>
    <n v="1.9678464000000002E-6"/>
    <n v="3.3484799999999996E-7"/>
    <n v="3.9110399999999998E-9"/>
    <n v="3.348352E-7"/>
    <n v="5.13464E-7"/>
    <n v="1.905072E-8"/>
    <n v="6.7149554786114681E-8"/>
    <n v="3.1803506244860953E-9"/>
    <n v="3.3507873915579162E-8"/>
    <n v="1.7541856854681642E-17"/>
    <n v="2.5271762432495023E-7"/>
    <n v="5.0215613593012598E-7"/>
    <n v="1.2878505126101342E-6"/>
    <n v="7.9774420382768344E-9"/>
    <n v="5.2016378837872149E-9"/>
  </r>
  <r>
    <x v="0"/>
    <x v="39"/>
    <x v="21"/>
    <n v="9.34464E-5"/>
    <n v="4.9196160000000006E-4"/>
    <n v="3.4406399999999996E-5"/>
    <n v="1.3932800000000002E-7"/>
    <n v="1.8186240000000002E-5"/>
    <n v="2.7483680000000001E-5"/>
    <n v="1.15872E-5"/>
    <n v="1.5975448085013127E-5"/>
    <n v="3.145859280630892E-5"/>
    <n v="1.8110567745012131E-6"/>
    <n v="6.9765703135197301E-13"/>
    <n v="1.4358530673811966E-4"/>
    <n v="4.3641081785709374E-5"/>
    <n v="2.9833215953933384E-4"/>
    <n v="3.4878316006417547E-5"/>
    <n v="2.0872252674015973E-5"/>
  </r>
  <r>
    <x v="0"/>
    <x v="39"/>
    <x v="3"/>
    <n v="8.1740800000000001E-7"/>
    <n v="7.0761599999999999E-6"/>
    <n v="2.1657599999999999E-7"/>
    <n v="2.02496E-9"/>
    <n v="2.5669120000000002E-7"/>
    <n v="3.7515520000000004E-7"/>
    <n v="2.02776E-8"/>
    <n v="2.2947229540427452E-7"/>
    <n v="1.1954964467315981E-7"/>
    <n v="1.5532178386702543E-8"/>
    <n v="2.1341642898645414E-14"/>
    <n v="1.3107844707698774E-6"/>
    <n v="6.5917688802375492E-7"/>
    <n v="3.8667835973968812E-6"/>
    <n v="6.7314135150976784E-8"/>
    <n v="3.8920052308125334E-7"/>
  </r>
  <r>
    <x v="0"/>
    <x v="39"/>
    <x v="1"/>
    <n v="9.0966399999999997E-6"/>
    <n v="3.6391680000000005E-5"/>
    <n v="6.6662399999999992E-6"/>
    <n v="1.1468799999999999E-5"/>
    <n v="2.813184E-6"/>
    <n v="3.6447039999999997E-6"/>
    <n v="6.6796799999999996E-7"/>
    <n v="1.2782419028130496E-6"/>
    <n v="3.6465786380998391E-6"/>
    <n v="2.4301588603844094E-5"/>
    <n v="1.5402936447031486E-7"/>
    <n v="2.3109775729669385E-5"/>
    <n v="5.9021607771692163E-6"/>
    <n v="2.2671617082134293E-5"/>
    <n v="1.9760764717808986E-6"/>
    <n v="1.8012154505110589E-3"/>
  </r>
  <r>
    <x v="0"/>
    <x v="39"/>
    <x v="2"/>
    <n v="5.5155199999999999E-7"/>
    <n v="2.1498048000000002E-6"/>
    <n v="3.6556799999999996E-7"/>
    <n v="4.2739200000000001E-9"/>
    <n v="3.6561920000000002E-7"/>
    <n v="5.6095199999999995E-7"/>
    <n v="2.0788800000000001E-8"/>
    <n v="7.336162813637198E-8"/>
    <n v="3.4745680831389999E-9"/>
    <n v="3.6607721282218738E-8"/>
    <n v="1.9164671805995791E-17"/>
    <n v="2.7609678780875593E-7"/>
    <n v="5.4861110885758251E-7"/>
    <n v="1.4069908684022629E-6"/>
    <n v="8.715443284108616E-9"/>
    <n v="5.6828466747987443E-9"/>
  </r>
  <r>
    <x v="0"/>
    <x v="40"/>
    <x v="21"/>
    <n v="7.9855999999999986E-6"/>
    <n v="4.2120000000000003E-5"/>
    <n v="2.9368319999999996E-6"/>
    <n v="1.1916800000000001E-8"/>
    <n v="1.553408E-6"/>
    <n v="2.3506560000000003E-6"/>
    <n v="9.917280000000001E-7"/>
    <n v="1.3654229132489837E-6"/>
    <n v="2.6887686159238383E-6"/>
    <n v="1.5479117730779614E-7"/>
    <n v="5.9628806098459504E-14"/>
    <n v="1.2272248439155555E-5"/>
    <n v="3.7300069902315691E-6"/>
    <n v="2.549847517430194E-5"/>
    <n v="2.9810526501211559E-6"/>
    <n v="1.7839532199993083E-6"/>
  </r>
  <r>
    <x v="0"/>
    <x v="40"/>
    <x v="1"/>
    <n v="9.0966399999999997E-6"/>
    <n v="3.6391680000000005E-5"/>
    <n v="6.6662399999999992E-6"/>
    <n v="1.1468799999999999E-5"/>
    <n v="2.813184E-6"/>
    <n v="3.6447039999999997E-6"/>
    <n v="6.6796799999999996E-7"/>
    <n v="1.2782419028130496E-6"/>
    <n v="3.6465786380998391E-6"/>
    <n v="2.4301588603844094E-5"/>
    <n v="1.5402936447031486E-7"/>
    <n v="2.3109775729669385E-5"/>
    <n v="5.9021607771692163E-6"/>
    <n v="2.2671617082134293E-5"/>
    <n v="1.9760764717808986E-6"/>
    <n v="1.8012154505110589E-3"/>
  </r>
  <r>
    <x v="0"/>
    <x v="40"/>
    <x v="2"/>
    <n v="3.00576E-7"/>
    <n v="1.1692512000000002E-6"/>
    <n v="1.9968E-7"/>
    <n v="2.3251199999999999E-9"/>
    <n v="1.98912E-7"/>
    <n v="3.0511039999999998E-7"/>
    <n v="1.1314559999999999E-8"/>
    <n v="3.9934757251654189E-8"/>
    <n v="1.8913979484829215E-9"/>
    <n v="1.992759021411097E-8"/>
    <n v="1.043238182987671E-17"/>
    <n v="1.5029462239589541E-7"/>
    <n v="2.9863911167650641E-7"/>
    <n v="7.6590228723510128E-7"/>
    <n v="4.7442937232042818E-9"/>
    <n v="3.0934850850718342E-9"/>
  </r>
  <r>
    <x v="3"/>
    <x v="41"/>
    <x v="1"/>
    <n v="1.4398729388268737E-3"/>
    <n v="8.0692016480108878E-3"/>
    <n v="1.3146961359813182E-3"/>
    <n v="8.7325138278607488E-4"/>
    <n v="6.2033041038313209E-4"/>
    <n v="8.4519049704933529E-4"/>
    <n v="1.580038612590995E-4"/>
    <n v="5.4007576805102328E-4"/>
    <n v="-1.1863679999999999E-3"/>
    <n v="1.7023360000000001E-2"/>
    <n v="1.3023840000000002E-5"/>
    <n v="2.9675519999999996E-3"/>
    <n v="1.3919360000000001E-3"/>
    <n v="2.5825280000000002E-3"/>
    <n v="1.5824800000000002E-4"/>
    <n v="0.16066879999999997"/>
  </r>
  <r>
    <x v="3"/>
    <x v="41"/>
    <x v="2"/>
    <n v="2.0909535550224642E-3"/>
    <n v="8.1552683000587437E-3"/>
    <n v="1.3915228156571812E-3"/>
    <n v="1.6202073286739963E-5"/>
    <n v="1.3868801137492536E-3"/>
    <n v="2.1272130572350715E-3"/>
    <n v="7.8885707064194237E-5"/>
    <n v="2.7819858408992569E-4"/>
    <n v="1.3146239999999999E-5"/>
    <n v="1.384736E-4"/>
    <n v="7.2691200000000002E-14"/>
    <n v="1.0465279999999999E-3"/>
    <n v="2.0802560000000004E-3"/>
    <n v="5.338111999999999E-3"/>
    <n v="3.3099199999999996E-5"/>
    <n v="2.1513280000000001E-5"/>
  </r>
  <r>
    <x v="4"/>
    <x v="42"/>
    <x v="46"/>
    <n v="0.50195199999999995"/>
    <n v="3.436992"/>
    <n v="4.6694399999999998"/>
    <n v="2.9702399999999999E-3"/>
    <n v="0.1269248"/>
    <n v="0.19292000000000001"/>
    <n v="0.24196799999999999"/>
    <n v="0.63130471053335202"/>
    <n v="1.8781874358929026E-2"/>
    <n v="2.8034679965322135E-3"/>
    <n v="9.7976025419707481E-11"/>
    <n v="0.43825430557014078"/>
    <n v="0.48985264267228401"/>
    <n v="18.240267540576841"/>
    <n v="4.1293453608769612E-2"/>
    <n v="1.020132301138337E-2"/>
  </r>
  <r>
    <x v="4"/>
    <x v="42"/>
    <x v="47"/>
    <n v="4.1961600000000008"/>
    <n v="23.957856000000003"/>
    <n v="1.0782719999999999E-3"/>
    <n v="0"/>
    <n v="2.7563520000000001"/>
    <n v="4.1848799999999997"/>
    <n v="0"/>
    <n v="6.6601605456213173E-2"/>
    <n v="0"/>
    <n v="0"/>
    <n v="0"/>
    <n v="1.5850851484408013"/>
    <n v="5.8977783574442775"/>
    <n v="0"/>
    <n v="0"/>
    <n v="0"/>
  </r>
  <r>
    <x v="4"/>
    <x v="43"/>
    <x v="48"/>
    <n v="1.1606400000000001E-3"/>
    <n v="4.8185280000000007E-3"/>
    <n v="1.6803839999999998E-3"/>
    <n v="2.75968E-3"/>
    <n v="3.2441600000000001E-4"/>
    <n v="3.7456160000000002E-4"/>
    <n v="1.1621279999999999E-4"/>
    <n v="1.9518719999999997E-4"/>
    <n v="9.7795200000000003E-4"/>
    <n v="2.5280959999999999E-4"/>
    <n v="1.706224E-5"/>
    <n v="7.7271039999999994E-4"/>
    <n v="5.6365760000000006E-4"/>
    <n v="4.6325760000000002E-3"/>
    <n v="2.1864799999999998E-3"/>
    <n v="2.0968639999999999E-3"/>
  </r>
  <r>
    <x v="5"/>
    <x v="42"/>
    <x v="46"/>
    <n v="3.5136639999999999"/>
    <n v="24.058944000000004"/>
    <n v="32.686079999999997"/>
    <n v="2.079168E-2"/>
    <n v="0.88847360000000009"/>
    <n v="1.3504400000000001"/>
    <n v="1.6937759999999999"/>
    <n v="4.4191329737334639"/>
    <n v="0.13147312051250321"/>
    <n v="1.9624275975725497E-2"/>
    <n v="6.8583217793795236E-10"/>
    <n v="3.0677801389909853"/>
    <n v="3.4289684987059879"/>
    <n v="127.68187278403786"/>
    <n v="0.28905417526138727"/>
    <n v="7.1409261079683595E-2"/>
  </r>
  <r>
    <x v="5"/>
    <x v="42"/>
    <x v="47"/>
    <n v="29.373120000000004"/>
    <n v="167.704992"/>
    <n v="7.5479040000000002E-3"/>
    <n v="0"/>
    <n v="19.294464000000001"/>
    <n v="29.294160000000002"/>
    <n v="0"/>
    <n v="0.46621123819349219"/>
    <n v="0"/>
    <n v="0"/>
    <n v="0"/>
    <n v="11.095596039085608"/>
    <n v="41.284448502109939"/>
    <n v="0"/>
    <n v="0"/>
    <n v="0"/>
  </r>
  <r>
    <x v="5"/>
    <x v="43"/>
    <x v="48"/>
    <n v="8.1244799999999999E-3"/>
    <n v="3.3729696000000003E-2"/>
    <n v="1.1762687999999999E-2"/>
    <n v="1.931776E-2"/>
    <n v="2.2709119999999999E-3"/>
    <n v="2.6219312000000006E-3"/>
    <n v="8.1348959999999991E-4"/>
    <n v="1.3663103999999998E-3"/>
    <n v="6.8456639999999987E-3"/>
    <n v="1.7696672000000002E-3"/>
    <n v="1.1943568E-4"/>
    <n v="5.4089728E-3"/>
    <n v="3.9456032000000007E-3"/>
    <n v="3.2428031999999996E-2"/>
    <n v="1.530536E-2"/>
    <n v="1.4678047999999999E-2"/>
  </r>
  <r>
    <x v="6"/>
    <x v="44"/>
    <x v="49"/>
    <n v="2.2220799999999999E-5"/>
    <n v="7.312032E-5"/>
    <n v="9.5846399999999991E-6"/>
    <n v="8.1535999999999996E-8"/>
    <n v="7.8144000000000009E-6"/>
    <n v="1.1931360000000001E-5"/>
    <n v="3.9191999999999997E-6"/>
    <n v="2.7526399999999998E-5"/>
    <n v="4.8416639999999994E-7"/>
    <n v="7.2412800000000001E-7"/>
    <n v="1.2720960000000001E-14"/>
    <n v="3.7130240000000002E-5"/>
    <n v="1.843168E-5"/>
    <n v="4.7390719999999995E-5"/>
    <n v="3.1287199999999997E-7"/>
    <n v="2.2194080000000001E-6"/>
  </r>
  <r>
    <x v="6"/>
    <x v="44"/>
    <x v="50"/>
    <n v="1.3391999999999999E-4"/>
    <n v="4.4141760000000009E-4"/>
    <n v="1.7848319999999999E-3"/>
    <n v="4.9280000000000007E-7"/>
    <n v="4.7123200000000003E-5"/>
    <n v="7.1825599999999999E-5"/>
    <n v="2.365152E-5"/>
    <n v="1.6574720000000001E-4"/>
    <n v="2.9418719999999998E-6"/>
    <n v="4.3701760000000003E-6"/>
    <n v="7.693152000000001E-14"/>
    <n v="2.236416E-4"/>
    <n v="1.10896E-4"/>
    <n v="2.8620799999999998E-4"/>
    <n v="1.88448E-6"/>
    <n v="1.3398144E-5"/>
  </r>
  <r>
    <x v="6"/>
    <x v="44"/>
    <x v="51"/>
    <n v="2.8867200000000002E-4"/>
    <n v="1.2838176E-3"/>
    <n v="1.410048E-4"/>
    <n v="1.5366400000000001E-6"/>
    <n v="1.5628800000000001E-4"/>
    <n v="2.368464E-4"/>
    <n v="5.82768E-3"/>
    <n v="4.3571199999999997E-2"/>
    <n v="1.867728E-5"/>
    <n v="1.1560639999999998E-5"/>
    <n v="6.5018240000000003E-13"/>
    <n v="2.4657919999999999E-4"/>
    <n v="3.2351040000000003E-4"/>
    <n v="6.6426879999999992E-4"/>
    <n v="9.3740799999999992E-6"/>
    <n v="1.5522239999999998E-5"/>
  </r>
  <r>
    <x v="6"/>
    <x v="44"/>
    <x v="52"/>
    <n v="8.1840000000000002E-5"/>
    <n v="6.4022400000000011E-4"/>
    <n v="1.5267840000000001E-4"/>
    <n v="7.8848000000000001E-5"/>
    <n v="2.5195520000000001E-5"/>
    <n v="3.8287200000000002E-5"/>
    <n v="1.9152959999999998E-5"/>
    <n v="1.0215679999999999E-4"/>
    <n v="7.0620960000000004E-6"/>
    <n v="2.3502400000000002E-6"/>
    <n v="6.9460480000000003E-14"/>
    <n v="1.082368E-4"/>
    <n v="6.2637119999999998E-5"/>
    <n v="4.5660159999999999E-4"/>
    <n v="2.00528E-6"/>
    <n v="-2.2330239999999999E-6"/>
  </r>
  <r>
    <x v="6"/>
    <x v="44"/>
    <x v="53"/>
    <n v="1.5276800000000003E-5"/>
    <n v="1.2366432E-3"/>
    <n v="4.1164799999999996E-5"/>
    <n v="8.8256000000000007E-6"/>
    <n v="4.0113920000000004E-5"/>
    <n v="1.0387999999999999E-5"/>
    <n v="2.2901759999999999E-6"/>
    <n v="2.0961279999999997E-5"/>
    <n v="7.7194079999999995E-7"/>
    <n v="2.5662080000000002E-7"/>
    <n v="7.5921920000000004E-15"/>
    <n v="1.978368E-5"/>
    <n v="3.433952E-5"/>
    <n v="4.9919999999999996E-5"/>
    <n v="2.1864799999999999E-7"/>
    <n v="1.4296799999999997E-6"/>
  </r>
  <r>
    <x v="6"/>
    <x v="45"/>
    <x v="54"/>
    <n v="-4.6127999999999994E-3"/>
    <n v="-1.6578432000000001E-2"/>
    <n v="-1.8892799999999999E-3"/>
    <n v="-1.4515200000000001E-5"/>
    <n v="-1.0987520000000001E-3"/>
    <n v="-1.650208E-3"/>
    <n v="-5.8617599999999992E-2"/>
    <n v="-6.6850989455077862E-3"/>
    <n v="-3.6840720578360138E-4"/>
    <n v="-1.9977677384979E-4"/>
    <n v="-1.1667433144849702E-11"/>
    <n v="-1.072247292024164E-2"/>
    <n v="-2.5461329945466169E-3"/>
    <n v="-1.0450075523151194E-2"/>
    <n v="-1.2770356239506309E-2"/>
    <n v="-3.4157811842273119E-3"/>
  </r>
  <r>
    <x v="6"/>
    <x v="45"/>
    <x v="55"/>
    <n v="-4.6723199999999999E-2"/>
    <n v="-0.22508928"/>
    <n v="-1.6834559999999998E-2"/>
    <n v="-6.9888000000000006E-5"/>
    <n v="-8.524799999999999E-3"/>
    <n v="-1.2881120000000001E-2"/>
    <n v="-5.6913599999999995E-3"/>
    <n v="-8.3934323149171541E-3"/>
    <n v="-1.4399812382585081E-2"/>
    <n v="-1.1548829626811324E-3"/>
    <n v="-2.8718445022052987E-11"/>
    <n v="-6.7763031464392789E-2"/>
    <n v="-2.0631721472372133E-2"/>
    <n v="-0.13878059982832813"/>
    <n v="-0.15735434803403581"/>
    <n v="-1.0074178966225358E-2"/>
  </r>
  <r>
    <x v="6"/>
    <x v="45"/>
    <x v="56"/>
    <n v="-4.0870400000000001E-2"/>
    <n v="-0.19712160000000001"/>
    <n v="-0.56524799999999997"/>
    <n v="-0.22265599999999999"/>
    <n v="-2.1927680000000001E-2"/>
    <n v="-2.659328E-2"/>
    <n v="-1.1519039999999998E-2"/>
    <n v="-3.5533839565012902E-2"/>
    <n v="-1.37051925807635E-2"/>
    <n v="-3.8373830620660088E-3"/>
    <n v="-8.6116045826043635E-4"/>
    <n v="-6.0366061080249341E-2"/>
    <n v="-3.7151702358328674E-2"/>
    <n v="-0.12502473320368551"/>
    <n v="-4.3867116375457664"/>
    <n v="-1.5940418742451448"/>
  </r>
  <r>
    <x v="6"/>
    <x v="45"/>
    <x v="57"/>
    <n v="-8.9676799999999994E-4"/>
    <n v="-8.2555200000000006E-3"/>
    <n v="-6.8198399999999998E-3"/>
    <n v="-2.74176E-4"/>
    <n v="-3.4288640000000001E-4"/>
    <n v="-4.5410399999999999E-4"/>
    <n v="-2.5219199999999999E-4"/>
    <n v="-1.5196615836687132E-3"/>
    <n v="-7.7668476155682013E-4"/>
    <n v="-8.9333446489726605E-4"/>
    <n v="-5.073439807125718E-6"/>
    <n v="-1.4360130569352745E-3"/>
    <n v="-8.2024148792769693E-4"/>
    <n v="-8.1081767447457043E-3"/>
    <n v="7.2044803752248224E-4"/>
    <n v="-6.1661475264938462E-3"/>
  </r>
  <r>
    <x v="6"/>
    <x v="45"/>
    <x v="58"/>
    <n v="1.488E-5"/>
    <n v="-1.6915392000000002E-4"/>
    <n v="-2.79552E-5"/>
    <n v="-4.0723200000000003E-7"/>
    <n v="1.5344640000000002E-5"/>
    <n v="2.5049920000000004E-5"/>
    <n v="-1.9800480000000002E-6"/>
    <n v="2.5758907895249933E-6"/>
    <n v="-4.5314779982673589E-5"/>
    <n v="-4.6158050773000957E-6"/>
    <n v="-2.4497803264139832E-13"/>
    <n v="-1.5217826515493397E-5"/>
    <n v="2.8850121436770548E-5"/>
    <n v="-4.0193683321950146E-4"/>
    <n v="-3.3288517510522509E-6"/>
    <n v="2.9781716034969739E-5"/>
  </r>
  <r>
    <x v="6"/>
    <x v="45"/>
    <x v="59"/>
    <n v="-1.9431124692873187E-4"/>
    <n v="4.1248851127126491E-3"/>
    <n v="-2.1776509341907228E-4"/>
    <n v="-3.342771384280572E-6"/>
    <n v="-7.9733349638767134E-5"/>
    <n v="-1.0450216207503317E-4"/>
    <n v="-2.5079561645139632E-5"/>
    <n v="-2.7392402101597673E-5"/>
    <n v="-3.8225533216195004E-4"/>
    <n v="-3.847127668711562E-5"/>
    <n v="-2.0210038908150994E-12"/>
    <n v="-1.938990456699943E-4"/>
    <n v="-1.7079210629860139E-4"/>
    <n v="-3.4145687304767201E-3"/>
    <n v="-2.7689954325883033E-5"/>
    <n v="1.5915134299680867E-4"/>
  </r>
  <r>
    <x v="6"/>
    <x v="45"/>
    <x v="60"/>
    <n v="3.326499076114484E-6"/>
    <n v="1.0956459289708741E-5"/>
    <n v="1.4376667683953509E-6"/>
    <n v="1.2243124842072051E-8"/>
    <n v="1.1720126205429627E-6"/>
    <n v="1.7846536018313389E-6"/>
    <n v="5.882749331716946E-7"/>
    <n v="4.12704761895952E-6"/>
    <n v="7.260245690835717E-8"/>
    <n v="1.0862909637486738E-7"/>
    <n v="1.9120442488539928E-15"/>
    <n v="5.5717983647995002E-6"/>
    <n v="2.7608965403889074E-6"/>
    <n v="7.1069736000023114E-6"/>
    <n v="4.6948863747407796E-8"/>
    <n v="3.3330881906103287E-7"/>
  </r>
  <r>
    <x v="6"/>
    <x v="45"/>
    <x v="61"/>
    <n v="2.0056798240447665E-5"/>
    <n v="6.6074223364911749E-5"/>
    <n v="2.6778542039079687E-4"/>
    <n v="7.3846063138353861E-8"/>
    <n v="7.0664848743089951E-6"/>
    <n v="1.0760281057184681E-5"/>
    <n v="3.5468429580300763E-6"/>
    <n v="2.4882083430981497E-5"/>
    <n v="4.4140886995612932E-7"/>
    <n v="6.5530350718810157E-7"/>
    <n v="1.1547686749955113E-14"/>
    <n v="3.3593715385625577E-5"/>
    <n v="1.6646304484130573E-5"/>
    <n v="4.2863546179742139E-5"/>
    <n v="2.8330029921195425E-7"/>
    <n v="2.0103386014048824E-6"/>
  </r>
  <r>
    <x v="6"/>
    <x v="45"/>
    <x v="62"/>
    <n v="2.0782065297539687E-4"/>
    <n v="9.2344882038652954E-4"/>
    <n v="1.0153947116080803E-4"/>
    <n v="1.1060615922049613E-6"/>
    <n v="1.1251396531542209E-4"/>
    <n v="1.7031957725923379E-4"/>
    <n v="4.1801315727324614E-3"/>
    <n v="3.1380760285651135E-2"/>
    <n v="1.3411124029940202E-5"/>
    <n v="8.317591895451697E-6"/>
    <n v="4.6796769630958535E-13"/>
    <n v="1.7731339765304668E-4"/>
    <n v="2.3271048136881955E-4"/>
    <n v="4.7755076190661227E-4"/>
    <n v="6.7465717808799974E-6"/>
    <n v="1.1181997377213908E-5"/>
  </r>
  <r>
    <x v="6"/>
    <x v="45"/>
    <x v="63"/>
    <n v="2.1116323795116515E-5"/>
    <n v="1.6480761134363351E-4"/>
    <n v="3.9360807255041427E-5"/>
    <n v="2.032467094800558E-5"/>
    <n v="6.4999266362474241E-6"/>
    <n v="9.8791046310094092E-6"/>
    <n v="4.9416311944479675E-6"/>
    <n v="2.631823282424467E-5"/>
    <n v="1.8209735721502671E-6"/>
    <n v="6.0691808424040862E-7"/>
    <n v="1.7921321956719812E-14"/>
    <n v="2.7910071169071903E-5"/>
    <n v="1.6163231839907777E-5"/>
    <n v="1.1789275468091448E-4"/>
    <n v="5.1618590463559789E-7"/>
    <n v="-5.7722139068180841E-7"/>
  </r>
  <r>
    <x v="6"/>
    <x v="45"/>
    <x v="64"/>
    <n v="1.3648506148896528E-5"/>
    <n v="1.1064656558405018E-3"/>
    <n v="3.6907033314026489E-5"/>
    <n v="7.8931807856077573E-6"/>
    <n v="3.5920169527893644E-5"/>
    <n v="9.2817099459496963E-6"/>
    <n v="2.0486046192185757E-6"/>
    <n v="1.8757788085606366E-5"/>
    <n v="6.9071653356259299E-7"/>
    <n v="2.3021166386583061E-7"/>
    <n v="6.7978269269364548E-15"/>
    <n v="1.7757722133335225E-5"/>
    <n v="3.071810711968383E-5"/>
    <n v="4.471799375512095E-5"/>
    <n v="1.957957396132545E-7"/>
    <n v="1.2759498467599778E-6"/>
  </r>
  <r>
    <x v="6"/>
    <x v="45"/>
    <x v="65"/>
    <n v="1.4645098354406028E-4"/>
    <n v="1.3888547124569039E-3"/>
    <n v="5.6125425563393426E-5"/>
    <n v="6.4259469082738052E-7"/>
    <n v="6.1262052804331258E-5"/>
    <n v="9.2695872204862933E-5"/>
    <n v="5.8274618220197574E-6"/>
    <n v="1.1101409148700125E-5"/>
    <n v="6.5662190400545315E-5"/>
    <n v="7.2111734856656171E-6"/>
    <n v="3.5607371331011162E-10"/>
    <n v="1.171570772783964E-4"/>
    <n v="1.3672802479422095E-4"/>
    <n v="1.0890149537244444E-3"/>
    <n v="7.2320259489875304E-6"/>
    <n v="7.0008961606960779E-6"/>
  </r>
  <r>
    <x v="6"/>
    <x v="45"/>
    <x v="66"/>
    <n v="8.8213951249934146E-4"/>
    <n v="8.3656906176430672E-3"/>
    <n v="3.3806844001436464E-4"/>
    <n v="3.8706340755341287E-6"/>
    <n v="3.6900863406808622E-4"/>
    <n v="5.5834853094651848E-4"/>
    <n v="3.5101398477385164E-5"/>
    <n v="6.686873257866365E-5"/>
    <n v="3.9551262291215327E-4"/>
    <n v="4.3436110220997364E-5"/>
    <n v="2.14479059322065E-9"/>
    <n v="7.0568926568607992E-4"/>
    <n v="8.2357380072278286E-4"/>
    <n v="6.5596221830354177E-3"/>
    <n v="4.3561713896602795E-5"/>
    <n v="4.2169516221718525E-5"/>
  </r>
  <r>
    <x v="6"/>
    <x v="45"/>
    <x v="67"/>
    <n v="1.2642408431230628E-4"/>
    <n v="1.2158335662622232E-3"/>
    <n v="5.2030073633104274E-5"/>
    <n v="6.0862965274618306E-7"/>
    <n v="5.2633837819281863E-5"/>
    <n v="7.9579889255145816E-5"/>
    <n v="5.3469608657693046E-6"/>
    <n v="1.03851754050832E-5"/>
    <n v="6.2661358379612704E-5"/>
    <n v="6.8545136354077005E-6"/>
    <n v="2.9795019041046424E-10"/>
    <n v="1.0250318972893798E-4"/>
    <n v="1.1733261873910235E-4"/>
    <n v="9.5705327646661981E-4"/>
    <n v="6.5955139407128011E-6"/>
    <n v="7.6300285643487858E-6"/>
  </r>
  <r>
    <x v="6"/>
    <x v="45"/>
    <x v="68"/>
    <n v="2.1860322196225399E-5"/>
    <n v="4.1722046979059823E-4"/>
    <n v="2.2140978815531765E-5"/>
    <n v="3.603140371285849E-7"/>
    <n v="9.202121796376154E-6"/>
    <n v="1.3706789698088079E-5"/>
    <n v="2.9336322143278279E-6"/>
    <n v="6.5583640942831065E-6"/>
    <n v="3.2369022822306471E-5"/>
    <n v="3.4432163378428153E-6"/>
    <n v="1.774355530389496E-13"/>
    <n v="2.5900455229135586E-5"/>
    <n v="1.9928249338923152E-5"/>
    <n v="3.4962018719080558E-4"/>
    <n v="2.5225495254292924E-6"/>
    <n v="1.0138465723273051E-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x v="0"/>
    <x v="0"/>
    <x v="0"/>
    <n v="5.446677676764216E-2"/>
    <n v="5.446677676764216E-2"/>
    <n v="5.446677676764216E-2"/>
    <n v="5.446677676764216E-2"/>
  </r>
  <r>
    <x v="0"/>
    <x v="0"/>
    <x v="1"/>
    <n v="2.3258473204249613E-4"/>
    <n v="2.3258473204249613E-4"/>
    <n v="2.3258473204249613E-4"/>
    <n v="2.3258473204249613E-4"/>
  </r>
  <r>
    <x v="0"/>
    <x v="0"/>
    <x v="2"/>
    <n v="6.5364198290506051E-5"/>
    <n v="6.5364198290506051E-5"/>
    <n v="6.5364198290506051E-5"/>
    <n v="6.5364198290506051E-5"/>
  </r>
  <r>
    <x v="0"/>
    <x v="1"/>
    <x v="3"/>
    <n v="1.9755826961922987E-3"/>
    <n v="1.9688447494544334E-3"/>
    <n v="1.9755826961922987E-3"/>
    <n v="1.9755826961922987E-3"/>
  </r>
  <r>
    <x v="0"/>
    <x v="1"/>
    <x v="4"/>
    <n v="1.7287288209293396E-3"/>
    <n v="1.7287288209293396E-3"/>
    <n v="1.7287288209293396E-3"/>
    <n v="1.7287288209293396E-3"/>
  </r>
  <r>
    <x v="0"/>
    <x v="1"/>
    <x v="1"/>
    <n v="3.8144071073210059E-4"/>
    <n v="3.8144071073210059E-4"/>
    <n v="3.8144071073210059E-4"/>
    <n v="3.8144071073210059E-4"/>
  </r>
  <r>
    <x v="0"/>
    <x v="1"/>
    <x v="2"/>
    <n v="5.8525939583945925E-3"/>
    <n v="5.8525939583945925E-3"/>
    <n v="5.8525939583945925E-3"/>
    <n v="5.8525939583945925E-3"/>
  </r>
  <r>
    <x v="0"/>
    <x v="2"/>
    <x v="5"/>
    <n v="4.5624716601322062"/>
    <n v="4.5624716601322062"/>
    <n v="4.5624716601322062"/>
    <n v="4.5624716601322062"/>
  </r>
  <r>
    <x v="0"/>
    <x v="2"/>
    <x v="1"/>
    <n v="1.571409905048942E-2"/>
    <n v="1.571409905048942E-2"/>
    <n v="1.571409905048942E-2"/>
    <n v="1.571409905048942E-2"/>
  </r>
  <r>
    <x v="0"/>
    <x v="2"/>
    <x v="2"/>
    <n v="6.6959196018407459E-5"/>
    <n v="6.6959196018407459E-5"/>
    <n v="6.6959196018407459E-5"/>
    <n v="6.6959196018407459E-5"/>
  </r>
  <r>
    <x v="1"/>
    <x v="3"/>
    <x v="6"/>
    <n v="4.5513093546421208"/>
    <n v="4.5513093546421208"/>
    <n v="4.5513093546421208"/>
    <n v="4.5513093546421208"/>
  </r>
  <r>
    <x v="1"/>
    <x v="3"/>
    <x v="1"/>
    <n v="2.356913873573406E-2"/>
    <n v="2.356913873573406E-2"/>
    <n v="2.356913873573406E-2"/>
    <n v="2.356913873573406E-2"/>
  </r>
  <r>
    <x v="1"/>
    <x v="3"/>
    <x v="2"/>
    <n v="2.3549785574290678E-2"/>
    <n v="2.3549785574290678E-2"/>
    <n v="2.3549785574290678E-2"/>
    <n v="2.3549785574290678E-2"/>
  </r>
  <r>
    <x v="0"/>
    <x v="4"/>
    <x v="7"/>
    <n v="0.43635632120149043"/>
    <n v="0.43635632120149043"/>
    <n v="0.43635632120149043"/>
    <n v="0.43635632120149043"/>
  </r>
  <r>
    <x v="0"/>
    <x v="4"/>
    <x v="1"/>
    <n v="1.571409905048942E-2"/>
    <n v="1.571409905048942E-2"/>
    <n v="1.571409905048942E-2"/>
    <n v="1.571409905048942E-2"/>
  </r>
  <r>
    <x v="0"/>
    <x v="4"/>
    <x v="2"/>
    <n v="6.8881178853219093E-5"/>
    <n v="6.8881178853219093E-5"/>
    <n v="6.8881178853219093E-5"/>
    <n v="6.8881178853219093E-5"/>
  </r>
  <r>
    <x v="0"/>
    <x v="5"/>
    <x v="1"/>
    <n v="1.7199949045385365E-2"/>
    <n v="1.7199949045385365E-2"/>
    <n v="1.7199949045385365E-2"/>
    <n v="1.7199949045385365E-2"/>
  </r>
  <r>
    <x v="0"/>
    <x v="5"/>
    <x v="8"/>
    <n v="3.0756907259233399E-2"/>
    <n v="3.0756907259233399E-2"/>
    <n v="3.0756907259233399E-2"/>
    <n v="3.0756907259233399E-2"/>
  </r>
  <r>
    <x v="0"/>
    <x v="5"/>
    <x v="2"/>
    <n v="3.2756545584031193E-4"/>
    <n v="3.2756545584031193E-4"/>
    <n v="3.2756545584031193E-4"/>
    <n v="3.2756545584031193E-4"/>
  </r>
  <r>
    <x v="1"/>
    <x v="6"/>
    <x v="1"/>
    <n v="1.571409905048942E-2"/>
    <n v="1.571409905048942E-2"/>
    <n v="1.571409905048942E-2"/>
    <n v="1.571409905048942E-2"/>
  </r>
  <r>
    <x v="1"/>
    <x v="6"/>
    <x v="9"/>
    <n v="1.5351441206810104"/>
    <n v="1.5351441206810104"/>
    <n v="1.5351441206810104"/>
    <n v="1.5351441206810104"/>
  </r>
  <r>
    <x v="1"/>
    <x v="6"/>
    <x v="2"/>
    <n v="1.5169912926592749E-2"/>
    <n v="1.5169912926592749E-2"/>
    <n v="1.5169912926592749E-2"/>
    <n v="1.5169912926592749E-2"/>
  </r>
  <r>
    <x v="0"/>
    <x v="7"/>
    <x v="1"/>
    <n v="1.571409905048942E-2"/>
    <n v="1.571409905048942E-2"/>
    <n v="1.571409905048942E-2"/>
    <n v="1.571409905048942E-2"/>
  </r>
  <r>
    <x v="0"/>
    <x v="7"/>
    <x v="10"/>
    <n v="0.70746532087437264"/>
    <n v="0.70746532087437264"/>
    <n v="0.70746532087437264"/>
    <n v="0.70746532087437264"/>
  </r>
  <r>
    <x v="0"/>
    <x v="7"/>
    <x v="2"/>
    <n v="4.096347010496912E-5"/>
    <n v="4.096347010496912E-5"/>
    <n v="4.096347010496912E-5"/>
    <n v="4.096347010496912E-5"/>
  </r>
  <r>
    <x v="0"/>
    <x v="8"/>
    <x v="1"/>
    <n v="1.571409905048942E-2"/>
    <n v="1.571409905048942E-2"/>
    <n v="1.571409905048942E-2"/>
    <n v="1.571409905048942E-2"/>
  </r>
  <r>
    <x v="0"/>
    <x v="8"/>
    <x v="11"/>
    <n v="4.0516591450760128E-2"/>
    <n v="4.0516591450760128E-2"/>
    <n v="4.0516591450760128E-2"/>
    <n v="4.0516591450760128E-2"/>
  </r>
  <r>
    <x v="0"/>
    <x v="8"/>
    <x v="2"/>
    <n v="4.299353502237261E-3"/>
    <n v="4.299353502237261E-3"/>
    <n v="4.299353502237261E-3"/>
    <n v="4.299353502237261E-3"/>
  </r>
  <r>
    <x v="0"/>
    <x v="9"/>
    <x v="3"/>
    <n v="3.5075024543937392E-3"/>
    <n v="3.5075024543937392E-3"/>
    <n v="3.5075024543937392E-3"/>
    <n v="3.5075024543937392E-3"/>
  </r>
  <r>
    <x v="0"/>
    <x v="9"/>
    <x v="4"/>
    <n v="2.5996609988880301E-2"/>
    <n v="2.5996609988880301E-2"/>
    <n v="2.5996609988880301E-2"/>
    <n v="2.5996609988880301E-2"/>
  </r>
  <r>
    <x v="0"/>
    <x v="9"/>
    <x v="1"/>
    <n v="6.2853273161957419E-6"/>
    <n v="6.2853273161957419E-6"/>
    <n v="6.2853273161957419E-6"/>
    <n v="6.2853273161957419E-6"/>
  </r>
  <r>
    <x v="1"/>
    <x v="10"/>
    <x v="1"/>
    <n v="1.571409905048942E-2"/>
    <n v="1.571409905048942E-2"/>
    <n v="1.571409905048942E-2"/>
    <n v="1.571409905048942E-2"/>
  </r>
  <r>
    <x v="1"/>
    <x v="10"/>
    <x v="12"/>
    <n v="9.0706284739787417"/>
    <n v="9.0706284739787417"/>
    <n v="9.0706284739787417"/>
    <n v="9.0706284739787417"/>
  </r>
  <r>
    <x v="1"/>
    <x v="10"/>
    <x v="2"/>
    <n v="6.6959196018407459E-5"/>
    <n v="6.6959196018407459E-5"/>
    <n v="6.6959196018407459E-5"/>
    <n v="6.6959196018407459E-5"/>
  </r>
  <r>
    <x v="2"/>
    <x v="11"/>
    <x v="13"/>
    <n v="4.0001914750718792E-2"/>
    <n v="4.0001914750718792E-2"/>
    <n v="4.0001914750718792E-2"/>
    <n v="4.0001914750718792E-2"/>
  </r>
  <r>
    <x v="2"/>
    <x v="11"/>
    <x v="14"/>
    <n v="2.1226314495263335E-3"/>
    <n v="2.1226314495263335E-3"/>
    <n v="2.1226314495263335E-3"/>
    <n v="2.1226314495263335E-3"/>
  </r>
  <r>
    <x v="2"/>
    <x v="11"/>
    <x v="15"/>
    <n v="1.133987986810814E-2"/>
    <n v="1.133987986810814E-2"/>
    <n v="1.133987986810814E-2"/>
    <n v="1.133987986810814E-2"/>
  </r>
  <r>
    <x v="2"/>
    <x v="11"/>
    <x v="16"/>
    <n v="8.569585890516949E-4"/>
    <n v="8.569585890516949E-4"/>
    <n v="8.569585890516949E-4"/>
    <n v="8.569585890516949E-4"/>
  </r>
  <r>
    <x v="2"/>
    <x v="11"/>
    <x v="17"/>
    <n v="8.0220310021430986E-6"/>
    <n v="8.0220310021430986E-6"/>
    <n v="8.0220310021430986E-6"/>
    <n v="8.0220310021430986E-6"/>
  </r>
  <r>
    <x v="0"/>
    <x v="12"/>
    <x v="18"/>
    <n v="7.3785668104541335E-5"/>
    <n v="7.3785668104541335E-5"/>
    <n v="7.3785668104541335E-5"/>
    <n v="7.3785668104541335E-5"/>
  </r>
  <r>
    <x v="0"/>
    <x v="12"/>
    <x v="19"/>
    <n v="4.0183644607423907E-2"/>
    <n v="4.0183644607423907E-2"/>
    <n v="4.0183644607423907E-2"/>
    <n v="4.0183644607423907E-2"/>
  </r>
  <r>
    <x v="0"/>
    <x v="12"/>
    <x v="20"/>
    <n v="2.3269737995819358E-3"/>
    <n v="2.3269737995819358E-3"/>
    <n v="2.3269737995819358E-3"/>
    <n v="2.3269737995819358E-3"/>
  </r>
  <r>
    <x v="0"/>
    <x v="12"/>
    <x v="21"/>
    <n v="3.4225161679814682E-3"/>
    <n v="3.4225161679814682E-3"/>
    <n v="3.4225161679814682E-3"/>
    <n v="3.4225161679814682E-3"/>
  </r>
  <r>
    <x v="0"/>
    <x v="12"/>
    <x v="3"/>
    <n v="1.9397655159342339E-3"/>
    <n v="1.9397655159342339E-3"/>
    <n v="1.9397655159342339E-3"/>
    <n v="1.9397655159342339E-3"/>
  </r>
  <r>
    <x v="0"/>
    <x v="12"/>
    <x v="22"/>
    <n v="1.5222154013237704E-3"/>
    <n v="1.5222154013237704E-3"/>
    <n v="1.5222154013237704E-3"/>
    <n v="1.5222154013237704E-3"/>
  </r>
  <r>
    <x v="0"/>
    <x v="12"/>
    <x v="23"/>
    <n v="8.40334017109294E-5"/>
    <n v="8.40334017109294E-5"/>
    <n v="8.40334017109294E-5"/>
    <n v="8.40334017109294E-5"/>
  </r>
  <r>
    <x v="0"/>
    <x v="12"/>
    <x v="24"/>
    <n v="2.5302273629459522E-4"/>
    <n v="2.5302273629459522E-4"/>
    <n v="2.5302273629459522E-4"/>
    <n v="2.5302273629459522E-4"/>
  </r>
  <r>
    <x v="0"/>
    <x v="12"/>
    <x v="1"/>
    <n v="1.1923842496340613E-4"/>
    <n v="1.1923842496340613E-4"/>
    <n v="1.1923842496340613E-4"/>
    <n v="1.1923842496340613E-4"/>
  </r>
  <r>
    <x v="0"/>
    <x v="12"/>
    <x v="2"/>
    <n v="4.1725213508525793E-4"/>
    <n v="4.1725213508525793E-4"/>
    <n v="4.1725213508525793E-4"/>
    <n v="4.1725213508525793E-4"/>
  </r>
  <r>
    <x v="0"/>
    <x v="13"/>
    <x v="21"/>
    <n v="2.6089243854336323E-4"/>
    <n v="2.6089243854336323E-4"/>
    <n v="2.6089243854336323E-4"/>
    <n v="2.6089243854336323E-4"/>
  </r>
  <r>
    <x v="0"/>
    <x v="13"/>
    <x v="3"/>
    <n v="6.5571426881120661E-5"/>
    <n v="6.5571426881120661E-5"/>
    <n v="6.5571426881120661E-5"/>
    <n v="6.5571426881120661E-5"/>
  </r>
  <r>
    <x v="0"/>
    <x v="13"/>
    <x v="25"/>
    <n v="4.5704281951118881E-3"/>
    <n v="4.5704281951118881E-3"/>
    <n v="4.5704281951118881E-3"/>
    <n v="4.5704281951118881E-3"/>
  </r>
  <r>
    <x v="0"/>
    <x v="13"/>
    <x v="26"/>
    <n v="7.9374039360000017E-4"/>
    <n v="7.9374039360000017E-4"/>
    <n v="7.9374039360000017E-4"/>
    <n v="7.9374039360000017E-4"/>
  </r>
  <r>
    <x v="0"/>
    <x v="13"/>
    <x v="1"/>
    <n v="2.6014228687999998E-3"/>
    <n v="2.6014228687999998E-3"/>
    <n v="2.6014228687999998E-3"/>
    <n v="2.6014228687999998E-3"/>
  </r>
  <r>
    <x v="0"/>
    <x v="13"/>
    <x v="2"/>
    <n v="2.6872423840080672E-4"/>
    <n v="2.6872423840080672E-4"/>
    <n v="2.6872423840080672E-4"/>
    <n v="2.6872423840080672E-4"/>
  </r>
  <r>
    <x v="0"/>
    <x v="14"/>
    <x v="27"/>
    <n v="2.632755705233988E-4"/>
    <n v="2.632755705233988E-4"/>
    <n v="2.632755705233988E-4"/>
    <n v="2.632755705233988E-4"/>
  </r>
  <r>
    <x v="0"/>
    <x v="14"/>
    <x v="1"/>
    <n v="1.9550047350810401E-3"/>
    <n v="1.9550047350810401E-3"/>
    <n v="1.9550047350810401E-3"/>
    <n v="1.9550047350810401E-3"/>
  </r>
  <r>
    <x v="0"/>
    <x v="14"/>
    <x v="2"/>
    <n v="4.9899681943322158E-6"/>
    <n v="4.9899681943322158E-6"/>
    <n v="4.9899681943322158E-6"/>
    <n v="4.9899681943322158E-6"/>
  </r>
  <r>
    <x v="0"/>
    <x v="15"/>
    <x v="28"/>
    <n v="5.3595353728793475E-3"/>
    <n v="5.3595353728793475E-3"/>
    <n v="5.3595353728793475E-3"/>
    <n v="5.3595353728793475E-3"/>
  </r>
  <r>
    <x v="0"/>
    <x v="15"/>
    <x v="27"/>
    <n v="1.4107114361399647E-4"/>
    <n v="1.4107114361399647E-4"/>
    <n v="1.4107114361399647E-4"/>
    <n v="1.4107114361399647E-4"/>
  </r>
  <r>
    <x v="0"/>
    <x v="15"/>
    <x v="1"/>
    <n v="1.25124342021187E-2"/>
    <n v="1.25124342021187E-2"/>
    <n v="1.25124342021187E-2"/>
    <n v="1.25124342021187E-2"/>
  </r>
  <r>
    <x v="0"/>
    <x v="15"/>
    <x v="29"/>
    <n v="2.6050966959672905E-2"/>
    <n v="2.6050966959672905E-2"/>
    <n v="2.6050966959672905E-2"/>
    <n v="2.6050966959672905E-2"/>
  </r>
  <r>
    <x v="0"/>
    <x v="15"/>
    <x v="2"/>
    <n v="5.1305196670124666E-4"/>
    <n v="5.1305196670124666E-4"/>
    <n v="5.1305196670124666E-4"/>
    <n v="5.1305196670124666E-4"/>
  </r>
  <r>
    <x v="0"/>
    <x v="15"/>
    <x v="30"/>
    <n v="2.540974555809207E-4"/>
    <n v="2.540974555809207E-4"/>
    <n v="2.540974555809207E-4"/>
    <n v="2.540974555809207E-4"/>
  </r>
  <r>
    <x v="0"/>
    <x v="16"/>
    <x v="28"/>
    <n v="6.4545770901333415E-4"/>
    <n v="6.4545770901333415E-4"/>
    <n v="6.4545770901333415E-4"/>
    <n v="6.4545770901333415E-4"/>
  </r>
  <r>
    <x v="0"/>
    <x v="16"/>
    <x v="1"/>
    <n v="2.6066256044892859E-3"/>
    <n v="2.6066256044892859E-3"/>
    <n v="2.6066256044892859E-3"/>
    <n v="2.6066256044892859E-3"/>
  </r>
  <r>
    <x v="0"/>
    <x v="16"/>
    <x v="29"/>
    <n v="1.5462948390887847E-2"/>
    <n v="1.5462948390887847E-2"/>
    <n v="1.5462948390887847E-2"/>
    <n v="1.5462948390887847E-2"/>
  </r>
  <r>
    <x v="0"/>
    <x v="16"/>
    <x v="2"/>
    <n v="9.2391253633261112E-5"/>
    <n v="9.2391253633261112E-5"/>
    <n v="9.2391253633261112E-5"/>
    <n v="9.2391253633261112E-5"/>
  </r>
  <r>
    <x v="0"/>
    <x v="16"/>
    <x v="31"/>
    <n v="5.230724377254259E-5"/>
    <n v="5.230724377254259E-5"/>
    <n v="5.230724377254259E-5"/>
    <n v="5.230724377254259E-5"/>
  </r>
  <r>
    <x v="0"/>
    <x v="16"/>
    <x v="30"/>
    <n v="2.2412436215755905E-5"/>
    <n v="2.2412436215755905E-5"/>
    <n v="2.2412436215755905E-5"/>
    <n v="2.2412436215755905E-5"/>
  </r>
  <r>
    <x v="0"/>
    <x v="17"/>
    <x v="28"/>
    <n v="4.6440690722066537E-3"/>
    <n v="4.6440690722066537E-3"/>
    <n v="4.6440690722066537E-3"/>
    <n v="4.6440690722066537E-3"/>
  </r>
  <r>
    <x v="0"/>
    <x v="17"/>
    <x v="1"/>
    <n v="1.1339180357630476E-2"/>
    <n v="1.1339180357630476E-2"/>
    <n v="1.1339180357630476E-2"/>
    <n v="1.1339180357630476E-2"/>
  </r>
  <r>
    <x v="0"/>
    <x v="17"/>
    <x v="29"/>
    <n v="3.374087625129648E-2"/>
    <n v="3.374087625129648E-2"/>
    <n v="3.374087625129648E-2"/>
    <n v="3.374087625129648E-2"/>
  </r>
  <r>
    <x v="0"/>
    <x v="17"/>
    <x v="2"/>
    <n v="3.8895825601413568E-4"/>
    <n v="3.8895825601413568E-4"/>
    <n v="3.8895825601413568E-4"/>
    <n v="3.8895825601413568E-4"/>
  </r>
  <r>
    <x v="0"/>
    <x v="17"/>
    <x v="30"/>
    <n v="1.8669516557130085E-4"/>
    <n v="1.8669516557130085E-4"/>
    <n v="1.8669516557130085E-4"/>
    <n v="1.8669516557130085E-4"/>
  </r>
  <r>
    <x v="0"/>
    <x v="18"/>
    <x v="28"/>
    <n v="4.5539648037800622E-3"/>
    <n v="4.5539648037800622E-3"/>
    <n v="4.5539648037800622E-3"/>
    <n v="4.5539648037800622E-3"/>
  </r>
  <r>
    <x v="0"/>
    <x v="18"/>
    <x v="1"/>
    <n v="1.25124342021187E-2"/>
    <n v="1.25124342021187E-2"/>
    <n v="1.25124342021187E-2"/>
    <n v="1.25124342021187E-2"/>
  </r>
  <r>
    <x v="0"/>
    <x v="18"/>
    <x v="29"/>
    <n v="6.2754327116588807E-2"/>
    <n v="6.2754327116588807E-2"/>
    <n v="6.2754327116588807E-2"/>
    <n v="6.2754327116588807E-2"/>
  </r>
  <r>
    <x v="0"/>
    <x v="18"/>
    <x v="2"/>
    <n v="4.636010482437881E-4"/>
    <n v="4.636010482437881E-4"/>
    <n v="4.636010482437881E-4"/>
    <n v="4.636010482437881E-4"/>
  </r>
  <r>
    <x v="0"/>
    <x v="18"/>
    <x v="31"/>
    <n v="3.7372056408958973E-5"/>
    <n v="3.7372056408958973E-5"/>
    <n v="3.7372056408958973E-5"/>
    <n v="3.7372056408958973E-5"/>
  </r>
  <r>
    <x v="0"/>
    <x v="18"/>
    <x v="30"/>
    <n v="5.9782483854334228E-5"/>
    <n v="5.9782483854334228E-5"/>
    <n v="5.9782483854334228E-5"/>
    <n v="5.9782483854334228E-5"/>
  </r>
  <r>
    <x v="0"/>
    <x v="19"/>
    <x v="28"/>
    <n v="5.8185003338566618E-3"/>
    <n v="5.8185003338566618E-3"/>
    <n v="5.8185003338566618E-3"/>
    <n v="5.8185003338566618E-3"/>
  </r>
  <r>
    <x v="0"/>
    <x v="19"/>
    <x v="1"/>
    <n v="1.25124342021187E-2"/>
    <n v="1.25124342021187E-2"/>
    <n v="1.25124342021187E-2"/>
    <n v="1.25124342021187E-2"/>
  </r>
  <r>
    <x v="0"/>
    <x v="19"/>
    <x v="29"/>
    <n v="6.1061354547429912E-2"/>
    <n v="6.1061354547429912E-2"/>
    <n v="6.1061354547429912E-2"/>
    <n v="6.1061354547429912E-2"/>
  </r>
  <r>
    <x v="0"/>
    <x v="19"/>
    <x v="2"/>
    <n v="5.0811181216408739E-4"/>
    <n v="5.0811181216408739E-4"/>
    <n v="5.0811181216408739E-4"/>
    <n v="5.0811181216408739E-4"/>
  </r>
  <r>
    <x v="0"/>
    <x v="19"/>
    <x v="31"/>
    <n v="4.4818899690750763E-5"/>
    <n v="4.4818899690750763E-5"/>
    <n v="4.4818899690750763E-5"/>
    <n v="4.4818899690750763E-5"/>
  </r>
  <r>
    <x v="0"/>
    <x v="19"/>
    <x v="30"/>
    <n v="1.6433495219941928E-4"/>
    <n v="1.6433495219941928E-4"/>
    <n v="1.6433495219941928E-4"/>
    <n v="1.6433495219941928E-4"/>
  </r>
  <r>
    <x v="0"/>
    <x v="20"/>
    <x v="32"/>
    <n v="6.0119444944441031E-5"/>
    <n v="6.0119444944441031E-5"/>
    <n v="6.0119444944441031E-5"/>
    <n v="6.0119444944441031E-5"/>
  </r>
  <r>
    <x v="0"/>
    <x v="20"/>
    <x v="19"/>
    <n v="1.9307518702093402E-3"/>
    <n v="1.9307518702093402E-3"/>
    <n v="1.9307518702093402E-3"/>
    <n v="1.9307518702093402E-3"/>
  </r>
  <r>
    <x v="0"/>
    <x v="20"/>
    <x v="21"/>
    <n v="2.3419749275823093E-3"/>
    <n v="2.3419749275823093E-3"/>
    <n v="2.3419749275823093E-3"/>
    <n v="2.3419749275823093E-3"/>
  </r>
  <r>
    <x v="0"/>
    <x v="20"/>
    <x v="3"/>
    <n v="4.1541512510781462E-5"/>
    <n v="4.1541512510781462E-5"/>
    <n v="4.1541512510781462E-5"/>
    <n v="4.1541512510781462E-5"/>
  </r>
  <r>
    <x v="0"/>
    <x v="20"/>
    <x v="33"/>
    <n v="2.7551309902673119E-3"/>
    <n v="2.7551309902673119E-3"/>
    <n v="2.7551309902673119E-3"/>
    <n v="2.7551309902673119E-3"/>
  </r>
  <r>
    <x v="0"/>
    <x v="20"/>
    <x v="23"/>
    <n v="2.5180909421195701E-5"/>
    <n v="2.5180909421195701E-5"/>
    <n v="2.5180909421195701E-5"/>
    <n v="2.5180909421195701E-5"/>
  </r>
  <r>
    <x v="0"/>
    <x v="20"/>
    <x v="28"/>
    <n v="8.5330893988731904E-5"/>
    <n v="8.5330893988731904E-5"/>
    <n v="8.5330893988731904E-5"/>
    <n v="8.5330893988731904E-5"/>
  </r>
  <r>
    <x v="0"/>
    <x v="20"/>
    <x v="27"/>
    <n v="4.4299792801323103E-3"/>
    <n v="4.4299792801323103E-3"/>
    <n v="4.4299792801323103E-3"/>
    <n v="4.4299792801323103E-3"/>
  </r>
  <r>
    <x v="0"/>
    <x v="20"/>
    <x v="4"/>
    <n v="1.2141908349594975E-4"/>
    <n v="1.2141908349594975E-4"/>
    <n v="1.2141908349594975E-4"/>
    <n v="1.2141908349594975E-4"/>
  </r>
  <r>
    <x v="0"/>
    <x v="20"/>
    <x v="1"/>
    <n v="1.0591153391304856E-4"/>
    <n v="1.0591153391304856E-4"/>
    <n v="1.0591153391304856E-4"/>
    <n v="1.0591153391304856E-4"/>
  </r>
  <r>
    <x v="0"/>
    <x v="20"/>
    <x v="2"/>
    <n v="1.5772902243659103E-4"/>
    <n v="1.5772902243659103E-4"/>
    <n v="1.5772902243659103E-4"/>
    <n v="1.5772902243659103E-4"/>
  </r>
  <r>
    <x v="0"/>
    <x v="21"/>
    <x v="3"/>
    <n v="1.1321631078810967E-3"/>
    <n v="1.1321631078810967E-3"/>
    <n v="1.1321631078810967E-3"/>
    <n v="1.1321631078810967E-3"/>
  </r>
  <r>
    <x v="0"/>
    <x v="21"/>
    <x v="34"/>
    <n v="3.4110764816888989E-2"/>
    <n v="3.4110764816888989E-2"/>
    <n v="3.4110764816888989E-2"/>
    <n v="3.4110764816888989E-2"/>
  </r>
  <r>
    <x v="0"/>
    <x v="21"/>
    <x v="1"/>
    <n v="0.14921452942577426"/>
    <n v="0.14921452942577426"/>
    <n v="0.14921452942577426"/>
    <n v="0.14921452942577426"/>
  </r>
  <r>
    <x v="0"/>
    <x v="21"/>
    <x v="35"/>
    <n v="6.9357030081447224E-3"/>
    <n v="6.9357030081447224E-3"/>
    <n v="6.9357030081447224E-3"/>
    <n v="6.9357030081447224E-3"/>
  </r>
  <r>
    <x v="0"/>
    <x v="21"/>
    <x v="2"/>
    <n v="9.3339336546012443E-4"/>
    <n v="9.3339336546012443E-4"/>
    <n v="9.3339336546012443E-4"/>
    <n v="9.3339336546012443E-4"/>
  </r>
  <r>
    <x v="0"/>
    <x v="22"/>
    <x v="21"/>
    <n v="3.9525247653480082E-2"/>
    <n v="3.9525247653480082E-2"/>
    <n v="3.9525247653480082E-2"/>
    <n v="3.9525247653480082E-2"/>
  </r>
  <r>
    <x v="0"/>
    <x v="22"/>
    <x v="3"/>
    <n v="2.7237900827154231E-4"/>
    <n v="2.7237900827154231E-4"/>
    <n v="2.7237900827154231E-4"/>
    <n v="2.7237900827154231E-4"/>
  </r>
  <r>
    <x v="0"/>
    <x v="22"/>
    <x v="23"/>
    <n v="1.4522948231444308E-6"/>
    <n v="1.4522948231444308E-6"/>
    <n v="1.4522948231444308E-6"/>
    <n v="1.4522948231444308E-6"/>
  </r>
  <r>
    <x v="0"/>
    <x v="22"/>
    <x v="4"/>
    <n v="5.2174639381506648E-5"/>
    <n v="5.2174639381506648E-5"/>
    <n v="5.2174639381506648E-5"/>
    <n v="5.2174639381506648E-5"/>
  </r>
  <r>
    <x v="0"/>
    <x v="22"/>
    <x v="1"/>
    <n v="2.5774854393347708E-8"/>
    <n v="2.5774854393347708E-8"/>
    <n v="2.5774854393347708E-8"/>
    <n v="2.5774854393347708E-8"/>
  </r>
  <r>
    <x v="0"/>
    <x v="22"/>
    <x v="2"/>
    <n v="1.0225389050486993E-3"/>
    <n v="1.0225389050486993E-3"/>
    <n v="1.0225389050486993E-3"/>
    <n v="1.0225389050486993E-3"/>
  </r>
  <r>
    <x v="0"/>
    <x v="22"/>
    <x v="30"/>
    <n v="5.9766496575348919E-5"/>
    <n v="5.9766496575348919E-5"/>
    <n v="5.9766496575348919E-5"/>
    <n v="5.9766496575348919E-5"/>
  </r>
  <r>
    <x v="0"/>
    <x v="23"/>
    <x v="36"/>
    <n v="1.5583793506514267E-4"/>
    <n v="1.5583793506514267E-4"/>
    <n v="1.5583793506514267E-4"/>
    <n v="1.5583793506514267E-4"/>
  </r>
  <r>
    <x v="0"/>
    <x v="23"/>
    <x v="19"/>
    <n v="0.21990953593752827"/>
    <n v="0.21990953593752827"/>
    <n v="0.21990953593752827"/>
    <n v="0.21990953593752827"/>
  </r>
  <r>
    <x v="0"/>
    <x v="23"/>
    <x v="3"/>
    <n v="1.583416936171627E-3"/>
    <n v="1.583416936171627E-3"/>
    <n v="1.583416936171627E-3"/>
    <n v="1.583416936171627E-3"/>
  </r>
  <r>
    <x v="0"/>
    <x v="23"/>
    <x v="22"/>
    <n v="2.2576115967100959E-3"/>
    <n v="2.2576115967100959E-3"/>
    <n v="2.2576115967100959E-3"/>
    <n v="2.2576115967100959E-3"/>
  </r>
  <r>
    <x v="0"/>
    <x v="23"/>
    <x v="24"/>
    <n v="3.3182713587639448E-4"/>
    <n v="3.3182713587639448E-4"/>
    <n v="3.3182713587639448E-4"/>
    <n v="3.3182713587639448E-4"/>
  </r>
  <r>
    <x v="0"/>
    <x v="23"/>
    <x v="4"/>
    <n v="8.0937906806480731E-4"/>
    <n v="8.0937906806480731E-4"/>
    <n v="8.0937906806480731E-4"/>
    <n v="8.0937906806480731E-4"/>
  </r>
  <r>
    <x v="0"/>
    <x v="23"/>
    <x v="1"/>
    <n v="5.5656073473492741E-4"/>
    <n v="5.5656073473492741E-4"/>
    <n v="5.5656073473492741E-4"/>
    <n v="5.5656073473492741E-4"/>
  </r>
  <r>
    <x v="0"/>
    <x v="23"/>
    <x v="37"/>
    <n v="1.9954931538189047E-5"/>
    <n v="1.9954931538189047E-5"/>
    <n v="1.9954931538189047E-5"/>
    <n v="1.9954931538189047E-5"/>
  </r>
  <r>
    <x v="0"/>
    <x v="23"/>
    <x v="2"/>
    <n v="1.6957473940799801E-3"/>
    <n v="1.6957473940799801E-3"/>
    <n v="1.6957473940799801E-3"/>
    <n v="1.6957473940799801E-3"/>
  </r>
  <r>
    <x v="0"/>
    <x v="24"/>
    <x v="3"/>
    <n v="1.177903562057108E-4"/>
    <n v="1.177903562057108E-4"/>
    <n v="1.177903562057108E-4"/>
    <n v="1.177903562057108E-4"/>
  </r>
  <r>
    <x v="0"/>
    <x v="24"/>
    <x v="38"/>
    <n v="1.4966313896401795E-3"/>
    <n v="1.4966313896401795E-3"/>
    <n v="1.4966313896401795E-3"/>
    <n v="1.4966313896401795E-3"/>
  </r>
  <r>
    <x v="0"/>
    <x v="24"/>
    <x v="22"/>
    <n v="9.2359460431069004E-2"/>
    <n v="9.2359460431069004E-2"/>
    <n v="9.2359460431069004E-2"/>
    <n v="9.2359460431069004E-2"/>
  </r>
  <r>
    <x v="0"/>
    <x v="24"/>
    <x v="23"/>
    <n v="1.6797043868065463E-5"/>
    <n v="1.6797043868065463E-5"/>
    <n v="1.6797043868065463E-5"/>
    <n v="1.6797043868065463E-5"/>
  </r>
  <r>
    <x v="0"/>
    <x v="24"/>
    <x v="24"/>
    <n v="6.6517920575329887E-5"/>
    <n v="6.6517920575329887E-5"/>
    <n v="6.6517920575329887E-5"/>
    <n v="6.6517920575329887E-5"/>
  </r>
  <r>
    <x v="0"/>
    <x v="24"/>
    <x v="27"/>
    <n v="5.2808710798476401E-3"/>
    <n v="5.2808710798476401E-3"/>
    <n v="5.2808710798476401E-3"/>
    <n v="5.2808710798476401E-3"/>
  </r>
  <r>
    <x v="0"/>
    <x v="24"/>
    <x v="4"/>
    <n v="2.1045974472631265E-4"/>
    <n v="2.1045974472631265E-4"/>
    <n v="2.1045974472631265E-4"/>
    <n v="2.1045974472631265E-4"/>
  </r>
  <r>
    <x v="0"/>
    <x v="24"/>
    <x v="1"/>
    <n v="5.5656073473492741E-4"/>
    <n v="5.5656073473492741E-4"/>
    <n v="5.5656073473492741E-4"/>
    <n v="5.5656073473492741E-4"/>
  </r>
  <r>
    <x v="0"/>
    <x v="24"/>
    <x v="2"/>
    <n v="8.2876345595702132E-4"/>
    <n v="8.2876345595702132E-4"/>
    <n v="8.2876345595702132E-4"/>
    <n v="8.2876345595702132E-4"/>
  </r>
  <r>
    <x v="0"/>
    <x v="25"/>
    <x v="36"/>
    <n v="8.6093939646081884E-3"/>
    <n v="8.4884961500837353E-3"/>
    <n v="8.6093939646081884E-3"/>
    <n v="8.6093939646081884E-3"/>
  </r>
  <r>
    <x v="0"/>
    <x v="25"/>
    <x v="39"/>
    <n v="1.2153968066235955E-5"/>
    <n v="5.4650167686001847E-6"/>
    <n v="1.2153968066235955E-5"/>
    <n v="1.2153968066235955E-5"/>
  </r>
  <r>
    <x v="0"/>
    <x v="25"/>
    <x v="19"/>
    <n v="0.22287377855089849"/>
    <n v="0.21681671967473523"/>
    <n v="0.22287377855089849"/>
    <n v="0.22287377855089849"/>
  </r>
  <r>
    <x v="0"/>
    <x v="25"/>
    <x v="20"/>
    <n v="9.2269151362274412E-2"/>
    <n v="9.0398457977171817E-2"/>
    <n v="9.2269151362274412E-2"/>
    <n v="9.2269151362274412E-2"/>
  </r>
  <r>
    <x v="0"/>
    <x v="25"/>
    <x v="21"/>
    <n v="5.0287389539828992E-3"/>
    <n v="4.9632765999788244E-3"/>
    <n v="5.0287389539828992E-3"/>
    <n v="5.0287389539828992E-3"/>
  </r>
  <r>
    <x v="0"/>
    <x v="25"/>
    <x v="3"/>
    <n v="1.0251516925154667E-2"/>
    <n v="1.0105923080586649E-2"/>
    <n v="1.0251516925154667E-2"/>
    <n v="1.0251516925154667E-2"/>
  </r>
  <r>
    <x v="0"/>
    <x v="25"/>
    <x v="24"/>
    <n v="6.3294570479503103E-4"/>
    <n v="6.2906205156114815E-4"/>
    <n v="6.3294570479503103E-4"/>
    <n v="6.3294570479503103E-4"/>
  </r>
  <r>
    <x v="0"/>
    <x v="25"/>
    <x v="4"/>
    <n v="1.7341579478393166E-3"/>
    <n v="1.6392163288312346E-3"/>
    <n v="1.7341579478393166E-3"/>
    <n v="1.7341579478393166E-3"/>
  </r>
  <r>
    <x v="0"/>
    <x v="25"/>
    <x v="1"/>
    <n v="4.3000495297944565E-2"/>
    <n v="4.3000923173463476E-2"/>
    <n v="4.3000495297944565E-2"/>
    <n v="4.3000495297944565E-2"/>
  </r>
  <r>
    <x v="0"/>
    <x v="25"/>
    <x v="2"/>
    <n v="0.17205475770250733"/>
    <n v="0.17201041206169065"/>
    <n v="0.17205475770250733"/>
    <n v="0.17205475770250733"/>
  </r>
  <r>
    <x v="0"/>
    <x v="26"/>
    <x v="31"/>
    <n v="4.4824872431511705E-4"/>
    <n v="4.4818899690750725E-4"/>
    <n v="4.4824872431511705E-4"/>
    <n v="4.4824872431511705E-4"/>
  </r>
  <r>
    <x v="0"/>
    <x v="26"/>
    <x v="40"/>
    <n v="1.2194753912384258E-2"/>
    <n v="1.2134357481148715E-2"/>
    <n v="1.2194753912384258E-2"/>
    <n v="1.2194753912384258E-2"/>
  </r>
  <r>
    <x v="0"/>
    <x v="27"/>
    <x v="36"/>
    <n v="6.6121615997241401E-5"/>
    <n v="6.6121615997241401E-5"/>
    <n v="6.6121615997241401E-5"/>
    <n v="6.6121615997241401E-5"/>
  </r>
  <r>
    <x v="0"/>
    <x v="27"/>
    <x v="3"/>
    <n v="3.9156694243091582E-3"/>
    <n v="3.9156694243091582E-3"/>
    <n v="3.9156694243091582E-3"/>
    <n v="3.9156694243091582E-3"/>
  </r>
  <r>
    <x v="0"/>
    <x v="27"/>
    <x v="22"/>
    <n v="5.6621261531096485E-2"/>
    <n v="5.6621261531096485E-2"/>
    <n v="5.6621261531096485E-2"/>
    <n v="5.6621261531096485E-2"/>
  </r>
  <r>
    <x v="0"/>
    <x v="27"/>
    <x v="41"/>
    <n v="2.6778316816330606E-3"/>
    <n v="2.6778316816330606E-3"/>
    <n v="2.6778316816330606E-3"/>
    <n v="2.6778316816330606E-3"/>
  </r>
  <r>
    <x v="0"/>
    <x v="27"/>
    <x v="24"/>
    <n v="3.7745717099771158E-4"/>
    <n v="3.7745717099771158E-4"/>
    <n v="3.7745717099771158E-4"/>
    <n v="3.7745717099771158E-4"/>
  </r>
  <r>
    <x v="0"/>
    <x v="27"/>
    <x v="4"/>
    <n v="5.3909304084672849E-4"/>
    <n v="5.3909304084672849E-4"/>
    <n v="5.3909304084672849E-4"/>
    <n v="5.3909304084672849E-4"/>
  </r>
  <r>
    <x v="0"/>
    <x v="27"/>
    <x v="1"/>
    <n v="2.7652475393491041E-2"/>
    <n v="2.7652475393491041E-2"/>
    <n v="2.7652475393491041E-2"/>
    <n v="2.7652475393491041E-2"/>
  </r>
  <r>
    <x v="0"/>
    <x v="27"/>
    <x v="2"/>
    <n v="3.1831903508738418E-4"/>
    <n v="3.1831903508738418E-4"/>
    <n v="3.1831903508738418E-4"/>
    <n v="3.1831903508738418E-4"/>
  </r>
  <r>
    <x v="0"/>
    <x v="28"/>
    <x v="19"/>
    <n v="0.22625200715636551"/>
    <n v="0.22625200715636551"/>
    <n v="0.22625200715636551"/>
    <n v="0.22625200715636551"/>
  </r>
  <r>
    <x v="0"/>
    <x v="28"/>
    <x v="20"/>
    <n v="6.311199449277609E-3"/>
    <n v="6.311199449277609E-3"/>
    <n v="6.311199449277609E-3"/>
    <n v="6.311199449277609E-3"/>
  </r>
  <r>
    <x v="0"/>
    <x v="28"/>
    <x v="3"/>
    <n v="3.0961810266387124E-3"/>
    <n v="3.0961810266387124E-3"/>
    <n v="3.0961810266387124E-3"/>
    <n v="3.0961810266387124E-3"/>
  </r>
  <r>
    <x v="0"/>
    <x v="28"/>
    <x v="24"/>
    <n v="1.6771208168787167E-4"/>
    <n v="1.6771208168787167E-4"/>
    <n v="1.6771208168787167E-4"/>
    <n v="1.6771208168787167E-4"/>
  </r>
  <r>
    <x v="0"/>
    <x v="28"/>
    <x v="27"/>
    <n v="1.7326471567771454E-3"/>
    <n v="1.7326471567771454E-3"/>
    <n v="1.7326471567771454E-3"/>
    <n v="1.7326471567771454E-3"/>
  </r>
  <r>
    <x v="0"/>
    <x v="28"/>
    <x v="4"/>
    <n v="5.2814049351228619E-3"/>
    <n v="5.2814049351228619E-3"/>
    <n v="5.2814049351228619E-3"/>
    <n v="5.2814049351228619E-3"/>
  </r>
  <r>
    <x v="0"/>
    <x v="28"/>
    <x v="1"/>
    <n v="4.5738041002545104E-5"/>
    <n v="4.5738041002545104E-5"/>
    <n v="4.5738041002545104E-5"/>
    <n v="4.5738041002545104E-5"/>
  </r>
  <r>
    <x v="0"/>
    <x v="28"/>
    <x v="29"/>
    <n v="1.7085183647087766E-4"/>
    <n v="1.7085183647087766E-4"/>
    <n v="1.7085183647087766E-4"/>
    <n v="1.7085183647087766E-4"/>
  </r>
  <r>
    <x v="0"/>
    <x v="28"/>
    <x v="2"/>
    <n v="2.6780886037593502E-4"/>
    <n v="2.6780886037593502E-4"/>
    <n v="2.6780886037593502E-4"/>
    <n v="2.6780886037593502E-4"/>
  </r>
  <r>
    <x v="0"/>
    <x v="29"/>
    <x v="19"/>
    <n v="8.1887232878453245E-2"/>
    <n v="8.1887232878453245E-2"/>
    <n v="8.1887232878453245E-2"/>
    <n v="8.1887232878453245E-2"/>
  </r>
  <r>
    <x v="0"/>
    <x v="29"/>
    <x v="20"/>
    <n v="2.264725147586847E-2"/>
    <n v="2.264725147586847E-2"/>
    <n v="2.264725147586847E-2"/>
    <n v="2.264725147586847E-2"/>
  </r>
  <r>
    <x v="0"/>
    <x v="29"/>
    <x v="42"/>
    <n v="4.2570430714986902E-4"/>
    <n v="4.2570430714986902E-4"/>
    <n v="4.2570430714986902E-4"/>
    <n v="4.2570430714986902E-4"/>
  </r>
  <r>
    <x v="0"/>
    <x v="29"/>
    <x v="3"/>
    <n v="3.1833722677096049E-4"/>
    <n v="3.1833722677096049E-4"/>
    <n v="3.1833722677096049E-4"/>
    <n v="3.1833722677096049E-4"/>
  </r>
  <r>
    <x v="0"/>
    <x v="29"/>
    <x v="23"/>
    <n v="5.8823381197650576E-5"/>
    <n v="5.8823381197650576E-5"/>
    <n v="5.8823381197650576E-5"/>
    <n v="5.8823381197650576E-5"/>
  </r>
  <r>
    <x v="0"/>
    <x v="29"/>
    <x v="24"/>
    <n v="1.9558331876918367E-4"/>
    <n v="1.9558331876918367E-4"/>
    <n v="1.9558331876918367E-4"/>
    <n v="1.9558331876918367E-4"/>
  </r>
  <r>
    <x v="0"/>
    <x v="29"/>
    <x v="27"/>
    <n v="2.2521959311421044E-4"/>
    <n v="2.2521959311421044E-4"/>
    <n v="2.2521959311421044E-4"/>
    <n v="2.2521959311421044E-4"/>
  </r>
  <r>
    <x v="0"/>
    <x v="29"/>
    <x v="4"/>
    <n v="7.1836313690751578E-4"/>
    <n v="7.1836313690751578E-4"/>
    <n v="7.1836313690751578E-4"/>
    <n v="7.1836313690751578E-4"/>
  </r>
  <r>
    <x v="0"/>
    <x v="29"/>
    <x v="1"/>
    <n v="5.0866576433428554E-5"/>
    <n v="5.0866576433428554E-5"/>
    <n v="5.0866576433428554E-5"/>
    <n v="5.0866576433428554E-5"/>
  </r>
  <r>
    <x v="0"/>
    <x v="29"/>
    <x v="43"/>
    <n v="9.769672873358278E-6"/>
    <n v="9.769672873358278E-6"/>
    <n v="9.769672873358278E-6"/>
    <n v="9.769672873358278E-6"/>
  </r>
  <r>
    <x v="0"/>
    <x v="29"/>
    <x v="2"/>
    <n v="2.0478968649505688E-4"/>
    <n v="2.0478968649505688E-4"/>
    <n v="2.0478968649505688E-4"/>
    <n v="2.0478968649505688E-4"/>
  </r>
  <r>
    <x v="0"/>
    <x v="30"/>
    <x v="19"/>
    <n v="5.7069004529805827E-3"/>
    <n v="5.7069004529805827E-3"/>
    <n v="5.7069004529805827E-3"/>
    <n v="5.7069004529805827E-3"/>
  </r>
  <r>
    <x v="0"/>
    <x v="30"/>
    <x v="20"/>
    <n v="3.7397431665635485E-4"/>
    <n v="3.7397431665635485E-4"/>
    <n v="3.7397431665635485E-4"/>
    <n v="3.7397431665635485E-4"/>
  </r>
  <r>
    <x v="0"/>
    <x v="30"/>
    <x v="24"/>
    <n v="1.3948170084530428E-5"/>
    <n v="1.3948170084530428E-5"/>
    <n v="1.3948170084530428E-5"/>
    <n v="1.3948170084530428E-5"/>
  </r>
  <r>
    <x v="0"/>
    <x v="30"/>
    <x v="4"/>
    <n v="7.0789920499897893E-5"/>
    <n v="7.0789920499897893E-5"/>
    <n v="7.0789920499897893E-5"/>
    <n v="7.0789920499897893E-5"/>
  </r>
  <r>
    <x v="0"/>
    <x v="30"/>
    <x v="1"/>
    <n v="4.9111043924377866E-3"/>
    <n v="4.9111043924377866E-3"/>
    <n v="4.9111043924377866E-3"/>
    <n v="4.9111043924377866E-3"/>
  </r>
  <r>
    <x v="0"/>
    <x v="30"/>
    <x v="29"/>
    <n v="1.5462091200614425E-2"/>
    <n v="1.5462091200614425E-2"/>
    <n v="1.5462091200614425E-2"/>
    <n v="1.5462091200614425E-2"/>
  </r>
  <r>
    <x v="0"/>
    <x v="30"/>
    <x v="2"/>
    <n v="4.270590622871916E-5"/>
    <n v="4.270590622871916E-5"/>
    <n v="4.270590622871916E-5"/>
    <n v="4.270590622871916E-5"/>
  </r>
  <r>
    <x v="0"/>
    <x v="31"/>
    <x v="21"/>
    <n v="1.471675439375552E-2"/>
    <n v="1.471675439375552E-2"/>
    <n v="1.471675439375552E-2"/>
    <n v="1.471675439375552E-2"/>
  </r>
  <r>
    <x v="0"/>
    <x v="31"/>
    <x v="3"/>
    <n v="7.4021957310146331E-5"/>
    <n v="7.4021957310146331E-5"/>
    <n v="7.4021957310146331E-5"/>
    <n v="7.4021957310146331E-5"/>
  </r>
  <r>
    <x v="0"/>
    <x v="31"/>
    <x v="1"/>
    <n v="2.5774854393347708E-8"/>
    <n v="2.5774854393347708E-8"/>
    <n v="2.5774854393347708E-8"/>
    <n v="2.5774854393347708E-8"/>
  </r>
  <r>
    <x v="0"/>
    <x v="31"/>
    <x v="2"/>
    <n v="6.792944223510698E-5"/>
    <n v="6.792944223510698E-5"/>
    <n v="6.792944223510698E-5"/>
    <n v="6.792944223510698E-5"/>
  </r>
  <r>
    <x v="0"/>
    <x v="31"/>
    <x v="30"/>
    <n v="5.230724377254259E-5"/>
    <n v="5.230724377254259E-5"/>
    <n v="5.230724377254259E-5"/>
    <n v="5.230724377254259E-5"/>
  </r>
  <r>
    <x v="0"/>
    <x v="32"/>
    <x v="21"/>
    <n v="1.1544257543119676E-3"/>
    <n v="1.1375659450043281E-3"/>
    <n v="1.1544257543119676E-3"/>
    <n v="1.1544257543119676E-3"/>
  </r>
  <r>
    <x v="0"/>
    <x v="32"/>
    <x v="22"/>
    <n v="1.2974190794248739E-5"/>
    <n v="1.2883401114346187E-5"/>
    <n v="1.2974190794248739E-5"/>
    <n v="1.2974190794248739E-5"/>
  </r>
  <r>
    <x v="0"/>
    <x v="32"/>
    <x v="33"/>
    <n v="9.5839671096808186E-4"/>
    <n v="9.5849778470664731E-4"/>
    <n v="9.5839671096808186E-4"/>
    <n v="9.5839671096808186E-4"/>
  </r>
  <r>
    <x v="0"/>
    <x v="32"/>
    <x v="28"/>
    <n v="2.0804630211173589E-4"/>
    <n v="2.0802538107697672E-4"/>
    <n v="2.0804630211173589E-4"/>
    <n v="2.0804630211173589E-4"/>
  </r>
  <r>
    <x v="0"/>
    <x v="32"/>
    <x v="1"/>
    <n v="2.7244049425627042E-5"/>
    <n v="2.724983016747491E-5"/>
    <n v="2.7244049425627042E-5"/>
    <n v="2.7244049425627042E-5"/>
  </r>
  <r>
    <x v="0"/>
    <x v="32"/>
    <x v="2"/>
    <n v="4.1112631367983994E-3"/>
    <n v="4.1112631367983994E-3"/>
    <n v="4.1112631367983994E-3"/>
    <n v="4.1112631367983994E-3"/>
  </r>
  <r>
    <x v="0"/>
    <x v="33"/>
    <x v="21"/>
    <n v="1.8679239176268422E-3"/>
    <n v="1.8418189462956448E-3"/>
    <n v="1.8679239176268422E-3"/>
    <n v="1.8679239176268422E-3"/>
  </r>
  <r>
    <x v="0"/>
    <x v="33"/>
    <x v="3"/>
    <n v="1.134112717918832E-4"/>
    <n v="4.9248746614433208E-5"/>
    <n v="1.134112717918832E-4"/>
    <n v="1.134112717918832E-4"/>
  </r>
  <r>
    <x v="0"/>
    <x v="33"/>
    <x v="33"/>
    <n v="1.4760544796432031E-3"/>
    <n v="1.4760544796432031E-3"/>
    <n v="1.4760544796432031E-3"/>
    <n v="1.4760544796432031E-3"/>
  </r>
  <r>
    <x v="0"/>
    <x v="33"/>
    <x v="28"/>
    <n v="2.0804630211173589E-4"/>
    <n v="2.0804630211173589E-4"/>
    <n v="2.0804630211173589E-4"/>
    <n v="2.0804630211173589E-4"/>
  </r>
  <r>
    <x v="0"/>
    <x v="33"/>
    <x v="1"/>
    <n v="2.7244049425627042E-5"/>
    <n v="2.7244049425627042E-5"/>
    <n v="2.7244049425627042E-5"/>
    <n v="2.7244049425627042E-5"/>
  </r>
  <r>
    <x v="0"/>
    <x v="33"/>
    <x v="2"/>
    <n v="4.6654633347460546E-3"/>
    <n v="4.6654633347460546E-3"/>
    <n v="4.6654633347460546E-3"/>
    <n v="4.6654633347460546E-3"/>
  </r>
  <r>
    <x v="0"/>
    <x v="33"/>
    <x v="31"/>
    <n v="4.4824872431511748E-5"/>
    <n v="4.4824872431511748E-5"/>
    <n v="4.4824872431511748E-5"/>
    <n v="4.4824872431511748E-5"/>
  </r>
  <r>
    <x v="0"/>
    <x v="34"/>
    <x v="21"/>
    <n v="1.0082768201236596E-2"/>
    <n v="1.0082768201236596E-2"/>
    <n v="1.0082768201236596E-2"/>
    <n v="1.0082768201236596E-2"/>
  </r>
  <r>
    <x v="0"/>
    <x v="34"/>
    <x v="44"/>
    <n v="3.9405260005607777E-3"/>
    <n v="3.9405260005607777E-3"/>
    <n v="3.9405260005607777E-3"/>
    <n v="3.9405260005607777E-3"/>
  </r>
  <r>
    <x v="0"/>
    <x v="34"/>
    <x v="3"/>
    <n v="1.5670609364786987E-4"/>
    <n v="1.5670609364786987E-4"/>
    <n v="1.5670609364786987E-4"/>
    <n v="1.5670609364786987E-4"/>
  </r>
  <r>
    <x v="0"/>
    <x v="34"/>
    <x v="1"/>
    <n v="1.4415525523493433E-2"/>
    <n v="1.4415525523493433E-2"/>
    <n v="1.4415525523493433E-2"/>
    <n v="1.4415525523493433E-2"/>
  </r>
  <r>
    <x v="0"/>
    <x v="34"/>
    <x v="2"/>
    <n v="1.8228650725510772E-4"/>
    <n v="1.8228650725510772E-4"/>
    <n v="1.8228650725510772E-4"/>
    <n v="1.8228650725510772E-4"/>
  </r>
  <r>
    <x v="0"/>
    <x v="35"/>
    <x v="36"/>
    <n v="2.1860067074400732E-5"/>
    <n v="2.1860067074400732E-5"/>
    <n v="2.1860067074400732E-5"/>
    <n v="2.1860067074400732E-5"/>
  </r>
  <r>
    <x v="0"/>
    <x v="35"/>
    <x v="19"/>
    <n v="9.5673172137054244E-2"/>
    <n v="9.5673172137054244E-2"/>
    <n v="9.5673172137054244E-2"/>
    <n v="9.5673172137054244E-2"/>
  </r>
  <r>
    <x v="0"/>
    <x v="35"/>
    <x v="21"/>
    <n v="2.6710692645135876E-2"/>
    <n v="2.6710692645135876E-2"/>
    <n v="2.6710692645135876E-2"/>
    <n v="2.6710692645135876E-2"/>
  </r>
  <r>
    <x v="0"/>
    <x v="35"/>
    <x v="3"/>
    <n v="2.5783429937662643E-4"/>
    <n v="2.5783429937662643E-4"/>
    <n v="2.5783429937662643E-4"/>
    <n v="2.5783429937662643E-4"/>
  </r>
  <r>
    <x v="0"/>
    <x v="35"/>
    <x v="23"/>
    <n v="1.6787272947463796E-4"/>
    <n v="1.6787272947463796E-4"/>
    <n v="1.6787272947463796E-4"/>
    <n v="1.6787272947463796E-4"/>
  </r>
  <r>
    <x v="0"/>
    <x v="35"/>
    <x v="24"/>
    <n v="1.2965168143328751E-4"/>
    <n v="1.2965168143328751E-4"/>
    <n v="1.2965168143328751E-4"/>
    <n v="1.2965168143328751E-4"/>
  </r>
  <r>
    <x v="0"/>
    <x v="35"/>
    <x v="27"/>
    <n v="8.6252791504765449E-4"/>
    <n v="8.6252791504765449E-4"/>
    <n v="8.6252791504765449E-4"/>
    <n v="8.6252791504765449E-4"/>
  </r>
  <r>
    <x v="0"/>
    <x v="35"/>
    <x v="4"/>
    <n v="8.0937906806480731E-4"/>
    <n v="8.0937906806480731E-4"/>
    <n v="8.0937906806480731E-4"/>
    <n v="8.0937906806480731E-4"/>
  </r>
  <r>
    <x v="0"/>
    <x v="35"/>
    <x v="1"/>
    <n v="9.5457261167070654E-5"/>
    <n v="9.5457261167070654E-5"/>
    <n v="9.5457261167070654E-5"/>
    <n v="9.5457261167070654E-5"/>
  </r>
  <r>
    <x v="0"/>
    <x v="35"/>
    <x v="45"/>
    <n v="9.769672873358278E-6"/>
    <n v="9.769672873358278E-6"/>
    <n v="9.769672873358278E-6"/>
    <n v="9.769672873358278E-6"/>
  </r>
  <r>
    <x v="0"/>
    <x v="35"/>
    <x v="2"/>
    <n v="3.8489135405931729E-4"/>
    <n v="3.8489135405931729E-4"/>
    <n v="3.8489135405931729E-4"/>
    <n v="3.8489135405931729E-4"/>
  </r>
  <r>
    <x v="0"/>
    <x v="36"/>
    <x v="21"/>
    <n v="2.0901302509456637E-2"/>
    <n v="2.0901302509456637E-2"/>
    <n v="2.0901302509456637E-2"/>
    <n v="2.0901302509456637E-2"/>
  </r>
  <r>
    <x v="0"/>
    <x v="36"/>
    <x v="3"/>
    <n v="1.8207969821990952E-4"/>
    <n v="1.8207969821990952E-4"/>
    <n v="1.8207969821990952E-4"/>
    <n v="1.8207969821990952E-4"/>
  </r>
  <r>
    <x v="0"/>
    <x v="36"/>
    <x v="23"/>
    <n v="2.2874400898662275E-6"/>
    <n v="2.2874400898662275E-6"/>
    <n v="2.2874400898662275E-6"/>
    <n v="2.2874400898662275E-6"/>
  </r>
  <r>
    <x v="0"/>
    <x v="36"/>
    <x v="1"/>
    <n v="7.9443779419897579E-5"/>
    <n v="7.9443779419897579E-5"/>
    <n v="7.9443779419897579E-5"/>
    <n v="7.9443779419897579E-5"/>
  </r>
  <r>
    <x v="0"/>
    <x v="36"/>
    <x v="2"/>
    <n v="7.2774084347364357E-5"/>
    <n v="7.2774084347364357E-5"/>
    <n v="7.2774084347364357E-5"/>
    <n v="7.2774084347364357E-5"/>
  </r>
  <r>
    <x v="0"/>
    <x v="37"/>
    <x v="19"/>
    <n v="3.2293144344192053E-2"/>
    <n v="3.2293144344192053E-2"/>
    <n v="3.2293144344192053E-2"/>
    <n v="3.2293144344192053E-2"/>
  </r>
  <r>
    <x v="0"/>
    <x v="37"/>
    <x v="21"/>
    <n v="5.3405368722510135E-3"/>
    <n v="5.3405368722510135E-3"/>
    <n v="5.3405368722510135E-3"/>
    <n v="5.3405368722510135E-3"/>
  </r>
  <r>
    <x v="0"/>
    <x v="37"/>
    <x v="3"/>
    <n v="1.5670609364786987E-4"/>
    <n v="1.5670609364786987E-4"/>
    <n v="1.5670609364786987E-4"/>
    <n v="1.5670609364786987E-4"/>
  </r>
  <r>
    <x v="0"/>
    <x v="37"/>
    <x v="24"/>
    <n v="1.9558331876918367E-4"/>
    <n v="1.9558331876918367E-4"/>
    <n v="1.9558331876918367E-4"/>
    <n v="1.9558331876918367E-4"/>
  </r>
  <r>
    <x v="0"/>
    <x v="37"/>
    <x v="1"/>
    <n v="4.7728928183535376E-5"/>
    <n v="4.7728928183535376E-5"/>
    <n v="4.7728928183535376E-5"/>
    <n v="4.7728928183535376E-5"/>
  </r>
  <r>
    <x v="0"/>
    <x v="37"/>
    <x v="2"/>
    <n v="1.3779070814573101E-4"/>
    <n v="1.3779070814573101E-4"/>
    <n v="1.3779070814573101E-4"/>
    <n v="1.3779070814573101E-4"/>
  </r>
  <r>
    <x v="0"/>
    <x v="38"/>
    <x v="21"/>
    <n v="1.074247624475215E-3"/>
    <n v="1.074247624475215E-3"/>
    <n v="1.074247624475215E-3"/>
    <n v="1.074247624475215E-3"/>
  </r>
  <r>
    <x v="0"/>
    <x v="38"/>
    <x v="3"/>
    <n v="8.2018526160601447E-6"/>
    <n v="8.2018526160601447E-6"/>
    <n v="8.2018526160601447E-6"/>
    <n v="8.2018526160601447E-6"/>
  </r>
  <r>
    <x v="0"/>
    <x v="38"/>
    <x v="1"/>
    <n v="1.9550047350810401E-3"/>
    <n v="1.9550047350810401E-3"/>
    <n v="1.9550047350810401E-3"/>
    <n v="1.9550047350810401E-3"/>
  </r>
  <r>
    <x v="0"/>
    <x v="38"/>
    <x v="2"/>
    <n v="5.8386244921309951E-6"/>
    <n v="5.8386244921309951E-6"/>
    <n v="5.8386244921309951E-6"/>
    <n v="5.8386244921309951E-6"/>
  </r>
  <r>
    <x v="0"/>
    <x v="39"/>
    <x v="21"/>
    <n v="1.2677650631070768E-3"/>
    <n v="1.2677650631070768E-3"/>
    <n v="1.2677650631070768E-3"/>
    <n v="1.2677650631070768E-3"/>
  </r>
  <r>
    <x v="0"/>
    <x v="39"/>
    <x v="3"/>
    <n v="1.5422106714228524E-5"/>
    <n v="1.5422106714228524E-5"/>
    <n v="1.5422106714228524E-5"/>
    <n v="1.5422106714228524E-5"/>
  </r>
  <r>
    <x v="0"/>
    <x v="39"/>
    <x v="1"/>
    <n v="1.9550047350810401E-3"/>
    <n v="1.9550047350810401E-3"/>
    <n v="1.9550047350810401E-3"/>
    <n v="1.9550047350810401E-3"/>
  </r>
  <r>
    <x v="0"/>
    <x v="39"/>
    <x v="2"/>
    <n v="6.3780996925484023E-6"/>
    <n v="6.3780996925484023E-6"/>
    <n v="6.3780996925484023E-6"/>
    <n v="6.3780996925484023E-6"/>
  </r>
  <r>
    <x v="0"/>
    <x v="40"/>
    <x v="21"/>
    <n v="1.0842486003991895E-4"/>
    <n v="1.0842486003991895E-4"/>
    <n v="1.0842486003991895E-4"/>
    <n v="1.0842486003991895E-4"/>
  </r>
  <r>
    <x v="0"/>
    <x v="40"/>
    <x v="1"/>
    <n v="1.9550047350810401E-3"/>
    <n v="1.9550047350810401E-3"/>
    <n v="1.9550047350810401E-3"/>
    <n v="1.9550047350810401E-3"/>
  </r>
  <r>
    <x v="0"/>
    <x v="40"/>
    <x v="2"/>
    <n v="3.4715968255404597E-6"/>
    <n v="3.4715968255404597E-6"/>
    <n v="3.4715968255404597E-6"/>
    <n v="3.4715968255404597E-6"/>
  </r>
  <r>
    <x v="3"/>
    <x v="41"/>
    <x v="1"/>
    <n v="0.19747970248234772"/>
    <n v="0.19747970248234772"/>
    <n v="0.19747970248234772"/>
    <n v="0.19747970248234772"/>
  </r>
  <r>
    <x v="3"/>
    <x v="41"/>
    <x v="2"/>
    <n v="2.4196252526236264E-2"/>
    <n v="2.4196252526236264E-2"/>
    <n v="2.4196252526236264E-2"/>
    <n v="2.4196252526236264E-2"/>
  </r>
  <r>
    <x v="4"/>
    <x v="42"/>
    <x v="46"/>
    <n v="29.045926358426208"/>
    <n v="29.045926358426208"/>
    <n v="27.818235635627875"/>
    <n v="28.781793242505735"/>
  </r>
  <r>
    <x v="4"/>
    <x v="42"/>
    <x v="47"/>
    <n v="42.645791383341304"/>
    <n v="42.645791383341304"/>
    <n v="40.843272097102968"/>
    <n v="42.25798602915922"/>
  </r>
  <r>
    <x v="4"/>
    <x v="43"/>
    <x v="48"/>
    <n v="2.2929721440000002E-2"/>
    <n v="2.2929721440000002E-2"/>
    <n v="2.2929721440000002E-2"/>
    <n v="2.2929721440000002E-2"/>
  </r>
  <r>
    <x v="5"/>
    <x v="42"/>
    <x v="46"/>
    <n v="203.32148450898345"/>
    <n v="203.32148450898345"/>
    <n v="194.72764944939507"/>
    <n v="201.47255269754018"/>
  </r>
  <r>
    <x v="5"/>
    <x v="42"/>
    <x v="47"/>
    <n v="298.52053968338907"/>
    <n v="298.52053968338907"/>
    <n v="285.90290467972085"/>
    <n v="295.80590220411443"/>
  </r>
  <r>
    <x v="5"/>
    <x v="43"/>
    <x v="48"/>
    <n v="0.16050805007999996"/>
    <n v="0.16050805007999996"/>
    <n v="0.16050805007999996"/>
    <n v="0.16050805007999996"/>
  </r>
  <r>
    <x v="6"/>
    <x v="44"/>
    <x v="49"/>
    <n v="2.6289187041272103E-4"/>
    <n v="2.6289187041272103E-4"/>
    <n v="2.6289187041272103E-4"/>
    <n v="2.6289187041272103E-4"/>
  </r>
  <r>
    <x v="6"/>
    <x v="44"/>
    <x v="50"/>
    <n v="3.3123501920769315E-3"/>
    <n v="3.3123501920769315E-3"/>
    <n v="3.3123501920769315E-3"/>
    <n v="3.3123501920769315E-3"/>
  </r>
  <r>
    <x v="6"/>
    <x v="44"/>
    <x v="51"/>
    <n v="5.2796538080650171E-2"/>
    <n v="5.2796538080650171E-2"/>
    <n v="5.2796538080650171E-2"/>
    <n v="5.2796538080650171E-2"/>
  </r>
  <r>
    <x v="6"/>
    <x v="44"/>
    <x v="52"/>
    <n v="1.7750429920694605E-3"/>
    <n v="1.7750429920694605E-3"/>
    <n v="1.7750429920694605E-3"/>
    <n v="1.7750429920694605E-3"/>
  </r>
  <r>
    <x v="6"/>
    <x v="44"/>
    <x v="53"/>
    <n v="1.4823838656075929E-3"/>
    <n v="1.4823838656075929E-3"/>
    <n v="1.4823838656075929E-3"/>
    <n v="1.4823838656075929E-3"/>
  </r>
  <r>
    <x v="6"/>
    <x v="45"/>
    <x v="54"/>
    <n v="-0.13161968899848167"/>
    <n v="-0.13161968899848167"/>
    <n v="-0.13161968899848167"/>
    <n v="-0.13161968899848167"/>
  </r>
  <r>
    <x v="6"/>
    <x v="45"/>
    <x v="55"/>
    <n v="-0.73436621545425607"/>
    <n v="-0.73436621545425607"/>
    <n v="-0.73436621545425607"/>
    <n v="-0.73436621545425607"/>
  </r>
  <r>
    <x v="6"/>
    <x v="45"/>
    <x v="56"/>
    <n v="-7.343169584099277"/>
    <n v="-7.343169584099277"/>
    <n v="-7.343169584099277"/>
    <n v="-7.343169584099277"/>
  </r>
  <r>
    <x v="6"/>
    <x v="45"/>
    <x v="57"/>
    <n v="-3.6300371428509962E-2"/>
    <n v="-3.6300371428509962E-2"/>
    <n v="-3.6300371428509962E-2"/>
    <n v="-3.6300371428509962E-2"/>
  </r>
  <r>
    <x v="6"/>
    <x v="45"/>
    <x v="58"/>
    <n v="-5.5342820852973364E-4"/>
    <n v="-5.5342820852973364E-4"/>
    <n v="-5.5342820852973364E-4"/>
    <n v="-5.5342820852973364E-4"/>
  </r>
  <r>
    <x v="6"/>
    <x v="45"/>
    <x v="59"/>
    <n v="-5.9576657912443261E-4"/>
    <n v="-5.9576657912443261E-4"/>
    <n v="-5.9576657912443261E-4"/>
    <n v="-5.9576657912443261E-4"/>
  </r>
  <r>
    <x v="6"/>
    <x v="45"/>
    <x v="60"/>
    <n v="3.9406014776760594E-5"/>
    <n v="3.9406014776760594E-5"/>
    <n v="3.9406014776760594E-5"/>
    <n v="3.9406014776760594E-5"/>
  </r>
  <r>
    <x v="6"/>
    <x v="45"/>
    <x v="61"/>
    <n v="4.9673989771860697E-4"/>
    <n v="4.9673989771860697E-4"/>
    <n v="4.9673989771860697E-4"/>
    <n v="4.9673989771860697E-4"/>
  </r>
  <r>
    <x v="6"/>
    <x v="45"/>
    <x v="62"/>
    <n v="3.8004872333553118E-2"/>
    <n v="3.8004872333553118E-2"/>
    <n v="3.8004872333553118E-2"/>
    <n v="3.8004872333553118E-2"/>
  </r>
  <r>
    <x v="6"/>
    <x v="45"/>
    <x v="63"/>
    <n v="4.5758122250590642E-4"/>
    <n v="4.5758122250590642E-4"/>
    <n v="4.5758122250590642E-4"/>
    <n v="4.5758122250590642E-4"/>
  </r>
  <r>
    <x v="6"/>
    <x v="45"/>
    <x v="64"/>
    <n v="1.3265091450664407E-3"/>
    <n v="1.3265091450664407E-3"/>
    <n v="1.3265091450664407E-3"/>
    <n v="1.3265091450664407E-3"/>
  </r>
  <r>
    <x v="6"/>
    <x v="45"/>
    <x v="65"/>
    <n v="3.1929672101017686E-3"/>
    <n v="3.1929672101017686E-3"/>
    <n v="3.1929672101017686E-3"/>
    <n v="3.1929672101017686E-3"/>
  </r>
  <r>
    <x v="6"/>
    <x v="45"/>
    <x v="66"/>
    <n v="1.9232663857789309E-2"/>
    <n v="1.9232663857789309E-2"/>
    <n v="1.9232663857789309E-2"/>
    <n v="1.9232663857789309E-2"/>
  </r>
  <r>
    <x v="6"/>
    <x v="45"/>
    <x v="67"/>
    <n v="2.8034730146105926E-3"/>
    <n v="2.8034730146105926E-3"/>
    <n v="2.8034730146105926E-3"/>
    <n v="2.8034730146105926E-3"/>
  </r>
  <r>
    <x v="6"/>
    <x v="45"/>
    <x v="68"/>
    <n v="1.0291513304971679E-3"/>
    <n v="1.0291513304971679E-3"/>
    <n v="1.0291513304971679E-3"/>
    <n v="1.0291513304971679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1">
  <location ref="A4:Q120" firstHeaderRow="0" firstDataRow="1" firstDataCol="1" rowPageCount="1" colPageCount="1"/>
  <pivotFields count="31">
    <pivotField axis="axisPage" multipleItemSelectionAllowed="1" showAll="0">
      <items count="8">
        <item x="0"/>
        <item x="1"/>
        <item x="2"/>
        <item x="3"/>
        <item h="1" x="4"/>
        <item x="5"/>
        <item h="1" x="6"/>
        <item t="default"/>
      </items>
    </pivotField>
    <pivotField axis="axisRow" multipleItemSelectionAllowed="1" showAll="0" sortType="descending">
      <items count="47">
        <item x="12"/>
        <item x="0"/>
        <item x="13"/>
        <item x="14"/>
        <item x="1"/>
        <item x="2"/>
        <item x="42"/>
        <item x="15"/>
        <item x="16"/>
        <item x="3"/>
        <item x="44"/>
        <item x="21"/>
        <item x="17"/>
        <item x="19"/>
        <item x="22"/>
        <item x="23"/>
        <item x="20"/>
        <item x="25"/>
        <item x="27"/>
        <item x="26"/>
        <item x="28"/>
        <item x="29"/>
        <item x="30"/>
        <item x="18"/>
        <item x="24"/>
        <item x="43"/>
        <item x="31"/>
        <item x="4"/>
        <item x="41"/>
        <item x="32"/>
        <item x="33"/>
        <item x="5"/>
        <item x="6"/>
        <item x="45"/>
        <item x="7"/>
        <item x="34"/>
        <item x="8"/>
        <item x="11"/>
        <item x="35"/>
        <item x="36"/>
        <item x="9"/>
        <item x="37"/>
        <item x="38"/>
        <item x="39"/>
        <item x="4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70">
        <item x="39"/>
        <item x="32"/>
        <item x="18"/>
        <item x="36"/>
        <item x="19"/>
        <item x="20"/>
        <item x="42"/>
        <item x="21"/>
        <item x="44"/>
        <item x="3"/>
        <item x="38"/>
        <item x="25"/>
        <item x="22"/>
        <item x="0"/>
        <item x="41"/>
        <item x="11"/>
        <item x="5"/>
        <item x="26"/>
        <item x="54"/>
        <item x="55"/>
        <item x="56"/>
        <item x="57"/>
        <item x="33"/>
        <item x="6"/>
        <item x="13"/>
        <item x="14"/>
        <item x="23"/>
        <item x="46"/>
        <item x="28"/>
        <item x="15"/>
        <item x="16"/>
        <item x="47"/>
        <item x="58"/>
        <item x="59"/>
        <item x="24"/>
        <item x="27"/>
        <item x="49"/>
        <item x="50"/>
        <item x="51"/>
        <item x="52"/>
        <item x="53"/>
        <item x="7"/>
        <item x="60"/>
        <item x="61"/>
        <item x="62"/>
        <item x="63"/>
        <item x="64"/>
        <item x="48"/>
        <item x="34"/>
        <item x="4"/>
        <item x="1"/>
        <item x="8"/>
        <item x="17"/>
        <item x="37"/>
        <item x="9"/>
        <item x="65"/>
        <item x="66"/>
        <item x="67"/>
        <item x="68"/>
        <item x="35"/>
        <item x="45"/>
        <item x="43"/>
        <item x="12"/>
        <item x="10"/>
        <item x="29"/>
        <item x="2"/>
        <item x="31"/>
        <item x="30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1"/>
    <field x="2"/>
  </rowFields>
  <rowItems count="116">
    <i>
      <x v="6"/>
    </i>
    <i r="1">
      <x v="31"/>
    </i>
    <i>
      <x v="45"/>
    </i>
    <i r="1">
      <x v="62"/>
    </i>
    <i>
      <x v="17"/>
    </i>
    <i r="1">
      <x v="4"/>
    </i>
    <i r="1">
      <x v="65"/>
    </i>
    <i r="1">
      <x v="5"/>
    </i>
    <i>
      <x v="5"/>
    </i>
    <i r="1">
      <x v="16"/>
    </i>
    <i>
      <x v="27"/>
    </i>
    <i r="1">
      <x v="41"/>
    </i>
    <i>
      <x v="9"/>
    </i>
    <i r="1">
      <x v="23"/>
    </i>
    <i>
      <x v="20"/>
    </i>
    <i r="1">
      <x v="4"/>
    </i>
    <i>
      <x v="15"/>
    </i>
    <i r="1">
      <x v="4"/>
    </i>
    <i>
      <x v="38"/>
    </i>
    <i r="1">
      <x v="4"/>
    </i>
    <i r="1">
      <x v="7"/>
    </i>
    <i>
      <x v="25"/>
    </i>
    <i r="1">
      <x v="47"/>
    </i>
    <i>
      <x v="21"/>
    </i>
    <i r="1">
      <x v="4"/>
    </i>
    <i r="1">
      <x v="5"/>
    </i>
    <i>
      <x v="24"/>
    </i>
    <i r="1">
      <x v="12"/>
    </i>
    <i>
      <x v="34"/>
    </i>
    <i r="1">
      <x v="63"/>
    </i>
    <i>
      <x v="18"/>
    </i>
    <i r="1">
      <x v="12"/>
    </i>
    <i>
      <x v="28"/>
    </i>
    <i r="1">
      <x v="65"/>
    </i>
    <i r="1">
      <x v="50"/>
    </i>
    <i>
      <x v="14"/>
    </i>
    <i r="1">
      <x v="7"/>
    </i>
    <i>
      <x v="32"/>
    </i>
    <i r="1">
      <x v="54"/>
    </i>
    <i r="1">
      <x v="65"/>
    </i>
    <i>
      <x/>
    </i>
    <i r="1">
      <x v="4"/>
    </i>
    <i r="1">
      <x v="7"/>
    </i>
    <i>
      <x v="11"/>
    </i>
    <i r="1">
      <x v="48"/>
    </i>
    <i r="1">
      <x v="50"/>
    </i>
    <i>
      <x v="37"/>
    </i>
    <i r="1">
      <x v="29"/>
    </i>
    <i r="1">
      <x v="24"/>
    </i>
    <i>
      <x v="41"/>
    </i>
    <i r="1">
      <x v="4"/>
    </i>
    <i>
      <x v="13"/>
    </i>
    <i r="1">
      <x v="64"/>
    </i>
    <i r="1">
      <x v="28"/>
    </i>
    <i>
      <x v="39"/>
    </i>
    <i r="1">
      <x v="7"/>
    </i>
    <i>
      <x v="1"/>
    </i>
    <i r="1">
      <x v="13"/>
    </i>
    <i>
      <x v="23"/>
    </i>
    <i r="1">
      <x v="64"/>
    </i>
    <i>
      <x v="26"/>
    </i>
    <i r="1">
      <x v="7"/>
    </i>
    <i>
      <x v="35"/>
    </i>
    <i r="1">
      <x v="7"/>
    </i>
    <i r="1">
      <x v="8"/>
    </i>
    <i>
      <x v="40"/>
    </i>
    <i r="1">
      <x v="49"/>
    </i>
    <i r="1">
      <x v="9"/>
    </i>
    <i>
      <x v="12"/>
    </i>
    <i r="1">
      <x v="64"/>
    </i>
    <i r="1">
      <x v="28"/>
    </i>
    <i>
      <x v="7"/>
    </i>
    <i r="1">
      <x v="64"/>
    </i>
    <i r="1">
      <x v="28"/>
    </i>
    <i>
      <x v="36"/>
    </i>
    <i r="1">
      <x v="15"/>
    </i>
    <i r="1">
      <x v="65"/>
    </i>
    <i>
      <x v="4"/>
    </i>
    <i r="1">
      <x v="65"/>
    </i>
    <i r="1">
      <x v="9"/>
    </i>
    <i r="1">
      <x v="49"/>
    </i>
    <i>
      <x v="22"/>
    </i>
    <i r="1">
      <x v="64"/>
    </i>
    <i r="1">
      <x v="4"/>
    </i>
    <i>
      <x v="16"/>
    </i>
    <i r="1">
      <x v="35"/>
    </i>
    <i r="1">
      <x v="7"/>
    </i>
    <i r="1">
      <x v="4"/>
    </i>
    <i>
      <x v="30"/>
    </i>
    <i r="1">
      <x v="65"/>
    </i>
    <i r="1">
      <x v="7"/>
    </i>
    <i>
      <x v="29"/>
    </i>
    <i r="1">
      <x v="65"/>
    </i>
    <i r="1">
      <x v="7"/>
    </i>
    <i>
      <x v="31"/>
    </i>
    <i r="1">
      <x v="51"/>
    </i>
    <i r="1">
      <x v="50"/>
    </i>
    <i>
      <x v="8"/>
    </i>
    <i r="1">
      <x v="64"/>
    </i>
    <i>
      <x v="19"/>
    </i>
    <i r="1">
      <x v="68"/>
    </i>
    <i>
      <x v="43"/>
    </i>
    <i r="1">
      <x v="7"/>
    </i>
    <i>
      <x v="2"/>
    </i>
    <i r="1">
      <x v="17"/>
    </i>
    <i r="1">
      <x v="7"/>
    </i>
    <i r="1">
      <x v="65"/>
    </i>
    <i>
      <x v="42"/>
    </i>
    <i r="1">
      <x v="7"/>
    </i>
    <i>
      <x v="3"/>
    </i>
    <i r="1">
      <x v="35"/>
    </i>
    <i r="1">
      <x v="50"/>
    </i>
    <i>
      <x v="44"/>
    </i>
    <i r="1">
      <x v="7"/>
    </i>
    <i r="1">
      <x v="50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pageFields count="1">
    <pageField fld="0" hier="-1"/>
  </pageFields>
  <dataFields count="16">
    <dataField name="Somme de EF 3.0 Climate Change - total" fld="4" baseField="0" baseItem="0"/>
    <dataField name="Somme de EF 3.0 Acidification" fld="3" baseField="0" baseItem="0"/>
    <dataField name="Somme de EF 3.0 Ecotoxicity, freshwater - total" fld="8" baseField="0" baseItem="0"/>
    <dataField name="Somme de EF 3.0 Eutrophication, freshwater" fld="12" baseField="0" baseItem="0"/>
    <dataField name="Somme de EF 3.0 Eutrophication, marine" fld="13" baseField="0" baseItem="0"/>
    <dataField name="Somme de EF 3.0 Eutrophication, terrestrial" fld="14" baseField="0" baseItem="0"/>
    <dataField name="Somme de EF 3.0 Human toxicity, cancer - total" fld="15" baseField="0" baseItem="0"/>
    <dataField name="Somme de EF 3.0 Ionising radiation, human health" fld="23" baseField="0" baseItem="0"/>
    <dataField name="Somme de EF 3.0 Land Use" fld="24" baseField="0" baseItem="0"/>
    <dataField name="Somme de EF 3.0 Ozone depletion" fld="25" baseField="0" baseItem="0"/>
    <dataField name="Somme de EF 3.0 Particulate matter" fld="26" baseField="0" baseItem="0"/>
    <dataField name="Somme de EF 3.0 Photochemical ozone formation, human health" fld="27" baseField="0" baseItem="0"/>
    <dataField name="Somme de EF 3.0 Resource use, fossils" fld="28" baseField="0" baseItem="0"/>
    <dataField name="Somme de EF 3.0 Resource use, mineral and metals" fld="29" baseField="0" baseItem="0"/>
    <dataField name="Somme de EF 3.0 Water use" fld="30" baseField="0" baseItem="0"/>
    <dataField name="Somme de EF 3.0 Human toxicity, non-cancer - total" fld="19" baseField="0" baseItem="0"/>
  </dataFields>
  <chartFormats count="16">
    <chartFormat chart="0" format="9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1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1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1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20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121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122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123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24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25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126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0" format="127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0" format="128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0" format="129" series="1">
      <pivotArea type="data" outline="0" fieldPosition="0">
        <references count="1">
          <reference field="4294967294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percent" evalOrder="-1" id="6" iMeasureFld="0">
      <autoFilter ref="A1">
        <filterColumn colId="0">
          <top10 percent="1" val="80" filterVal="8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6" indent="0" outline="1" outlineData="1" multipleFieldFilters="0" chartFormat="1">
  <location ref="I4:L5" firstHeaderRow="0" firstDataRow="1" firstDataCol="0" rowPageCount="2" colPageCount="1"/>
  <pivotFields count="7">
    <pivotField axis="axisPage" multipleItemSelectionAllowed="1" showAll="0">
      <items count="8">
        <item x="6"/>
        <item x="1"/>
        <item x="3"/>
        <item x="2"/>
        <item x="0"/>
        <item h="1" x="4"/>
        <item x="5"/>
        <item t="default"/>
      </items>
    </pivotField>
    <pivotField axis="axisPage" multipleItemSelectionAllowed="1" showAll="0">
      <items count="47">
        <item x="12"/>
        <item x="0"/>
        <item x="13"/>
        <item x="14"/>
        <item x="1"/>
        <item x="2"/>
        <item x="42"/>
        <item x="15"/>
        <item x="16"/>
        <item x="3"/>
        <item x="44"/>
        <item x="21"/>
        <item x="17"/>
        <item x="19"/>
        <item x="22"/>
        <item x="23"/>
        <item x="20"/>
        <item x="25"/>
        <item x="27"/>
        <item x="26"/>
        <item x="28"/>
        <item x="29"/>
        <item x="30"/>
        <item x="18"/>
        <item x="24"/>
        <item x="43"/>
        <item x="31"/>
        <item x="4"/>
        <item x="41"/>
        <item x="32"/>
        <item x="33"/>
        <item x="5"/>
        <item x="6"/>
        <item x="45"/>
        <item x="7"/>
        <item x="34"/>
        <item x="8"/>
        <item x="11"/>
        <item x="35"/>
        <item x="36"/>
        <item x="9"/>
        <item x="37"/>
        <item x="38"/>
        <item x="39"/>
        <item x="40"/>
        <item x="10"/>
        <item t="default"/>
      </items>
    </pivotField>
    <pivotField showAll="0">
      <items count="70">
        <item x="39"/>
        <item x="32"/>
        <item x="18"/>
        <item x="36"/>
        <item x="19"/>
        <item x="20"/>
        <item x="42"/>
        <item x="21"/>
        <item x="44"/>
        <item x="3"/>
        <item x="38"/>
        <item x="25"/>
        <item x="22"/>
        <item x="0"/>
        <item x="41"/>
        <item x="11"/>
        <item x="5"/>
        <item x="26"/>
        <item x="54"/>
        <item x="55"/>
        <item x="56"/>
        <item x="57"/>
        <item x="33"/>
        <item x="6"/>
        <item x="13"/>
        <item x="14"/>
        <item x="23"/>
        <item x="46"/>
        <item x="28"/>
        <item x="15"/>
        <item x="16"/>
        <item x="47"/>
        <item x="58"/>
        <item x="59"/>
        <item x="24"/>
        <item x="27"/>
        <item x="49"/>
        <item x="50"/>
        <item x="51"/>
        <item x="52"/>
        <item x="53"/>
        <item x="7"/>
        <item x="60"/>
        <item x="61"/>
        <item x="62"/>
        <item x="63"/>
        <item x="64"/>
        <item x="48"/>
        <item x="34"/>
        <item x="4"/>
        <item x="1"/>
        <item x="8"/>
        <item x="17"/>
        <item x="37"/>
        <item x="9"/>
        <item x="65"/>
        <item x="66"/>
        <item x="67"/>
        <item x="68"/>
        <item x="35"/>
        <item x="45"/>
        <item x="43"/>
        <item x="12"/>
        <item x="10"/>
        <item x="29"/>
        <item x="2"/>
        <item x="31"/>
        <item x="30"/>
        <item x="40"/>
        <item t="default"/>
      </items>
    </pivotField>
    <pivotField dataField="1" showAll="0"/>
    <pivotField dataField="1" showAll="0" defaultSubtotal="0"/>
    <pivotField dataField="1" showAll="0" defaultSubtotal="0"/>
    <pivotField dataField="1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1" hier="-1"/>
  </pageFields>
  <dataFields count="4">
    <dataField name="Somme de Score" fld="3" baseField="0" baseItem="0"/>
    <dataField name="Somme de Scenario 1kg de moins" fld="6" baseField="0" baseItem="0"/>
    <dataField name="Somme de Scenario sans IFE Powerbox et Ecran" fld="5" baseField="0" baseItem="0"/>
    <dataField name="Somme de Scenario tout FR" fld="4" baseField="0" baseItem="0"/>
  </dataFields>
  <chartFormats count="4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leau croisé dynamique1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1">
  <location ref="A5:D52" firstHeaderRow="0" firstDataRow="1" firstDataCol="1"/>
  <pivotFields count="19">
    <pivotField multipleItemSelectionAllowed="1" showAll="0">
      <items count="8">
        <item x="0"/>
        <item h="1" x="1"/>
        <item h="1" x="2"/>
        <item h="1" x="3"/>
        <item h="1" x="6"/>
        <item h="1" x="4"/>
        <item h="1" x="5"/>
        <item t="default"/>
      </items>
    </pivotField>
    <pivotField axis="axisRow" multipleItemSelectionAllowed="1" showAll="0" sortType="descending">
      <items count="47">
        <item x="12"/>
        <item x="0"/>
        <item x="13"/>
        <item x="14"/>
        <item x="1"/>
        <item x="2"/>
        <item x="42"/>
        <item x="15"/>
        <item x="16"/>
        <item x="3"/>
        <item x="44"/>
        <item x="21"/>
        <item x="17"/>
        <item x="19"/>
        <item x="22"/>
        <item x="23"/>
        <item x="20"/>
        <item x="25"/>
        <item x="27"/>
        <item x="26"/>
        <item x="28"/>
        <item x="29"/>
        <item x="30"/>
        <item x="18"/>
        <item x="24"/>
        <item x="43"/>
        <item x="31"/>
        <item x="4"/>
        <item x="41"/>
        <item x="32"/>
        <item x="33"/>
        <item x="5"/>
        <item x="6"/>
        <item x="45"/>
        <item x="7"/>
        <item x="34"/>
        <item x="8"/>
        <item x="11"/>
        <item x="35"/>
        <item x="36"/>
        <item x="9"/>
        <item x="37"/>
        <item x="38"/>
        <item x="39"/>
        <item x="4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0">
        <item x="39"/>
        <item x="32"/>
        <item x="18"/>
        <item x="36"/>
        <item x="19"/>
        <item x="20"/>
        <item x="42"/>
        <item x="21"/>
        <item x="44"/>
        <item x="3"/>
        <item x="38"/>
        <item x="25"/>
        <item x="22"/>
        <item x="0"/>
        <item x="41"/>
        <item x="11"/>
        <item x="5"/>
        <item x="26"/>
        <item x="54"/>
        <item x="55"/>
        <item x="56"/>
        <item x="57"/>
        <item x="33"/>
        <item x="6"/>
        <item x="13"/>
        <item x="14"/>
        <item x="23"/>
        <item x="46"/>
        <item x="28"/>
        <item x="15"/>
        <item x="16"/>
        <item x="47"/>
        <item x="58"/>
        <item x="59"/>
        <item x="24"/>
        <item x="27"/>
        <item x="49"/>
        <item x="50"/>
        <item x="51"/>
        <item x="52"/>
        <item x="53"/>
        <item x="7"/>
        <item x="60"/>
        <item x="61"/>
        <item x="62"/>
        <item x="63"/>
        <item x="64"/>
        <item x="48"/>
        <item x="34"/>
        <item x="4"/>
        <item x="1"/>
        <item x="8"/>
        <item x="17"/>
        <item x="37"/>
        <item x="9"/>
        <item x="65"/>
        <item x="66"/>
        <item x="67"/>
        <item x="68"/>
        <item x="35"/>
        <item x="45"/>
        <item x="43"/>
        <item x="12"/>
        <item x="10"/>
        <item x="29"/>
        <item x="2"/>
        <item x="31"/>
        <item x="30"/>
        <item x="40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7">
    <i>
      <x v="6"/>
    </i>
    <i>
      <x v="45"/>
    </i>
    <i>
      <x v="17"/>
    </i>
    <i>
      <x v="5"/>
    </i>
    <i>
      <x v="27"/>
    </i>
    <i>
      <x v="9"/>
    </i>
    <i>
      <x v="20"/>
    </i>
    <i>
      <x v="15"/>
    </i>
    <i>
      <x v="25"/>
    </i>
    <i>
      <x v="38"/>
    </i>
    <i>
      <x v="37"/>
    </i>
    <i>
      <x v="21"/>
    </i>
    <i>
      <x v="24"/>
    </i>
    <i>
      <x v="18"/>
    </i>
    <i>
      <x v="34"/>
    </i>
    <i>
      <x v="32"/>
    </i>
    <i>
      <x v="11"/>
    </i>
    <i>
      <x/>
    </i>
    <i>
      <x v="14"/>
    </i>
    <i>
      <x v="41"/>
    </i>
    <i>
      <x v="28"/>
    </i>
    <i>
      <x v="1"/>
    </i>
    <i>
      <x v="39"/>
    </i>
    <i>
      <x v="40"/>
    </i>
    <i>
      <x v="26"/>
    </i>
    <i>
      <x v="35"/>
    </i>
    <i>
      <x v="16"/>
    </i>
    <i>
      <x v="36"/>
    </i>
    <i>
      <x v="13"/>
    </i>
    <i>
      <x v="4"/>
    </i>
    <i>
      <x v="31"/>
    </i>
    <i>
      <x v="7"/>
    </i>
    <i>
      <x v="23"/>
    </i>
    <i>
      <x v="12"/>
    </i>
    <i>
      <x v="30"/>
    </i>
    <i>
      <x v="10"/>
    </i>
    <i>
      <x v="29"/>
    </i>
    <i>
      <x v="22"/>
    </i>
    <i>
      <x v="19"/>
    </i>
    <i>
      <x v="2"/>
    </i>
    <i>
      <x v="8"/>
    </i>
    <i>
      <x v="43"/>
    </i>
    <i>
      <x v="42"/>
    </i>
    <i>
      <x v="3"/>
    </i>
    <i>
      <x v="44"/>
    </i>
    <i>
      <x v="3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EF 3.0 Resource use, fossils" fld="16" baseField="0" baseItem="0"/>
    <dataField name="Somme de EF 3.0 Acidification" fld="3" baseField="0" baseItem="0"/>
    <dataField name="Somme de EF 3.0 Climate Change - total" fld="4" baseField="0" baseItem="0"/>
  </dataFields>
  <chartFormats count="3">
    <chartFormat chart="0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D260B2-627C-4504-87C1-FD6B1E3BDF78}" name="Tableau1" displayName="Tableau1" ref="A1:G257" totalsRowShown="0">
  <autoFilter ref="A1:G257" xr:uid="{8DD260B2-627C-4504-87C1-FD6B1E3BDF78}"/>
  <tableColumns count="7">
    <tableColumn id="1" xr3:uid="{95DB58ED-A66C-46A0-902A-73CD18FDBC42}" name="Type"/>
    <tableColumn id="2" xr3:uid="{3D228B8D-34AD-4F95-8636-741DF992C9F0}" name="Système"/>
    <tableColumn id="3" xr3:uid="{383811B6-DA44-42C9-99B7-230C0F395E66}" name="Composant"/>
    <tableColumn id="4" xr3:uid="{C6345721-2161-47AE-9648-2EC6546D3902}" name="Score"/>
    <tableColumn id="5" xr3:uid="{0A82A331-6E34-41B8-AE43-43A5097A79C4}" name="Scenario tout FR"/>
    <tableColumn id="6" xr3:uid="{D960AB4B-96F2-4556-BD31-0559C512A6A4}" name="Scenario sans IFE Powerbox et Ecran"/>
    <tableColumn id="7" xr3:uid="{E57052AB-C477-46C0-B38C-191CD7121600}" name="Scenario 1kg de moi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A66"/>
  <sheetViews>
    <sheetView zoomScale="85" zoomScaleNormal="85" workbookViewId="0">
      <pane xSplit="1" ySplit="3" topLeftCell="FQ16" activePane="bottomRight" state="frozen"/>
      <selection pane="topRight" activeCell="B1" sqref="B1"/>
      <selection pane="bottomLeft" activeCell="A4" sqref="A4"/>
      <selection pane="bottomRight" activeCell="FZ1" sqref="FZ1:GL3"/>
    </sheetView>
  </sheetViews>
  <sheetFormatPr baseColWidth="10" defaultColWidth="11.44140625" defaultRowHeight="14.4" x14ac:dyDescent="0.3"/>
  <cols>
    <col min="1" max="1" width="59.44140625" customWidth="1"/>
    <col min="2" max="2" width="29.6640625" customWidth="1"/>
    <col min="3" max="3" width="26.88671875" customWidth="1"/>
    <col min="4" max="4" width="31.109375" customWidth="1"/>
    <col min="5" max="5" width="26.5546875" customWidth="1"/>
    <col min="6" max="6" width="33.5546875" customWidth="1"/>
    <col min="7" max="7" width="25.109375" customWidth="1"/>
    <col min="8" max="8" width="31.6640625" customWidth="1"/>
    <col min="11" max="11" width="11.5546875"/>
    <col min="18" max="20" width="11.5546875"/>
    <col min="36" max="36" width="19.6640625" customWidth="1"/>
    <col min="37" max="38" width="22.33203125" customWidth="1"/>
    <col min="39" max="39" width="20" customWidth="1"/>
    <col min="40" max="40" width="21.5546875" customWidth="1"/>
    <col min="222" max="222" width="19.88671875" customWidth="1"/>
    <col min="235" max="235" width="37.44140625" customWidth="1"/>
    <col min="236" max="236" width="39.77734375" customWidth="1"/>
    <col min="237" max="237" width="11.44140625" customWidth="1"/>
    <col min="238" max="238" width="16.44140625" customWidth="1"/>
    <col min="239" max="239" width="21.6640625" customWidth="1"/>
    <col min="240" max="240" width="19.33203125" customWidth="1"/>
  </cols>
  <sheetData>
    <row r="1" spans="1:260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2</v>
      </c>
      <c r="M1" t="s">
        <v>2</v>
      </c>
      <c r="N1" t="s">
        <v>2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2</v>
      </c>
      <c r="V1" t="s">
        <v>2</v>
      </c>
      <c r="W1" t="s">
        <v>2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2</v>
      </c>
      <c r="AH1" t="s">
        <v>2</v>
      </c>
      <c r="AI1" t="s">
        <v>2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1</v>
      </c>
      <c r="BX1" t="s">
        <v>1</v>
      </c>
      <c r="BY1" t="s">
        <v>1</v>
      </c>
      <c r="BZ1" t="s">
        <v>1</v>
      </c>
      <c r="CA1" t="s">
        <v>1</v>
      </c>
      <c r="CB1" t="s">
        <v>1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1</v>
      </c>
      <c r="CW1" t="s">
        <v>1</v>
      </c>
      <c r="CX1" t="s">
        <v>1</v>
      </c>
      <c r="CY1" t="s">
        <v>1</v>
      </c>
      <c r="CZ1" t="s">
        <v>1</v>
      </c>
      <c r="DA1" t="s">
        <v>1</v>
      </c>
      <c r="DB1" t="s">
        <v>1</v>
      </c>
      <c r="DC1" t="s">
        <v>1</v>
      </c>
      <c r="DD1" t="s">
        <v>1</v>
      </c>
      <c r="DE1" t="s">
        <v>1</v>
      </c>
      <c r="DF1" t="s">
        <v>1</v>
      </c>
      <c r="DG1" t="s">
        <v>1</v>
      </c>
      <c r="DH1" t="s">
        <v>1</v>
      </c>
      <c r="DI1" t="s">
        <v>1</v>
      </c>
      <c r="DJ1" t="s">
        <v>1</v>
      </c>
      <c r="DK1" t="s">
        <v>1</v>
      </c>
      <c r="DL1" t="s">
        <v>1</v>
      </c>
      <c r="DM1" t="s">
        <v>1</v>
      </c>
      <c r="DN1" t="s">
        <v>1</v>
      </c>
      <c r="DO1" t="s">
        <v>1</v>
      </c>
      <c r="DP1" t="s">
        <v>1</v>
      </c>
      <c r="DQ1" t="s">
        <v>1</v>
      </c>
      <c r="DR1" t="s">
        <v>1</v>
      </c>
      <c r="DS1" t="s">
        <v>1</v>
      </c>
      <c r="DT1" t="s">
        <v>1</v>
      </c>
      <c r="DU1" t="s">
        <v>1</v>
      </c>
      <c r="DV1" t="s">
        <v>1</v>
      </c>
      <c r="DW1" t="s">
        <v>1</v>
      </c>
      <c r="DX1" t="s">
        <v>1</v>
      </c>
      <c r="DY1" t="s">
        <v>1</v>
      </c>
      <c r="DZ1" t="s">
        <v>1</v>
      </c>
      <c r="EA1" t="s">
        <v>1</v>
      </c>
      <c r="EB1" t="s">
        <v>1</v>
      </c>
      <c r="EC1" t="s">
        <v>1</v>
      </c>
      <c r="ED1" t="s">
        <v>1</v>
      </c>
      <c r="EE1" t="s">
        <v>1</v>
      </c>
      <c r="EF1" t="s">
        <v>1</v>
      </c>
      <c r="EG1" t="s">
        <v>1</v>
      </c>
      <c r="EH1" t="s">
        <v>1</v>
      </c>
      <c r="EI1" t="s">
        <v>1</v>
      </c>
      <c r="EJ1" t="s">
        <v>1</v>
      </c>
      <c r="EK1" t="s">
        <v>1</v>
      </c>
      <c r="EL1" t="s">
        <v>1</v>
      </c>
      <c r="EM1" t="s">
        <v>1</v>
      </c>
      <c r="EN1" t="s">
        <v>1</v>
      </c>
      <c r="EO1" t="s">
        <v>1</v>
      </c>
      <c r="EP1" t="s">
        <v>1</v>
      </c>
      <c r="EQ1" t="s">
        <v>1</v>
      </c>
      <c r="ER1" t="s">
        <v>1</v>
      </c>
      <c r="ES1" t="s">
        <v>1</v>
      </c>
      <c r="ET1" t="s">
        <v>1</v>
      </c>
      <c r="EU1" t="s">
        <v>1</v>
      </c>
      <c r="EV1" t="s">
        <v>1</v>
      </c>
      <c r="EW1" t="s">
        <v>1</v>
      </c>
      <c r="EX1" t="s">
        <v>1</v>
      </c>
      <c r="EY1" t="s">
        <v>1</v>
      </c>
      <c r="EZ1" t="s">
        <v>1</v>
      </c>
      <c r="FA1" t="s">
        <v>1</v>
      </c>
      <c r="FB1" t="s">
        <v>1</v>
      </c>
      <c r="FC1" t="s">
        <v>1</v>
      </c>
      <c r="FD1" t="s">
        <v>1</v>
      </c>
      <c r="FE1" t="s">
        <v>1</v>
      </c>
      <c r="FF1" t="s">
        <v>1</v>
      </c>
      <c r="FG1" t="s">
        <v>1</v>
      </c>
      <c r="FH1" t="s">
        <v>1</v>
      </c>
      <c r="FI1" t="s">
        <v>1</v>
      </c>
      <c r="FJ1" t="s">
        <v>1</v>
      </c>
      <c r="FK1" t="s">
        <v>1</v>
      </c>
      <c r="FL1" t="s">
        <v>1</v>
      </c>
      <c r="FM1" t="s">
        <v>1</v>
      </c>
      <c r="FN1" t="s">
        <v>1</v>
      </c>
      <c r="FO1" t="s">
        <v>1</v>
      </c>
      <c r="FP1" t="s">
        <v>1</v>
      </c>
      <c r="FQ1" t="s">
        <v>1</v>
      </c>
      <c r="FR1" t="s">
        <v>1</v>
      </c>
      <c r="FS1" t="s">
        <v>1</v>
      </c>
      <c r="FT1" t="s">
        <v>1</v>
      </c>
      <c r="FU1" t="s">
        <v>1</v>
      </c>
      <c r="FV1" t="s">
        <v>1</v>
      </c>
      <c r="FW1" t="s">
        <v>1</v>
      </c>
      <c r="FX1" t="s">
        <v>1</v>
      </c>
      <c r="FY1" t="s">
        <v>1</v>
      </c>
      <c r="FZ1" t="s">
        <v>1</v>
      </c>
      <c r="GA1" t="s">
        <v>1</v>
      </c>
      <c r="GB1" t="s">
        <v>1</v>
      </c>
      <c r="GC1" t="s">
        <v>1</v>
      </c>
      <c r="GD1" t="s">
        <v>1</v>
      </c>
      <c r="GE1" t="s">
        <v>1</v>
      </c>
      <c r="GF1" t="s">
        <v>1</v>
      </c>
      <c r="GG1" t="s">
        <v>1</v>
      </c>
      <c r="GH1" t="s">
        <v>1</v>
      </c>
      <c r="GI1" t="s">
        <v>1</v>
      </c>
      <c r="GJ1" t="s">
        <v>1</v>
      </c>
      <c r="GK1" t="s">
        <v>1</v>
      </c>
      <c r="GL1" t="s">
        <v>1</v>
      </c>
      <c r="GM1" t="s">
        <v>1</v>
      </c>
      <c r="GN1" t="s">
        <v>1</v>
      </c>
      <c r="GO1" t="s">
        <v>1</v>
      </c>
      <c r="GP1" t="s">
        <v>1</v>
      </c>
      <c r="GQ1" t="s">
        <v>1</v>
      </c>
      <c r="GR1" t="s">
        <v>1</v>
      </c>
      <c r="GS1" t="s">
        <v>1</v>
      </c>
      <c r="GT1" t="s">
        <v>1</v>
      </c>
      <c r="GU1" t="s">
        <v>1</v>
      </c>
      <c r="GV1" t="s">
        <v>1</v>
      </c>
      <c r="GW1" t="s">
        <v>1</v>
      </c>
      <c r="GX1" t="s">
        <v>1</v>
      </c>
      <c r="GY1" t="s">
        <v>1</v>
      </c>
      <c r="GZ1" t="s">
        <v>1</v>
      </c>
      <c r="HA1" t="s">
        <v>1</v>
      </c>
      <c r="HB1" t="s">
        <v>1</v>
      </c>
      <c r="HC1" t="s">
        <v>1</v>
      </c>
      <c r="HD1" t="s">
        <v>1</v>
      </c>
      <c r="HE1" t="s">
        <v>1</v>
      </c>
      <c r="HF1" t="s">
        <v>1</v>
      </c>
      <c r="HG1" t="s">
        <v>1</v>
      </c>
      <c r="HH1" t="s">
        <v>1</v>
      </c>
      <c r="HI1" t="s">
        <v>1</v>
      </c>
      <c r="HJ1" t="s">
        <v>1</v>
      </c>
      <c r="HK1" t="s">
        <v>1</v>
      </c>
      <c r="HL1" t="s">
        <v>1</v>
      </c>
      <c r="HM1" t="s">
        <v>1</v>
      </c>
      <c r="HN1" t="s">
        <v>1</v>
      </c>
      <c r="HO1" t="s">
        <v>1</v>
      </c>
      <c r="HP1" t="s">
        <v>1</v>
      </c>
      <c r="HQ1" t="s">
        <v>1</v>
      </c>
      <c r="HR1" t="s">
        <v>1</v>
      </c>
      <c r="HS1" t="s">
        <v>1</v>
      </c>
      <c r="HT1" t="s">
        <v>1</v>
      </c>
      <c r="HU1" t="s">
        <v>1</v>
      </c>
      <c r="HV1" t="s">
        <v>1</v>
      </c>
      <c r="HW1" t="s">
        <v>1</v>
      </c>
      <c r="HX1" t="s">
        <v>1</v>
      </c>
      <c r="HY1" t="s">
        <v>4</v>
      </c>
      <c r="HZ1" t="s">
        <v>4</v>
      </c>
      <c r="IA1" t="s">
        <v>5</v>
      </c>
      <c r="IB1" t="s">
        <v>5</v>
      </c>
      <c r="IC1" t="s">
        <v>5</v>
      </c>
      <c r="ID1" t="s">
        <v>6</v>
      </c>
      <c r="IE1" t="s">
        <v>6</v>
      </c>
      <c r="IF1" t="s">
        <v>6</v>
      </c>
      <c r="IG1" t="s">
        <v>7</v>
      </c>
      <c r="IH1" t="s">
        <v>7</v>
      </c>
      <c r="II1" t="s">
        <v>7</v>
      </c>
      <c r="IJ1" t="s">
        <v>7</v>
      </c>
      <c r="IK1" t="s">
        <v>7</v>
      </c>
      <c r="IL1" t="s">
        <v>7</v>
      </c>
      <c r="IM1" t="s">
        <v>7</v>
      </c>
      <c r="IN1" t="s">
        <v>7</v>
      </c>
      <c r="IO1" t="s">
        <v>7</v>
      </c>
      <c r="IP1" t="s">
        <v>7</v>
      </c>
      <c r="IQ1" t="s">
        <v>7</v>
      </c>
      <c r="IR1" t="s">
        <v>7</v>
      </c>
      <c r="IS1" t="s">
        <v>7</v>
      </c>
      <c r="IT1" t="s">
        <v>7</v>
      </c>
      <c r="IU1" t="s">
        <v>7</v>
      </c>
      <c r="IV1" t="s">
        <v>7</v>
      </c>
      <c r="IW1" t="s">
        <v>7</v>
      </c>
      <c r="IX1" t="s">
        <v>7</v>
      </c>
      <c r="IY1" t="s">
        <v>7</v>
      </c>
      <c r="IZ1" t="s">
        <v>7</v>
      </c>
    </row>
    <row r="2" spans="1:260" x14ac:dyDescent="0.3">
      <c r="A2" t="s">
        <v>8</v>
      </c>
      <c r="B2" t="s">
        <v>9</v>
      </c>
      <c r="C2" t="s">
        <v>9</v>
      </c>
      <c r="D2" t="s">
        <v>9</v>
      </c>
      <c r="E2" t="s">
        <v>10</v>
      </c>
      <c r="F2" t="s">
        <v>10</v>
      </c>
      <c r="G2" t="s">
        <v>10</v>
      </c>
      <c r="H2" t="s">
        <v>10</v>
      </c>
      <c r="I2" t="s">
        <v>11</v>
      </c>
      <c r="J2" t="s">
        <v>11</v>
      </c>
      <c r="K2" t="s">
        <v>11</v>
      </c>
      <c r="L2" t="s">
        <v>12</v>
      </c>
      <c r="M2" t="s">
        <v>12</v>
      </c>
      <c r="N2" t="s">
        <v>12</v>
      </c>
      <c r="O2" t="s">
        <v>13</v>
      </c>
      <c r="P2" t="s">
        <v>13</v>
      </c>
      <c r="Q2" t="s">
        <v>13</v>
      </c>
      <c r="R2" t="s">
        <v>14</v>
      </c>
      <c r="S2" t="s">
        <v>14</v>
      </c>
      <c r="T2" t="s">
        <v>14</v>
      </c>
      <c r="U2" t="s">
        <v>15</v>
      </c>
      <c r="V2" t="s">
        <v>15</v>
      </c>
      <c r="W2" t="s">
        <v>15</v>
      </c>
      <c r="X2" t="s">
        <v>16</v>
      </c>
      <c r="Y2" t="s">
        <v>16</v>
      </c>
      <c r="Z2" t="s">
        <v>16</v>
      </c>
      <c r="AA2" t="s">
        <v>17</v>
      </c>
      <c r="AB2" t="s">
        <v>17</v>
      </c>
      <c r="AC2" t="s">
        <v>17</v>
      </c>
      <c r="AD2" t="s">
        <v>18</v>
      </c>
      <c r="AE2" t="s">
        <v>18</v>
      </c>
      <c r="AF2" t="s">
        <v>18</v>
      </c>
      <c r="AG2" t="s">
        <v>19</v>
      </c>
      <c r="AH2" t="s">
        <v>19</v>
      </c>
      <c r="AI2" t="s">
        <v>19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20</v>
      </c>
      <c r="AP2" t="s">
        <v>20</v>
      </c>
      <c r="AQ2" t="s">
        <v>20</v>
      </c>
      <c r="AR2" t="s">
        <v>20</v>
      </c>
      <c r="AS2" t="s">
        <v>20</v>
      </c>
      <c r="AT2" t="s">
        <v>20</v>
      </c>
      <c r="AU2" t="s">
        <v>20</v>
      </c>
      <c r="AV2" t="s">
        <v>20</v>
      </c>
      <c r="AW2" t="s">
        <v>20</v>
      </c>
      <c r="AX2" t="s">
        <v>20</v>
      </c>
      <c r="AY2" t="s">
        <v>21</v>
      </c>
      <c r="AZ2" t="s">
        <v>21</v>
      </c>
      <c r="BA2" t="s">
        <v>21</v>
      </c>
      <c r="BB2" t="s">
        <v>21</v>
      </c>
      <c r="BC2" t="s">
        <v>21</v>
      </c>
      <c r="BD2" t="s">
        <v>21</v>
      </c>
      <c r="BE2" t="s">
        <v>22</v>
      </c>
      <c r="BF2" t="s">
        <v>22</v>
      </c>
      <c r="BG2" t="s">
        <v>22</v>
      </c>
      <c r="BH2" t="s">
        <v>23</v>
      </c>
      <c r="BI2" t="s">
        <v>23</v>
      </c>
      <c r="BJ2" t="s">
        <v>23</v>
      </c>
      <c r="BK2" t="s">
        <v>23</v>
      </c>
      <c r="BL2" t="s">
        <v>23</v>
      </c>
      <c r="BM2" t="s">
        <v>23</v>
      </c>
      <c r="BN2" t="s">
        <v>24</v>
      </c>
      <c r="BO2" t="s">
        <v>24</v>
      </c>
      <c r="BP2" t="s">
        <v>24</v>
      </c>
      <c r="BQ2" t="s">
        <v>24</v>
      </c>
      <c r="BR2" t="s">
        <v>24</v>
      </c>
      <c r="BS2" t="s">
        <v>24</v>
      </c>
      <c r="BT2" t="s">
        <v>25</v>
      </c>
      <c r="BU2" t="s">
        <v>25</v>
      </c>
      <c r="BV2" t="s">
        <v>25</v>
      </c>
      <c r="BW2" t="s">
        <v>25</v>
      </c>
      <c r="BX2" t="s">
        <v>25</v>
      </c>
      <c r="BY2" t="s">
        <v>26</v>
      </c>
      <c r="BZ2" t="s">
        <v>26</v>
      </c>
      <c r="CA2" t="s">
        <v>26</v>
      </c>
      <c r="CB2" t="s">
        <v>26</v>
      </c>
      <c r="CC2" t="s">
        <v>26</v>
      </c>
      <c r="CD2" t="s">
        <v>26</v>
      </c>
      <c r="CE2" t="s">
        <v>27</v>
      </c>
      <c r="CF2" t="s">
        <v>27</v>
      </c>
      <c r="CG2" t="s">
        <v>27</v>
      </c>
      <c r="CH2" t="s">
        <v>27</v>
      </c>
      <c r="CI2" t="s">
        <v>27</v>
      </c>
      <c r="CJ2" t="s">
        <v>27</v>
      </c>
      <c r="CK2" t="s">
        <v>28</v>
      </c>
      <c r="CL2" t="s">
        <v>28</v>
      </c>
      <c r="CM2" t="s">
        <v>28</v>
      </c>
      <c r="CN2" t="s">
        <v>28</v>
      </c>
      <c r="CO2" t="s">
        <v>28</v>
      </c>
      <c r="CP2" t="s">
        <v>28</v>
      </c>
      <c r="CQ2" t="s">
        <v>28</v>
      </c>
      <c r="CR2" t="s">
        <v>28</v>
      </c>
      <c r="CS2" t="s">
        <v>28</v>
      </c>
      <c r="CT2" t="s">
        <v>28</v>
      </c>
      <c r="CU2" t="s">
        <v>28</v>
      </c>
      <c r="CV2" t="s">
        <v>29</v>
      </c>
      <c r="CW2" t="s">
        <v>29</v>
      </c>
      <c r="CX2" t="s">
        <v>29</v>
      </c>
      <c r="CY2" t="s">
        <v>29</v>
      </c>
      <c r="CZ2" t="s">
        <v>29</v>
      </c>
      <c r="DA2" t="s">
        <v>30</v>
      </c>
      <c r="DB2" t="s">
        <v>30</v>
      </c>
      <c r="DC2" t="s">
        <v>30</v>
      </c>
      <c r="DD2" t="s">
        <v>30</v>
      </c>
      <c r="DE2" t="s">
        <v>30</v>
      </c>
      <c r="DF2" t="s">
        <v>30</v>
      </c>
      <c r="DG2" t="s">
        <v>30</v>
      </c>
      <c r="DH2" t="s">
        <v>31</v>
      </c>
      <c r="DI2" t="s">
        <v>31</v>
      </c>
      <c r="DJ2" t="s">
        <v>31</v>
      </c>
      <c r="DK2" t="s">
        <v>31</v>
      </c>
      <c r="DL2" t="s">
        <v>31</v>
      </c>
      <c r="DM2" t="s">
        <v>31</v>
      </c>
      <c r="DN2" t="s">
        <v>31</v>
      </c>
      <c r="DO2" t="s">
        <v>31</v>
      </c>
      <c r="DP2" t="s">
        <v>31</v>
      </c>
      <c r="DQ2" t="s">
        <v>32</v>
      </c>
      <c r="DR2" t="s">
        <v>32</v>
      </c>
      <c r="DS2" t="s">
        <v>32</v>
      </c>
      <c r="DT2" t="s">
        <v>32</v>
      </c>
      <c r="DU2" t="s">
        <v>32</v>
      </c>
      <c r="DV2" t="s">
        <v>32</v>
      </c>
      <c r="DW2" t="s">
        <v>32</v>
      </c>
      <c r="DX2" t="s">
        <v>32</v>
      </c>
      <c r="DY2" t="s">
        <v>32</v>
      </c>
      <c r="DZ2" t="s">
        <v>33</v>
      </c>
      <c r="EA2" t="s">
        <v>33</v>
      </c>
      <c r="EB2" t="s">
        <v>33</v>
      </c>
      <c r="EC2" t="s">
        <v>33</v>
      </c>
      <c r="ED2" t="s">
        <v>33</v>
      </c>
      <c r="EE2" t="s">
        <v>33</v>
      </c>
      <c r="EF2" t="s">
        <v>33</v>
      </c>
      <c r="EG2" t="s">
        <v>33</v>
      </c>
      <c r="EH2" t="s">
        <v>33</v>
      </c>
      <c r="EI2" t="s">
        <v>33</v>
      </c>
      <c r="EJ2" t="s">
        <v>34</v>
      </c>
      <c r="EK2" t="s">
        <v>34</v>
      </c>
      <c r="EL2" t="s">
        <v>35</v>
      </c>
      <c r="EM2" t="s">
        <v>35</v>
      </c>
      <c r="EN2" t="s">
        <v>35</v>
      </c>
      <c r="EO2" t="s">
        <v>35</v>
      </c>
      <c r="EP2" t="s">
        <v>35</v>
      </c>
      <c r="EQ2" t="s">
        <v>35</v>
      </c>
      <c r="ER2" t="s">
        <v>35</v>
      </c>
      <c r="ES2" t="s">
        <v>35</v>
      </c>
      <c r="ET2" t="s">
        <v>36</v>
      </c>
      <c r="EU2" t="s">
        <v>36</v>
      </c>
      <c r="EV2" t="s">
        <v>36</v>
      </c>
      <c r="EW2" t="s">
        <v>36</v>
      </c>
      <c r="EX2" t="s">
        <v>36</v>
      </c>
      <c r="EY2" t="s">
        <v>36</v>
      </c>
      <c r="EZ2" t="s">
        <v>36</v>
      </c>
      <c r="FA2" t="s">
        <v>36</v>
      </c>
      <c r="FB2" t="s">
        <v>36</v>
      </c>
      <c r="FC2" t="s">
        <v>37</v>
      </c>
      <c r="FD2" t="s">
        <v>37</v>
      </c>
      <c r="FE2" t="s">
        <v>37</v>
      </c>
      <c r="FF2" t="s">
        <v>37</v>
      </c>
      <c r="FG2" t="s">
        <v>37</v>
      </c>
      <c r="FH2" t="s">
        <v>37</v>
      </c>
      <c r="FI2" t="s">
        <v>37</v>
      </c>
      <c r="FJ2" t="s">
        <v>37</v>
      </c>
      <c r="FK2" t="s">
        <v>37</v>
      </c>
      <c r="FL2" t="s">
        <v>37</v>
      </c>
      <c r="FM2" t="s">
        <v>37</v>
      </c>
      <c r="FN2" t="s">
        <v>38</v>
      </c>
      <c r="FO2" t="s">
        <v>38</v>
      </c>
      <c r="FP2" t="s">
        <v>38</v>
      </c>
      <c r="FQ2" t="s">
        <v>38</v>
      </c>
      <c r="FR2" t="s">
        <v>38</v>
      </c>
      <c r="FS2" t="s">
        <v>38</v>
      </c>
      <c r="FT2" t="s">
        <v>38</v>
      </c>
      <c r="FU2" t="s">
        <v>39</v>
      </c>
      <c r="FV2" t="s">
        <v>39</v>
      </c>
      <c r="FW2" t="s">
        <v>39</v>
      </c>
      <c r="FX2" t="s">
        <v>39</v>
      </c>
      <c r="FY2" t="s">
        <v>39</v>
      </c>
      <c r="FZ2" t="s">
        <v>40</v>
      </c>
      <c r="GA2" t="s">
        <v>40</v>
      </c>
      <c r="GB2" t="s">
        <v>40</v>
      </c>
      <c r="GC2" t="s">
        <v>40</v>
      </c>
      <c r="GD2" t="s">
        <v>40</v>
      </c>
      <c r="GE2" t="s">
        <v>40</v>
      </c>
      <c r="GF2" t="s">
        <v>41</v>
      </c>
      <c r="GG2" t="s">
        <v>41</v>
      </c>
      <c r="GH2" t="s">
        <v>41</v>
      </c>
      <c r="GI2" t="s">
        <v>41</v>
      </c>
      <c r="GJ2" t="s">
        <v>41</v>
      </c>
      <c r="GK2" t="s">
        <v>41</v>
      </c>
      <c r="GL2" t="s">
        <v>41</v>
      </c>
      <c r="GM2" t="s">
        <v>42</v>
      </c>
      <c r="GN2" t="s">
        <v>42</v>
      </c>
      <c r="GO2" t="s">
        <v>42</v>
      </c>
      <c r="GP2" t="s">
        <v>42</v>
      </c>
      <c r="GQ2" t="s">
        <v>42</v>
      </c>
      <c r="GR2" t="s">
        <v>43</v>
      </c>
      <c r="GS2" t="s">
        <v>43</v>
      </c>
      <c r="GT2" t="s">
        <v>43</v>
      </c>
      <c r="GU2" t="s">
        <v>43</v>
      </c>
      <c r="GV2" t="s">
        <v>43</v>
      </c>
      <c r="GW2" t="s">
        <v>43</v>
      </c>
      <c r="GX2" t="s">
        <v>43</v>
      </c>
      <c r="GY2" t="s">
        <v>43</v>
      </c>
      <c r="GZ2" t="s">
        <v>43</v>
      </c>
      <c r="HA2" t="s">
        <v>43</v>
      </c>
      <c r="HB2" t="s">
        <v>43</v>
      </c>
      <c r="HC2" t="s">
        <v>44</v>
      </c>
      <c r="HD2" t="s">
        <v>44</v>
      </c>
      <c r="HE2" t="s">
        <v>44</v>
      </c>
      <c r="HF2" t="s">
        <v>44</v>
      </c>
      <c r="HG2" t="s">
        <v>44</v>
      </c>
      <c r="HH2" t="s">
        <v>45</v>
      </c>
      <c r="HI2" t="s">
        <v>45</v>
      </c>
      <c r="HJ2" t="s">
        <v>45</v>
      </c>
      <c r="HK2" t="s">
        <v>45</v>
      </c>
      <c r="HL2" t="s">
        <v>45</v>
      </c>
      <c r="HM2" t="s">
        <v>45</v>
      </c>
      <c r="HN2" t="s">
        <v>46</v>
      </c>
      <c r="HO2" t="s">
        <v>46</v>
      </c>
      <c r="HP2" t="s">
        <v>46</v>
      </c>
      <c r="HQ2" t="s">
        <v>46</v>
      </c>
      <c r="HR2" t="s">
        <v>47</v>
      </c>
      <c r="HS2" t="s">
        <v>47</v>
      </c>
      <c r="HT2" t="s">
        <v>47</v>
      </c>
      <c r="HU2" t="s">
        <v>47</v>
      </c>
      <c r="HV2" t="s">
        <v>48</v>
      </c>
      <c r="HW2" t="s">
        <v>48</v>
      </c>
      <c r="HX2" t="s">
        <v>48</v>
      </c>
      <c r="HY2" t="s">
        <v>49</v>
      </c>
      <c r="HZ2" t="s">
        <v>49</v>
      </c>
      <c r="IA2" t="s">
        <v>50</v>
      </c>
      <c r="IB2" t="s">
        <v>50</v>
      </c>
      <c r="IC2" t="s">
        <v>51</v>
      </c>
      <c r="ID2" t="s">
        <v>50</v>
      </c>
      <c r="IE2" t="s">
        <v>50</v>
      </c>
      <c r="IF2" t="s">
        <v>51</v>
      </c>
      <c r="IG2" t="s">
        <v>52</v>
      </c>
      <c r="IH2" t="s">
        <v>52</v>
      </c>
      <c r="II2" t="s">
        <v>52</v>
      </c>
      <c r="IJ2" t="s">
        <v>52</v>
      </c>
      <c r="IK2" t="s">
        <v>52</v>
      </c>
      <c r="IL2" t="s">
        <v>53</v>
      </c>
      <c r="IM2" t="s">
        <v>53</v>
      </c>
      <c r="IN2" t="s">
        <v>53</v>
      </c>
      <c r="IO2" t="s">
        <v>53</v>
      </c>
      <c r="IP2" t="s">
        <v>53</v>
      </c>
      <c r="IQ2" t="s">
        <v>53</v>
      </c>
      <c r="IR2" t="s">
        <v>53</v>
      </c>
      <c r="IS2" t="s">
        <v>53</v>
      </c>
      <c r="IT2" t="s">
        <v>53</v>
      </c>
      <c r="IU2" t="s">
        <v>53</v>
      </c>
      <c r="IV2" t="s">
        <v>53</v>
      </c>
      <c r="IW2" t="s">
        <v>53</v>
      </c>
      <c r="IX2" t="s">
        <v>53</v>
      </c>
      <c r="IY2" t="s">
        <v>53</v>
      </c>
      <c r="IZ2" t="s">
        <v>53</v>
      </c>
    </row>
    <row r="3" spans="1:260" x14ac:dyDescent="0.3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56</v>
      </c>
      <c r="H3" t="s">
        <v>57</v>
      </c>
      <c r="I3" t="s">
        <v>11</v>
      </c>
      <c r="J3" t="s">
        <v>56</v>
      </c>
      <c r="K3" t="s">
        <v>57</v>
      </c>
      <c r="L3" t="s">
        <v>12</v>
      </c>
      <c r="M3" t="s">
        <v>56</v>
      </c>
      <c r="N3" t="s">
        <v>57</v>
      </c>
      <c r="O3" t="s">
        <v>13</v>
      </c>
      <c r="P3" t="s">
        <v>56</v>
      </c>
      <c r="Q3" t="s">
        <v>57</v>
      </c>
      <c r="R3" t="s">
        <v>56</v>
      </c>
      <c r="S3" t="s">
        <v>14</v>
      </c>
      <c r="T3" t="s">
        <v>57</v>
      </c>
      <c r="U3" t="s">
        <v>56</v>
      </c>
      <c r="V3" t="s">
        <v>60</v>
      </c>
      <c r="W3" t="s">
        <v>57</v>
      </c>
      <c r="X3" t="s">
        <v>56</v>
      </c>
      <c r="Y3" t="s">
        <v>61</v>
      </c>
      <c r="Z3" t="s">
        <v>57</v>
      </c>
      <c r="AA3" t="s">
        <v>56</v>
      </c>
      <c r="AB3" t="s">
        <v>62</v>
      </c>
      <c r="AC3" t="s">
        <v>57</v>
      </c>
      <c r="AD3" t="s">
        <v>58</v>
      </c>
      <c r="AE3" t="s">
        <v>59</v>
      </c>
      <c r="AF3" t="s">
        <v>56</v>
      </c>
      <c r="AG3" t="s">
        <v>56</v>
      </c>
      <c r="AH3" t="s">
        <v>63</v>
      </c>
      <c r="AI3" t="s">
        <v>57</v>
      </c>
      <c r="AJ3" t="s">
        <v>64</v>
      </c>
      <c r="AK3" t="s">
        <v>65</v>
      </c>
      <c r="AL3" t="s">
        <v>66</v>
      </c>
      <c r="AM3" t="s">
        <v>67</v>
      </c>
      <c r="AN3" t="s">
        <v>68</v>
      </c>
      <c r="AO3" t="s">
        <v>69</v>
      </c>
      <c r="AP3" t="s">
        <v>70</v>
      </c>
      <c r="AQ3" t="s">
        <v>71</v>
      </c>
      <c r="AR3" t="s">
        <v>72</v>
      </c>
      <c r="AS3" t="s">
        <v>58</v>
      </c>
      <c r="AT3" t="s">
        <v>73</v>
      </c>
      <c r="AU3" t="s">
        <v>74</v>
      </c>
      <c r="AV3" t="s">
        <v>75</v>
      </c>
      <c r="AW3" t="s">
        <v>56</v>
      </c>
      <c r="AX3" t="s">
        <v>57</v>
      </c>
      <c r="AY3" t="s">
        <v>72</v>
      </c>
      <c r="AZ3" t="s">
        <v>58</v>
      </c>
      <c r="BA3" t="s">
        <v>76</v>
      </c>
      <c r="BB3" t="s">
        <v>77</v>
      </c>
      <c r="BC3" t="s">
        <v>56</v>
      </c>
      <c r="BD3" t="s">
        <v>57</v>
      </c>
      <c r="BE3" t="s">
        <v>78</v>
      </c>
      <c r="BF3" t="s">
        <v>56</v>
      </c>
      <c r="BG3" t="s">
        <v>57</v>
      </c>
      <c r="BH3" t="s">
        <v>79</v>
      </c>
      <c r="BI3" t="s">
        <v>78</v>
      </c>
      <c r="BJ3" t="s">
        <v>56</v>
      </c>
      <c r="BK3" t="s">
        <v>80</v>
      </c>
      <c r="BL3" t="s">
        <v>57</v>
      </c>
      <c r="BM3" t="s">
        <v>81</v>
      </c>
      <c r="BN3" t="s">
        <v>79</v>
      </c>
      <c r="BO3" t="s">
        <v>56</v>
      </c>
      <c r="BP3" t="s">
        <v>80</v>
      </c>
      <c r="BQ3" t="s">
        <v>57</v>
      </c>
      <c r="BR3" t="s">
        <v>82</v>
      </c>
      <c r="BS3" t="s">
        <v>81</v>
      </c>
      <c r="BT3" t="s">
        <v>79</v>
      </c>
      <c r="BU3" t="s">
        <v>56</v>
      </c>
      <c r="BV3" t="s">
        <v>80</v>
      </c>
      <c r="BW3" t="s">
        <v>57</v>
      </c>
      <c r="BX3" t="s">
        <v>81</v>
      </c>
      <c r="BY3" t="s">
        <v>79</v>
      </c>
      <c r="BZ3" t="s">
        <v>56</v>
      </c>
      <c r="CA3" t="s">
        <v>80</v>
      </c>
      <c r="CB3" t="s">
        <v>57</v>
      </c>
      <c r="CC3" t="s">
        <v>82</v>
      </c>
      <c r="CD3" t="s">
        <v>81</v>
      </c>
      <c r="CE3" t="s">
        <v>79</v>
      </c>
      <c r="CF3" t="s">
        <v>56</v>
      </c>
      <c r="CG3" s="5" t="s">
        <v>80</v>
      </c>
      <c r="CH3" t="s">
        <v>57</v>
      </c>
      <c r="CI3" t="s">
        <v>82</v>
      </c>
      <c r="CJ3" s="5" t="s">
        <v>81</v>
      </c>
      <c r="CK3" t="s">
        <v>83</v>
      </c>
      <c r="CL3" t="s">
        <v>70</v>
      </c>
      <c r="CM3" t="s">
        <v>72</v>
      </c>
      <c r="CN3" t="s">
        <v>58</v>
      </c>
      <c r="CO3" t="s">
        <v>84</v>
      </c>
      <c r="CP3" t="s">
        <v>74</v>
      </c>
      <c r="CQ3" t="s">
        <v>79</v>
      </c>
      <c r="CR3" t="s">
        <v>78</v>
      </c>
      <c r="CS3" t="s">
        <v>59</v>
      </c>
      <c r="CT3" t="s">
        <v>56</v>
      </c>
      <c r="CU3" t="s">
        <v>57</v>
      </c>
      <c r="CV3" t="s">
        <v>58</v>
      </c>
      <c r="CW3" t="s">
        <v>85</v>
      </c>
      <c r="CX3" t="s">
        <v>56</v>
      </c>
      <c r="CY3" t="s">
        <v>86</v>
      </c>
      <c r="CZ3" t="s">
        <v>57</v>
      </c>
      <c r="DA3" t="s">
        <v>72</v>
      </c>
      <c r="DB3" t="s">
        <v>58</v>
      </c>
      <c r="DC3" t="s">
        <v>74</v>
      </c>
      <c r="DD3" t="s">
        <v>59</v>
      </c>
      <c r="DE3" t="s">
        <v>56</v>
      </c>
      <c r="DF3" t="s">
        <v>57</v>
      </c>
      <c r="DG3" t="s">
        <v>81</v>
      </c>
      <c r="DH3" t="s">
        <v>87</v>
      </c>
      <c r="DI3" t="s">
        <v>70</v>
      </c>
      <c r="DJ3" t="s">
        <v>58</v>
      </c>
      <c r="DK3" t="s">
        <v>73</v>
      </c>
      <c r="DL3" t="s">
        <v>75</v>
      </c>
      <c r="DM3" t="s">
        <v>59</v>
      </c>
      <c r="DN3" t="s">
        <v>56</v>
      </c>
      <c r="DO3" t="s">
        <v>88</v>
      </c>
      <c r="DP3" t="s">
        <v>57</v>
      </c>
      <c r="DQ3" t="s">
        <v>58</v>
      </c>
      <c r="DR3" t="s">
        <v>89</v>
      </c>
      <c r="DS3" t="s">
        <v>73</v>
      </c>
      <c r="DT3" t="s">
        <v>74</v>
      </c>
      <c r="DU3" t="s">
        <v>75</v>
      </c>
      <c r="DV3" t="s">
        <v>78</v>
      </c>
      <c r="DW3" t="s">
        <v>59</v>
      </c>
      <c r="DX3" t="s">
        <v>56</v>
      </c>
      <c r="DY3" t="s">
        <v>57</v>
      </c>
      <c r="DZ3" t="s">
        <v>87</v>
      </c>
      <c r="EA3">
        <v>4140</v>
      </c>
      <c r="EB3" t="s">
        <v>70</v>
      </c>
      <c r="EC3" t="s">
        <v>71</v>
      </c>
      <c r="ED3" t="s">
        <v>72</v>
      </c>
      <c r="EE3" t="s">
        <v>58</v>
      </c>
      <c r="EF3" t="s">
        <v>75</v>
      </c>
      <c r="EG3" t="s">
        <v>59</v>
      </c>
      <c r="EH3" t="s">
        <v>56</v>
      </c>
      <c r="EI3" t="s">
        <v>57</v>
      </c>
      <c r="EJ3" t="s">
        <v>82</v>
      </c>
      <c r="EK3" t="s">
        <v>90</v>
      </c>
      <c r="EL3" t="s">
        <v>87</v>
      </c>
      <c r="EM3" t="s">
        <v>58</v>
      </c>
      <c r="EN3" t="s">
        <v>73</v>
      </c>
      <c r="EO3" t="s">
        <v>91</v>
      </c>
      <c r="EP3" t="s">
        <v>75</v>
      </c>
      <c r="EQ3" t="s">
        <v>59</v>
      </c>
      <c r="ER3" t="s">
        <v>56</v>
      </c>
      <c r="ES3" t="s">
        <v>57</v>
      </c>
      <c r="ET3" t="s">
        <v>70</v>
      </c>
      <c r="EU3" t="s">
        <v>71</v>
      </c>
      <c r="EV3" t="s">
        <v>58</v>
      </c>
      <c r="EW3" t="s">
        <v>75</v>
      </c>
      <c r="EX3" t="s">
        <v>78</v>
      </c>
      <c r="EY3" t="s">
        <v>59</v>
      </c>
      <c r="EZ3" t="s">
        <v>56</v>
      </c>
      <c r="FA3" t="s">
        <v>80</v>
      </c>
      <c r="FB3" t="s">
        <v>57</v>
      </c>
      <c r="FC3" t="s">
        <v>70</v>
      </c>
      <c r="FD3" t="s">
        <v>71</v>
      </c>
      <c r="FE3" t="s">
        <v>92</v>
      </c>
      <c r="FF3" t="s">
        <v>58</v>
      </c>
      <c r="FG3" t="s">
        <v>74</v>
      </c>
      <c r="FH3" t="s">
        <v>75</v>
      </c>
      <c r="FI3" t="s">
        <v>78</v>
      </c>
      <c r="FJ3" t="s">
        <v>59</v>
      </c>
      <c r="FK3" t="s">
        <v>56</v>
      </c>
      <c r="FL3" t="s">
        <v>93</v>
      </c>
      <c r="FM3" t="s">
        <v>57</v>
      </c>
      <c r="FN3" t="s">
        <v>70</v>
      </c>
      <c r="FO3" t="s">
        <v>71</v>
      </c>
      <c r="FP3" t="s">
        <v>75</v>
      </c>
      <c r="FQ3" t="s">
        <v>59</v>
      </c>
      <c r="FR3" t="s">
        <v>56</v>
      </c>
      <c r="FS3" t="s">
        <v>80</v>
      </c>
      <c r="FT3" t="s">
        <v>57</v>
      </c>
      <c r="FU3" t="s">
        <v>72</v>
      </c>
      <c r="FV3" t="s">
        <v>58</v>
      </c>
      <c r="FW3" t="s">
        <v>56</v>
      </c>
      <c r="FX3" t="s">
        <v>57</v>
      </c>
      <c r="FY3" t="s">
        <v>81</v>
      </c>
      <c r="FZ3" t="s">
        <v>72</v>
      </c>
      <c r="GA3" t="s">
        <v>73</v>
      </c>
      <c r="GB3" t="s">
        <v>84</v>
      </c>
      <c r="GC3" t="s">
        <v>79</v>
      </c>
      <c r="GD3" t="s">
        <v>56</v>
      </c>
      <c r="GE3" t="s">
        <v>57</v>
      </c>
      <c r="GF3" t="s">
        <v>72</v>
      </c>
      <c r="GG3" t="s">
        <v>58</v>
      </c>
      <c r="GH3" t="s">
        <v>84</v>
      </c>
      <c r="GI3" t="s">
        <v>79</v>
      </c>
      <c r="GJ3" t="s">
        <v>56</v>
      </c>
      <c r="GK3" t="s">
        <v>57</v>
      </c>
      <c r="GL3" t="s">
        <v>82</v>
      </c>
      <c r="GM3" t="s">
        <v>72</v>
      </c>
      <c r="GN3" t="s">
        <v>94</v>
      </c>
      <c r="GO3" t="s">
        <v>58</v>
      </c>
      <c r="GP3" t="s">
        <v>56</v>
      </c>
      <c r="GQ3" t="s">
        <v>57</v>
      </c>
      <c r="GR3" t="s">
        <v>87</v>
      </c>
      <c r="GS3" t="s">
        <v>70</v>
      </c>
      <c r="GT3" t="s">
        <v>72</v>
      </c>
      <c r="GU3" t="s">
        <v>58</v>
      </c>
      <c r="GV3" t="s">
        <v>74</v>
      </c>
      <c r="GW3" t="s">
        <v>75</v>
      </c>
      <c r="GX3" t="s">
        <v>78</v>
      </c>
      <c r="GY3" t="s">
        <v>59</v>
      </c>
      <c r="GZ3" t="s">
        <v>56</v>
      </c>
      <c r="HA3" t="s">
        <v>95</v>
      </c>
      <c r="HB3" t="s">
        <v>57</v>
      </c>
      <c r="HC3" t="s">
        <v>72</v>
      </c>
      <c r="HD3" t="s">
        <v>58</v>
      </c>
      <c r="HE3" t="s">
        <v>74</v>
      </c>
      <c r="HF3" t="s">
        <v>56</v>
      </c>
      <c r="HG3" t="s">
        <v>57</v>
      </c>
      <c r="HH3" t="s">
        <v>70</v>
      </c>
      <c r="HI3" t="s">
        <v>72</v>
      </c>
      <c r="HJ3" t="s">
        <v>58</v>
      </c>
      <c r="HK3" t="s">
        <v>75</v>
      </c>
      <c r="HL3" t="s">
        <v>56</v>
      </c>
      <c r="HM3" t="s">
        <v>57</v>
      </c>
      <c r="HN3" t="s">
        <v>72</v>
      </c>
      <c r="HO3" t="s">
        <v>58</v>
      </c>
      <c r="HP3" t="s">
        <v>56</v>
      </c>
      <c r="HQ3" t="s">
        <v>57</v>
      </c>
      <c r="HR3" t="s">
        <v>72</v>
      </c>
      <c r="HS3" t="s">
        <v>58</v>
      </c>
      <c r="HT3" t="s">
        <v>56</v>
      </c>
      <c r="HU3" t="s">
        <v>57</v>
      </c>
      <c r="HV3" t="s">
        <v>72</v>
      </c>
      <c r="HW3" t="s">
        <v>56</v>
      </c>
      <c r="HX3" t="s">
        <v>57</v>
      </c>
      <c r="HY3" t="s">
        <v>56</v>
      </c>
      <c r="HZ3" t="s">
        <v>57</v>
      </c>
      <c r="IA3" t="s">
        <v>96</v>
      </c>
      <c r="IB3" t="s">
        <v>97</v>
      </c>
      <c r="IC3" t="s">
        <v>98</v>
      </c>
      <c r="ID3" t="s">
        <v>96</v>
      </c>
      <c r="IE3" t="s">
        <v>97</v>
      </c>
      <c r="IF3" t="s">
        <v>98</v>
      </c>
      <c r="IG3" t="s">
        <v>99</v>
      </c>
      <c r="IH3" t="s">
        <v>100</v>
      </c>
      <c r="II3" t="s">
        <v>101</v>
      </c>
      <c r="IJ3" t="s">
        <v>102</v>
      </c>
      <c r="IK3" t="s">
        <v>103</v>
      </c>
      <c r="IL3" t="s">
        <v>104</v>
      </c>
      <c r="IM3" t="s">
        <v>105</v>
      </c>
      <c r="IN3" t="s">
        <v>106</v>
      </c>
      <c r="IO3" t="s">
        <v>107</v>
      </c>
      <c r="IP3" t="s">
        <v>108</v>
      </c>
      <c r="IQ3" t="s">
        <v>109</v>
      </c>
      <c r="IR3" t="s">
        <v>110</v>
      </c>
      <c r="IS3" t="s">
        <v>111</v>
      </c>
      <c r="IT3" t="s">
        <v>112</v>
      </c>
      <c r="IU3" t="s">
        <v>113</v>
      </c>
      <c r="IV3" t="s">
        <v>114</v>
      </c>
      <c r="IW3" t="s">
        <v>115</v>
      </c>
      <c r="IX3" t="s">
        <v>116</v>
      </c>
      <c r="IY3" t="s">
        <v>117</v>
      </c>
      <c r="IZ3" t="s">
        <v>118</v>
      </c>
    </row>
    <row r="4" spans="1:260" x14ac:dyDescent="0.3">
      <c r="A4" t="s">
        <v>119</v>
      </c>
      <c r="B4">
        <v>5.2200000000000003E-2</v>
      </c>
      <c r="C4">
        <v>1.0300000000000001E-3</v>
      </c>
      <c r="D4">
        <v>3.1599999999999998E-4</v>
      </c>
      <c r="E4">
        <v>5.6800000000000002E-3</v>
      </c>
      <c r="F4">
        <v>2.99E-3</v>
      </c>
      <c r="G4">
        <v>9.68E-4</v>
      </c>
      <c r="H4">
        <v>2.1499999999999998E-2</v>
      </c>
      <c r="I4">
        <v>2.13</v>
      </c>
      <c r="J4">
        <v>4.8599999999999997E-3</v>
      </c>
      <c r="K4">
        <v>3.2400000000000001E-4</v>
      </c>
      <c r="L4">
        <v>1.33</v>
      </c>
      <c r="M4">
        <v>7.2899999999999996E-3</v>
      </c>
      <c r="N4">
        <v>8.6499999999999994E-2</v>
      </c>
      <c r="O4">
        <v>1.25</v>
      </c>
      <c r="P4" s="5">
        <v>4.8599999999999997E-3</v>
      </c>
      <c r="Q4" s="5">
        <v>3.3300000000000002E-4</v>
      </c>
      <c r="R4">
        <v>4.2599999999999999E-3</v>
      </c>
      <c r="S4" s="5">
        <v>2.86E-2</v>
      </c>
      <c r="T4" s="5">
        <v>1.5900000000000001E-3</v>
      </c>
      <c r="U4">
        <v>4.8599999999999997E-3</v>
      </c>
      <c r="V4">
        <v>0.16900000000000001</v>
      </c>
      <c r="W4">
        <v>5.5800000000000002E-2</v>
      </c>
      <c r="X4">
        <v>4.8599999999999997E-3</v>
      </c>
      <c r="Y4" s="5">
        <v>0.315</v>
      </c>
      <c r="Z4" s="5">
        <v>1.9799999999999999E-4</v>
      </c>
      <c r="AA4">
        <v>4.8599999999999997E-3</v>
      </c>
      <c r="AB4" s="5">
        <v>3.49E-2</v>
      </c>
      <c r="AC4" s="5">
        <v>1.5800000000000002E-2</v>
      </c>
      <c r="AD4">
        <v>1.01E-2</v>
      </c>
      <c r="AE4" s="5">
        <v>2.1899999999999999E-2</v>
      </c>
      <c r="AF4" s="5">
        <v>1.9400000000000001E-6</v>
      </c>
      <c r="AG4">
        <v>4.8599999999999997E-3</v>
      </c>
      <c r="AH4">
        <v>1.25</v>
      </c>
      <c r="AI4">
        <v>3.2400000000000001E-4</v>
      </c>
      <c r="AJ4">
        <v>2.47E-2</v>
      </c>
      <c r="AK4">
        <v>1.31E-3</v>
      </c>
      <c r="AL4">
        <v>9.2099999999999994E-3</v>
      </c>
      <c r="AM4">
        <v>6.9499999999999998E-4</v>
      </c>
      <c r="AN4" s="5">
        <v>1.15E-5</v>
      </c>
      <c r="AO4">
        <v>2.1161997945206201E-4</v>
      </c>
      <c r="AP4">
        <v>0.13200000000000001</v>
      </c>
      <c r="AQ4">
        <v>8.0199999999999994E-3</v>
      </c>
      <c r="AR4">
        <v>1.41E-2</v>
      </c>
      <c r="AS4">
        <v>5.5599999999999998E-3</v>
      </c>
      <c r="AT4">
        <v>5.2500000000000003E-3</v>
      </c>
      <c r="AU4">
        <v>1.6200000000000001E-4</v>
      </c>
      <c r="AV4">
        <v>5.1599999999999997E-4</v>
      </c>
      <c r="AW4">
        <v>1.0900000000000001E-4</v>
      </c>
      <c r="AX4">
        <v>2.0200000000000001E-3</v>
      </c>
      <c r="AY4">
        <v>1.08E-3</v>
      </c>
      <c r="AZ4">
        <v>1.8799999999999999E-4</v>
      </c>
      <c r="BA4" s="5">
        <v>9.2299999999999994E-5</v>
      </c>
      <c r="BB4">
        <v>1.1299999999999999E-3</v>
      </c>
      <c r="BC4">
        <v>6.7900000000000002E-4</v>
      </c>
      <c r="BD4">
        <v>1.2999999999999999E-3</v>
      </c>
      <c r="BE4">
        <v>4.3300000000000001E-4</v>
      </c>
      <c r="BF4">
        <v>5.0900000000000001E-4</v>
      </c>
      <c r="BG4" s="5">
        <v>2.4199999999999999E-5</v>
      </c>
      <c r="BH4">
        <v>9.2300000000000004E-3</v>
      </c>
      <c r="BI4">
        <v>2.32E-4</v>
      </c>
      <c r="BJ4" s="5">
        <v>3.2599999999999999E-3</v>
      </c>
      <c r="BK4">
        <v>0.17599999999999999</v>
      </c>
      <c r="BL4">
        <v>2.48E-3</v>
      </c>
      <c r="BM4">
        <v>4.3800000000000002E-4</v>
      </c>
      <c r="BN4">
        <v>1.1100000000000001E-3</v>
      </c>
      <c r="BO4">
        <v>6.7900000000000002E-4</v>
      </c>
      <c r="BP4" s="5">
        <v>0.105</v>
      </c>
      <c r="BQ4">
        <v>4.4700000000000002E-4</v>
      </c>
      <c r="BR4" s="5">
        <v>9.0199999999999997E-5</v>
      </c>
      <c r="BS4" s="5">
        <v>3.8699999999999999E-5</v>
      </c>
      <c r="BT4">
        <v>8.0000000000000002E-3</v>
      </c>
      <c r="BU4">
        <v>2.9499999999999999E-3</v>
      </c>
      <c r="BV4" s="5">
        <v>0.22800000000000001</v>
      </c>
      <c r="BW4">
        <v>1.8799999999999999E-3</v>
      </c>
      <c r="BX4" s="5">
        <v>3.2200000000000002E-4</v>
      </c>
      <c r="BY4">
        <v>7.8399999999999997E-3</v>
      </c>
      <c r="BZ4">
        <v>3.2599999999999999E-3</v>
      </c>
      <c r="CA4" s="5">
        <v>0.42499999999999999</v>
      </c>
      <c r="CB4">
        <v>2.2399999999999998E-3</v>
      </c>
      <c r="CC4" s="5">
        <v>6.4399999999999993E-5</v>
      </c>
      <c r="CD4" s="5">
        <v>1.03E-4</v>
      </c>
      <c r="CE4">
        <v>0.01</v>
      </c>
      <c r="CF4">
        <v>3.2599999999999999E-3</v>
      </c>
      <c r="CG4" s="5">
        <v>0.41299999999999998</v>
      </c>
      <c r="CH4">
        <v>2.4599999999999999E-3</v>
      </c>
      <c r="CI4" s="5">
        <v>7.7299999999999995E-5</v>
      </c>
      <c r="CJ4" s="5">
        <v>2.8299999999999999E-4</v>
      </c>
      <c r="CK4">
        <v>1.7200000000000001E-4</v>
      </c>
      <c r="CL4">
        <v>6.2199999999999998E-3</v>
      </c>
      <c r="CM4" s="5">
        <v>9.6699999999999998E-3</v>
      </c>
      <c r="CN4" s="5">
        <v>1.1900000000000001E-4</v>
      </c>
      <c r="CO4" s="5">
        <v>2.5600000000000002E-3</v>
      </c>
      <c r="CP4" s="5">
        <v>4.8221808752859501E-5</v>
      </c>
      <c r="CQ4">
        <v>1.47E-4</v>
      </c>
      <c r="CR4" s="5">
        <v>7.28E-3</v>
      </c>
      <c r="CS4">
        <v>1.02E-4</v>
      </c>
      <c r="CT4" s="5">
        <v>9.7200000000000004E-5</v>
      </c>
      <c r="CU4">
        <v>7.6400000000000003E-4</v>
      </c>
      <c r="CV4">
        <v>1.8799999999999999E-3</v>
      </c>
      <c r="CW4">
        <v>5.7099999999999998E-2</v>
      </c>
      <c r="CX4" s="5">
        <v>2.1999999999999999E-2</v>
      </c>
      <c r="CY4">
        <v>1.2999999999999999E-2</v>
      </c>
      <c r="CZ4" s="5">
        <v>4.5199999999999997E-3</v>
      </c>
      <c r="DA4">
        <v>0.16300000000000001</v>
      </c>
      <c r="DB4">
        <v>7.8100000000000001E-4</v>
      </c>
      <c r="DC4" s="5">
        <v>2.7999999999999999E-6</v>
      </c>
      <c r="DD4" s="5">
        <v>4.3900000000000003E-5</v>
      </c>
      <c r="DE4" s="5">
        <v>2.36E-8</v>
      </c>
      <c r="DF4" s="5">
        <v>4.9500000000000004E-3</v>
      </c>
      <c r="DG4">
        <v>1.03E-4</v>
      </c>
      <c r="DH4">
        <v>4.4700000000000002E-4</v>
      </c>
      <c r="DI4">
        <v>0.71299999999999997</v>
      </c>
      <c r="DJ4" s="5">
        <v>4.5500000000000002E-3</v>
      </c>
      <c r="DK4" s="5">
        <v>9.6100000000000005E-3</v>
      </c>
      <c r="DL4" s="5">
        <v>6.7699999999999998E-4</v>
      </c>
      <c r="DM4" s="5">
        <v>6.8099999999999996E-4</v>
      </c>
      <c r="DN4">
        <v>5.1099999999999995E-4</v>
      </c>
      <c r="DO4" s="5">
        <v>2.3200000000000001E-5</v>
      </c>
      <c r="DP4">
        <v>8.2100000000000003E-3</v>
      </c>
      <c r="DQ4">
        <v>3.3799999999999998E-4</v>
      </c>
      <c r="DR4">
        <v>2.4599999999999999E-3</v>
      </c>
      <c r="DS4" s="5">
        <v>0.314</v>
      </c>
      <c r="DT4" s="5">
        <v>3.2100000000000001E-5</v>
      </c>
      <c r="DU4" s="5">
        <v>1.36E-4</v>
      </c>
      <c r="DV4" s="5">
        <v>8.6800000000000002E-3</v>
      </c>
      <c r="DW4">
        <v>1.7699999999999999E-4</v>
      </c>
      <c r="DX4" s="5">
        <v>5.1099999999999995E-4</v>
      </c>
      <c r="DY4">
        <v>4.0099999999999997E-3</v>
      </c>
      <c r="DZ4">
        <v>1.23E-2</v>
      </c>
      <c r="EA4" s="5">
        <v>1.7399999999999999E-5</v>
      </c>
      <c r="EB4" s="5">
        <v>0.78</v>
      </c>
      <c r="EC4" s="5">
        <v>0.318</v>
      </c>
      <c r="ED4" s="5">
        <v>2.1299999999999999E-2</v>
      </c>
      <c r="EE4" s="5">
        <v>1.46E-2</v>
      </c>
      <c r="EF4">
        <v>1.33E-3</v>
      </c>
      <c r="EG4" s="5">
        <v>2.47E-3</v>
      </c>
      <c r="EH4">
        <v>1.06E-2</v>
      </c>
      <c r="EI4" s="5">
        <v>0.63200000000000001</v>
      </c>
      <c r="EJ4">
        <v>7.7300000000000003E-4</v>
      </c>
      <c r="EK4">
        <v>2.5600000000000001E-2</v>
      </c>
      <c r="EL4">
        <v>1.1E-4</v>
      </c>
      <c r="EM4" s="5">
        <v>1.12E-2</v>
      </c>
      <c r="EN4" s="5">
        <v>0.188</v>
      </c>
      <c r="EO4" s="5">
        <v>1.6899999999999999E-4</v>
      </c>
      <c r="EP4" s="5">
        <v>7.6999999999999996E-4</v>
      </c>
      <c r="EQ4" s="5">
        <v>4.5399999999999998E-4</v>
      </c>
      <c r="ER4">
        <v>3.9699999999999996E-3</v>
      </c>
      <c r="ES4" s="5">
        <v>1.5399999999999999E-3</v>
      </c>
      <c r="ET4">
        <v>0.75600000000000001</v>
      </c>
      <c r="EU4" s="5">
        <v>1.46E-2</v>
      </c>
      <c r="EV4" s="5">
        <v>8.8800000000000007E-3</v>
      </c>
      <c r="EW4" s="5">
        <v>3.4200000000000002E-4</v>
      </c>
      <c r="EX4" s="5">
        <v>2.8500000000000001E-3</v>
      </c>
      <c r="EY4" s="5">
        <v>4.4400000000000004E-3</v>
      </c>
      <c r="EZ4" s="5">
        <v>7.8399999999999995E-5</v>
      </c>
      <c r="FA4" s="5">
        <v>1.16E-3</v>
      </c>
      <c r="FB4">
        <v>1.2999999999999999E-3</v>
      </c>
      <c r="FC4">
        <v>0.26664123113112598</v>
      </c>
      <c r="FD4" s="5">
        <v>7.6474854716083895E-2</v>
      </c>
      <c r="FE4" s="5">
        <v>1.4689978011242499E-3</v>
      </c>
      <c r="FF4" s="5">
        <v>9.1310102245056098E-4</v>
      </c>
      <c r="FG4" s="5">
        <v>1.1321427819453799E-4</v>
      </c>
      <c r="FH4" s="5">
        <v>3.9899999999999999E-4</v>
      </c>
      <c r="FI4" s="5">
        <v>3.6999999999999999E-4</v>
      </c>
      <c r="FJ4" s="5">
        <v>6.0400000000000004E-4</v>
      </c>
      <c r="FK4" s="5">
        <v>4.6699999999999997E-5</v>
      </c>
      <c r="FL4" s="5">
        <v>1.34E-5</v>
      </c>
      <c r="FM4">
        <v>9.9200000000000004E-4</v>
      </c>
      <c r="FN4">
        <v>1.9699999999999999E-2</v>
      </c>
      <c r="FO4" s="5">
        <v>1.2899999999999999E-3</v>
      </c>
      <c r="FP4" s="5">
        <v>2.6800000000000001E-5</v>
      </c>
      <c r="FQ4" s="5">
        <v>5.9200000000000002E-5</v>
      </c>
      <c r="FR4" s="5">
        <v>1.5499999999999999E-3</v>
      </c>
      <c r="FS4" s="5">
        <v>0.105</v>
      </c>
      <c r="FT4" s="5">
        <v>2.0699999999999999E-4</v>
      </c>
      <c r="FU4" s="5">
        <v>5.1299999999999998E-2</v>
      </c>
      <c r="FV4" s="5">
        <v>2.12E-4</v>
      </c>
      <c r="FW4" s="5">
        <v>2.36E-8</v>
      </c>
      <c r="FX4" s="5">
        <v>3.2899999999999997E-4</v>
      </c>
      <c r="FY4" s="5">
        <v>9.0199999999999997E-5</v>
      </c>
      <c r="FZ4" s="5">
        <v>4.8799999999999998E-3</v>
      </c>
      <c r="GA4" s="5">
        <v>4.5500000000000001E-5</v>
      </c>
      <c r="GB4" s="5">
        <v>8.9099999999999997E-4</v>
      </c>
      <c r="GC4" s="5">
        <v>3.5799999999999997E-4</v>
      </c>
      <c r="GD4" s="5">
        <v>1.6799999999999998E-5</v>
      </c>
      <c r="GE4" s="5">
        <v>1.52E-2</v>
      </c>
      <c r="GF4" s="5">
        <v>7.8899999999999994E-3</v>
      </c>
      <c r="GG4" s="5">
        <v>1.6200000000000001E-4</v>
      </c>
      <c r="GH4" s="5">
        <v>1.3699999999999999E-3</v>
      </c>
      <c r="GI4" s="5">
        <v>3.5799999999999997E-4</v>
      </c>
      <c r="GJ4" s="5">
        <v>1.6799999999999998E-5</v>
      </c>
      <c r="GK4" s="5">
        <v>1.72E-2</v>
      </c>
      <c r="GL4" s="5">
        <v>7.7299999999999995E-5</v>
      </c>
      <c r="GM4" s="5">
        <v>4.1700000000000001E-2</v>
      </c>
      <c r="GN4" s="5">
        <v>1.38E-2</v>
      </c>
      <c r="GO4" s="5">
        <v>4.4999999999999999E-4</v>
      </c>
      <c r="GP4" s="5">
        <v>2.2499999999999998E-3</v>
      </c>
      <c r="GQ4" s="5">
        <v>8.83E-4</v>
      </c>
      <c r="GR4" s="5">
        <v>6.2702216133944099E-5</v>
      </c>
      <c r="GS4" s="5">
        <v>0.302002226788469</v>
      </c>
      <c r="GT4" s="5">
        <v>0.110081267438441</v>
      </c>
      <c r="GU4" s="5">
        <v>7.3955774752353901E-4</v>
      </c>
      <c r="GV4" s="5">
        <v>3.21478725019063E-4</v>
      </c>
      <c r="GW4" s="5">
        <v>2.6499999999999999E-4</v>
      </c>
      <c r="GX4" s="5">
        <v>1.42E-3</v>
      </c>
      <c r="GY4" s="5">
        <v>6.8099999999999996E-4</v>
      </c>
      <c r="GZ4" s="5">
        <v>8.7600000000000002E-5</v>
      </c>
      <c r="HA4" s="5">
        <v>1.34E-5</v>
      </c>
      <c r="HB4">
        <v>1.8600000000000001E-3</v>
      </c>
      <c r="HC4" s="5">
        <v>8.6300000000000002E-2</v>
      </c>
      <c r="HD4" s="5">
        <v>5.22E-4</v>
      </c>
      <c r="HE4" s="5">
        <v>4.4100000000000001E-6</v>
      </c>
      <c r="HF4" s="5">
        <v>7.2999999999999999E-5</v>
      </c>
      <c r="HG4" s="5">
        <v>3.5199999999999999E-4</v>
      </c>
      <c r="HH4" s="5">
        <v>0.1</v>
      </c>
      <c r="HI4" s="5">
        <v>2.2700000000000001E-2</v>
      </c>
      <c r="HJ4" s="5">
        <v>4.4999999999999999E-4</v>
      </c>
      <c r="HK4" s="5">
        <v>3.9899999999999999E-4</v>
      </c>
      <c r="HL4" s="5">
        <v>4.3800000000000001E-5</v>
      </c>
      <c r="HM4" s="5">
        <v>6.6600000000000003E-4</v>
      </c>
      <c r="HN4" s="5">
        <v>4.4299999999999999E-3</v>
      </c>
      <c r="HO4" s="5">
        <v>2.3499999999999999E-5</v>
      </c>
      <c r="HP4" s="5">
        <v>5.0900000000000001E-4</v>
      </c>
      <c r="HQ4" s="5">
        <v>2.83E-5</v>
      </c>
      <c r="HR4" s="5">
        <v>5.2399999999999999E-3</v>
      </c>
      <c r="HS4" s="5">
        <v>4.5800000000000002E-5</v>
      </c>
      <c r="HT4" s="5">
        <v>5.0900000000000001E-4</v>
      </c>
      <c r="HU4" s="5">
        <v>3.0899999999999999E-5</v>
      </c>
      <c r="HV4" s="5">
        <v>4.4799999999999999E-4</v>
      </c>
      <c r="HW4" s="5">
        <v>5.0900000000000001E-4</v>
      </c>
      <c r="HX4" s="5">
        <v>1.6799999999999998E-5</v>
      </c>
      <c r="HY4">
        <v>8.0699999999999994E-2</v>
      </c>
      <c r="HZ4">
        <v>0.11700000000000001</v>
      </c>
      <c r="IA4">
        <v>28.1</v>
      </c>
      <c r="IB4">
        <v>235</v>
      </c>
      <c r="IC4">
        <v>6.5199999999999994E-2</v>
      </c>
      <c r="ID4">
        <f>IA4*7</f>
        <v>196.70000000000002</v>
      </c>
      <c r="IE4">
        <f t="shared" ref="IE4:IF4" si="0">IB4*7</f>
        <v>1645</v>
      </c>
      <c r="IF4">
        <f t="shared" si="0"/>
        <v>0.45639999999999997</v>
      </c>
      <c r="IG4">
        <v>1.24E-3</v>
      </c>
      <c r="IH4">
        <v>7.4900000000000001E-3</v>
      </c>
      <c r="II4">
        <v>1.6199999999999999E-2</v>
      </c>
      <c r="IJ4">
        <v>4.5900000000000003E-3</v>
      </c>
      <c r="IK4">
        <v>8.5400000000000005E-4</v>
      </c>
      <c r="IL4">
        <v>-0.25800000000000001</v>
      </c>
      <c r="IM4">
        <v>-2.62</v>
      </c>
      <c r="IN4">
        <v>-2.29</v>
      </c>
      <c r="IO4">
        <v>-5.0200000000000002E-2</v>
      </c>
      <c r="IP4">
        <v>8.3500000000000002E-4</v>
      </c>
      <c r="IQ4">
        <v>-1.0884865773967601E-2</v>
      </c>
      <c r="IR4">
        <v>1.8634276972147499E-4</v>
      </c>
      <c r="IS4">
        <v>1.1235353596536499E-3</v>
      </c>
      <c r="IT4">
        <v>1.1641631395249E-2</v>
      </c>
      <c r="IU4">
        <v>1.1828875259793101E-3</v>
      </c>
      <c r="IV4">
        <v>7.6455768667059497E-4</v>
      </c>
      <c r="IW4">
        <v>8.2000000000000007E-3</v>
      </c>
      <c r="IX4">
        <v>4.9399999999999999E-2</v>
      </c>
      <c r="IY4">
        <v>7.0800000000000004E-3</v>
      </c>
      <c r="IZ4">
        <v>1.2199999999999999E-3</v>
      </c>
    </row>
    <row r="5" spans="1:260" x14ac:dyDescent="0.3">
      <c r="A5" t="s">
        <v>120</v>
      </c>
      <c r="B5">
        <v>19.100000000000001</v>
      </c>
      <c r="C5">
        <v>0.26300000000000001</v>
      </c>
      <c r="D5">
        <v>5.2900000000000003E-2</v>
      </c>
      <c r="E5">
        <v>2.16</v>
      </c>
      <c r="F5">
        <v>1.69</v>
      </c>
      <c r="G5">
        <v>0.24399999999999999</v>
      </c>
      <c r="H5">
        <v>5.37</v>
      </c>
      <c r="I5">
        <v>291</v>
      </c>
      <c r="J5">
        <v>0.92800000000000005</v>
      </c>
      <c r="K5">
        <v>5.4199999999999998E-2</v>
      </c>
      <c r="L5">
        <v>174</v>
      </c>
      <c r="M5">
        <v>1.39</v>
      </c>
      <c r="N5">
        <v>21.6</v>
      </c>
      <c r="O5">
        <v>215</v>
      </c>
      <c r="P5">
        <v>0.92800000000000005</v>
      </c>
      <c r="Q5" s="5">
        <v>5.5800000000000002E-2</v>
      </c>
      <c r="R5">
        <v>0.73799999999999999</v>
      </c>
      <c r="S5">
        <v>3.98</v>
      </c>
      <c r="T5" s="5">
        <v>0.26500000000000001</v>
      </c>
      <c r="U5">
        <v>0.92800000000000005</v>
      </c>
      <c r="V5">
        <v>21.8</v>
      </c>
      <c r="W5">
        <v>13.9</v>
      </c>
      <c r="X5">
        <v>0.92800000000000005</v>
      </c>
      <c r="Y5">
        <v>43.7</v>
      </c>
      <c r="Z5" s="5">
        <v>3.32E-2</v>
      </c>
      <c r="AA5">
        <v>0.92800000000000005</v>
      </c>
      <c r="AB5">
        <v>5.48</v>
      </c>
      <c r="AC5" s="5">
        <v>3.95</v>
      </c>
      <c r="AD5">
        <v>3.81</v>
      </c>
      <c r="AE5">
        <v>9.1199999999999992</v>
      </c>
      <c r="AF5" s="5">
        <v>3.7100000000000002E-4</v>
      </c>
      <c r="AG5">
        <v>0.92800000000000005</v>
      </c>
      <c r="AH5">
        <v>582</v>
      </c>
      <c r="AI5">
        <v>5.4199999999999998E-2</v>
      </c>
      <c r="AJ5">
        <v>10.5</v>
      </c>
      <c r="AK5">
        <v>0.56000000000000005</v>
      </c>
      <c r="AL5">
        <v>13.7</v>
      </c>
      <c r="AM5">
        <v>1.03</v>
      </c>
      <c r="AN5">
        <v>1.4400000000000001E-3</v>
      </c>
      <c r="AO5">
        <v>8.0054961767013405E-2</v>
      </c>
      <c r="AP5">
        <v>28.7</v>
      </c>
      <c r="AQ5">
        <v>1.63</v>
      </c>
      <c r="AR5">
        <v>3.19</v>
      </c>
      <c r="AS5">
        <v>2.11</v>
      </c>
      <c r="AT5">
        <v>1.07</v>
      </c>
      <c r="AU5">
        <v>7.3200000000000001E-2</v>
      </c>
      <c r="AV5">
        <v>7.9000000000000001E-2</v>
      </c>
      <c r="AW5">
        <v>1.7899999999999999E-2</v>
      </c>
      <c r="AX5">
        <v>0.33800000000000002</v>
      </c>
      <c r="AY5">
        <v>0.24299999999999999</v>
      </c>
      <c r="AZ5">
        <v>7.1199999999999999E-2</v>
      </c>
      <c r="BA5">
        <v>1.14E-2</v>
      </c>
      <c r="BB5">
        <v>0.59099999999999997</v>
      </c>
      <c r="BC5">
        <v>0.11700000000000001</v>
      </c>
      <c r="BD5">
        <v>0.218</v>
      </c>
      <c r="BE5">
        <v>0.16400000000000001</v>
      </c>
      <c r="BF5">
        <v>8.7499999999999994E-2</v>
      </c>
      <c r="BG5">
        <v>4.0400000000000002E-3</v>
      </c>
      <c r="BH5">
        <v>3.69</v>
      </c>
      <c r="BI5">
        <v>8.77E-2</v>
      </c>
      <c r="BJ5">
        <v>0.56000000000000005</v>
      </c>
      <c r="BK5">
        <v>7.14</v>
      </c>
      <c r="BL5">
        <v>0.41599999999999998</v>
      </c>
      <c r="BM5">
        <v>0.222</v>
      </c>
      <c r="BN5">
        <v>0.44400000000000001</v>
      </c>
      <c r="BO5">
        <v>0.11700000000000001</v>
      </c>
      <c r="BP5">
        <v>4.2300000000000004</v>
      </c>
      <c r="BQ5">
        <v>7.4800000000000005E-2</v>
      </c>
      <c r="BR5">
        <v>4.5600000000000002E-2</v>
      </c>
      <c r="BS5">
        <v>1.9599999999999999E-2</v>
      </c>
      <c r="BT5">
        <v>3.2</v>
      </c>
      <c r="BU5">
        <v>0.50800000000000001</v>
      </c>
      <c r="BV5">
        <v>9.24</v>
      </c>
      <c r="BW5">
        <v>0.315</v>
      </c>
      <c r="BX5">
        <v>0.16300000000000001</v>
      </c>
      <c r="BY5">
        <v>3.13</v>
      </c>
      <c r="BZ5">
        <v>0.56000000000000005</v>
      </c>
      <c r="CA5">
        <v>17.2</v>
      </c>
      <c r="CB5">
        <v>0.375</v>
      </c>
      <c r="CC5">
        <v>3.2599999999999997E-2</v>
      </c>
      <c r="CD5">
        <v>5.21E-2</v>
      </c>
      <c r="CE5">
        <v>4</v>
      </c>
      <c r="CF5">
        <v>0.56000000000000005</v>
      </c>
      <c r="CG5">
        <v>16.7</v>
      </c>
      <c r="CH5">
        <v>0.41199999999999998</v>
      </c>
      <c r="CI5">
        <v>3.9100000000000003E-2</v>
      </c>
      <c r="CJ5">
        <v>0.14299999999999999</v>
      </c>
      <c r="CK5">
        <v>6.5199999999999994E-2</v>
      </c>
      <c r="CL5" s="5">
        <v>1.4</v>
      </c>
      <c r="CM5" s="5">
        <v>2.1800000000000002</v>
      </c>
      <c r="CN5">
        <v>4.5100000000000001E-2</v>
      </c>
      <c r="CO5" s="5">
        <v>0.35699999999999998</v>
      </c>
      <c r="CP5">
        <v>2.1820198435534701E-2</v>
      </c>
      <c r="CQ5">
        <v>5.8700000000000002E-2</v>
      </c>
      <c r="CR5">
        <v>2.75</v>
      </c>
      <c r="CS5">
        <v>4.2599999999999999E-2</v>
      </c>
      <c r="CT5">
        <v>1.5900000000000001E-2</v>
      </c>
      <c r="CU5">
        <v>0.128</v>
      </c>
      <c r="CV5">
        <v>0.98399999999999999</v>
      </c>
      <c r="CW5">
        <v>21.9</v>
      </c>
      <c r="CX5">
        <v>6.01</v>
      </c>
      <c r="CY5">
        <v>4.8099999999999996</v>
      </c>
      <c r="CZ5">
        <v>0.75600000000000001</v>
      </c>
      <c r="DA5">
        <v>36.799999999999997</v>
      </c>
      <c r="DB5" s="5">
        <v>0.29499999999999998</v>
      </c>
      <c r="DC5" s="5">
        <v>1.2700000000000001E-3</v>
      </c>
      <c r="DD5">
        <v>1.83E-2</v>
      </c>
      <c r="DE5" s="5">
        <v>3.8600000000000003E-6</v>
      </c>
      <c r="DF5">
        <v>0.82799999999999996</v>
      </c>
      <c r="DG5">
        <v>5.21E-2</v>
      </c>
      <c r="DH5">
        <v>0.16900000000000001</v>
      </c>
      <c r="DI5" s="5">
        <v>159</v>
      </c>
      <c r="DJ5" s="5">
        <v>1.72</v>
      </c>
      <c r="DK5">
        <v>2.2000000000000002</v>
      </c>
      <c r="DL5" s="5">
        <v>0.104</v>
      </c>
      <c r="DM5">
        <v>0.28399999999999997</v>
      </c>
      <c r="DN5">
        <v>8.3699999999999997E-2</v>
      </c>
      <c r="DO5">
        <v>1.43E-2</v>
      </c>
      <c r="DP5">
        <v>1.37</v>
      </c>
      <c r="DQ5">
        <v>0.128</v>
      </c>
      <c r="DR5" s="5">
        <v>0.92900000000000005</v>
      </c>
      <c r="DS5" s="5">
        <v>64</v>
      </c>
      <c r="DT5">
        <v>1.4500000000000001E-2</v>
      </c>
      <c r="DU5" s="5">
        <v>2.0799999999999999E-2</v>
      </c>
      <c r="DV5">
        <v>3.28</v>
      </c>
      <c r="DW5">
        <v>7.3899999999999993E-2</v>
      </c>
      <c r="DX5">
        <v>8.3699999999999997E-2</v>
      </c>
      <c r="DY5">
        <v>0.67100000000000004</v>
      </c>
      <c r="DZ5">
        <v>4.41</v>
      </c>
      <c r="EA5" s="5">
        <v>6.2199999999999998E-3</v>
      </c>
      <c r="EB5" s="5">
        <v>161</v>
      </c>
      <c r="EC5">
        <v>65.400000000000006</v>
      </c>
      <c r="ED5" s="5">
        <v>4.68</v>
      </c>
      <c r="EE5">
        <v>5.25</v>
      </c>
      <c r="EF5">
        <v>0.19900000000000001</v>
      </c>
      <c r="EG5">
        <v>0.65300000000000002</v>
      </c>
      <c r="EH5">
        <v>1.85</v>
      </c>
      <c r="EI5">
        <v>158</v>
      </c>
      <c r="EJ5">
        <v>0.39100000000000001</v>
      </c>
      <c r="EK5">
        <v>3.84</v>
      </c>
      <c r="EL5">
        <v>5.7500000000000002E-2</v>
      </c>
      <c r="EM5" s="5">
        <v>4.25</v>
      </c>
      <c r="EN5" s="5">
        <v>40.700000000000003</v>
      </c>
      <c r="EO5">
        <v>5.0200000000000002E-2</v>
      </c>
      <c r="EP5" s="5">
        <v>0.11799999999999999</v>
      </c>
      <c r="EQ5">
        <v>0.189</v>
      </c>
      <c r="ER5">
        <v>1.1200000000000001</v>
      </c>
      <c r="ES5">
        <v>0.25800000000000001</v>
      </c>
      <c r="ET5">
        <v>162</v>
      </c>
      <c r="EU5" s="5">
        <v>3.49</v>
      </c>
      <c r="EV5" s="5">
        <v>3.36</v>
      </c>
      <c r="EW5" s="5">
        <v>5.2299999999999999E-2</v>
      </c>
      <c r="EX5" s="5">
        <v>1.08</v>
      </c>
      <c r="EY5" s="5">
        <v>1.85</v>
      </c>
      <c r="EZ5">
        <v>2.1000000000000001E-2</v>
      </c>
      <c r="FA5">
        <v>4.6800000000000001E-2</v>
      </c>
      <c r="FB5">
        <v>0.217</v>
      </c>
      <c r="FC5">
        <v>60.130936175314098</v>
      </c>
      <c r="FD5" s="5">
        <v>16.028694520338</v>
      </c>
      <c r="FE5" s="5">
        <v>0.297864170446764</v>
      </c>
      <c r="FF5" s="5">
        <v>0.34542233503174302</v>
      </c>
      <c r="FG5" s="5">
        <v>5.123409386958E-2</v>
      </c>
      <c r="FH5" s="5">
        <v>6.1100000000000002E-2</v>
      </c>
      <c r="FI5">
        <v>0.14000000000000001</v>
      </c>
      <c r="FJ5">
        <v>0.252</v>
      </c>
      <c r="FK5">
        <v>7.6499999999999997E-3</v>
      </c>
      <c r="FL5">
        <v>4.7000000000000002E-3</v>
      </c>
      <c r="FM5">
        <v>0.16600000000000001</v>
      </c>
      <c r="FN5">
        <v>3.99</v>
      </c>
      <c r="FO5" s="5">
        <v>0.26200000000000001</v>
      </c>
      <c r="FP5" s="5">
        <v>3.7699999999999999E-3</v>
      </c>
      <c r="FQ5" s="5">
        <v>2.47E-2</v>
      </c>
      <c r="FR5" s="5">
        <v>0.25900000000000001</v>
      </c>
      <c r="FS5" s="5">
        <v>4.2300000000000004</v>
      </c>
      <c r="FT5">
        <v>3.4599999999999999E-2</v>
      </c>
      <c r="FU5" s="5">
        <v>13.3</v>
      </c>
      <c r="FV5" s="5">
        <v>8.0299999999999996E-2</v>
      </c>
      <c r="FW5" s="5">
        <v>3.8600000000000003E-6</v>
      </c>
      <c r="FX5" s="5">
        <v>5.5E-2</v>
      </c>
      <c r="FY5" s="5">
        <v>4.5600000000000002E-2</v>
      </c>
      <c r="FZ5" s="5">
        <v>1.07</v>
      </c>
      <c r="GA5" s="5">
        <v>9.1000000000000004E-3</v>
      </c>
      <c r="GB5" s="5">
        <v>0.124</v>
      </c>
      <c r="GC5" s="5">
        <v>0.14299999999999999</v>
      </c>
      <c r="GD5" s="5">
        <v>2.63E-3</v>
      </c>
      <c r="GE5" s="5">
        <v>3.77</v>
      </c>
      <c r="GF5" s="5">
        <v>1.74</v>
      </c>
      <c r="GG5" s="5">
        <v>5.7099999999999998E-2</v>
      </c>
      <c r="GH5" s="5">
        <v>0.191</v>
      </c>
      <c r="GI5" s="5">
        <v>0.14299999999999999</v>
      </c>
      <c r="GJ5" s="5">
        <v>2.63E-3</v>
      </c>
      <c r="GK5" s="5">
        <v>4.28</v>
      </c>
      <c r="GL5">
        <v>3.9100000000000003E-2</v>
      </c>
      <c r="GM5" s="5">
        <v>9.41</v>
      </c>
      <c r="GN5" s="5">
        <v>3.75</v>
      </c>
      <c r="GO5" s="5">
        <v>0.17</v>
      </c>
      <c r="GP5" s="5">
        <v>0.61899999999999999</v>
      </c>
      <c r="GQ5" s="5">
        <v>0.14799999999999999</v>
      </c>
      <c r="GR5" s="5">
        <v>2.3719988671707701E-2</v>
      </c>
      <c r="GS5" s="5">
        <v>73.118711316741695</v>
      </c>
      <c r="GT5" s="5">
        <v>24.895417135451702</v>
      </c>
      <c r="GU5" s="5">
        <v>0.27977163288548301</v>
      </c>
      <c r="GV5" s="5">
        <v>0.14546798957023099</v>
      </c>
      <c r="GW5" s="5">
        <v>4.0500000000000001E-2</v>
      </c>
      <c r="GX5">
        <v>0.53600000000000003</v>
      </c>
      <c r="GY5">
        <v>0.28399999999999997</v>
      </c>
      <c r="GZ5">
        <v>1.43E-2</v>
      </c>
      <c r="HA5">
        <v>4.7000000000000002E-3</v>
      </c>
      <c r="HB5">
        <v>0.312</v>
      </c>
      <c r="HC5" s="5">
        <v>19.5</v>
      </c>
      <c r="HD5" s="5">
        <v>0.19800000000000001</v>
      </c>
      <c r="HE5" s="5">
        <v>1.99E-3</v>
      </c>
      <c r="HF5" s="5">
        <v>1.1900000000000001E-2</v>
      </c>
      <c r="HG5" s="5">
        <v>5.8900000000000001E-2</v>
      </c>
      <c r="HH5" s="5">
        <v>23.5</v>
      </c>
      <c r="HI5" s="5">
        <v>5.21</v>
      </c>
      <c r="HJ5" s="5">
        <v>0.17</v>
      </c>
      <c r="HK5" s="5">
        <v>6.1100000000000002E-2</v>
      </c>
      <c r="HL5" s="5">
        <v>7.1700000000000002E-3</v>
      </c>
      <c r="HM5" s="5">
        <v>0.111</v>
      </c>
      <c r="HN5" s="5">
        <v>1</v>
      </c>
      <c r="HO5" s="5">
        <v>8.8900000000000003E-3</v>
      </c>
      <c r="HP5" s="5">
        <v>8.7499999999999994E-2</v>
      </c>
      <c r="HQ5" s="5">
        <v>4.7299999999999998E-3</v>
      </c>
      <c r="HR5" s="5">
        <v>1.18</v>
      </c>
      <c r="HS5" s="5">
        <v>1.7000000000000001E-2</v>
      </c>
      <c r="HT5" s="5">
        <v>8.7499999999999994E-2</v>
      </c>
      <c r="HU5" s="5">
        <v>5.1700000000000001E-3</v>
      </c>
      <c r="HV5" s="5">
        <v>0.10100000000000001</v>
      </c>
      <c r="HW5" s="5">
        <v>8.7499999999999994E-2</v>
      </c>
      <c r="HX5" s="5">
        <v>2.81E-3</v>
      </c>
      <c r="HY5">
        <v>19.399999999999999</v>
      </c>
      <c r="HZ5">
        <v>19.600000000000001</v>
      </c>
      <c r="IA5" s="5">
        <v>8260</v>
      </c>
      <c r="IB5" s="5">
        <v>57600</v>
      </c>
      <c r="IC5">
        <v>11.6</v>
      </c>
      <c r="ID5">
        <f t="shared" ref="ID5:ID31" si="1">IA5*7</f>
        <v>57820</v>
      </c>
      <c r="IE5">
        <v>403200</v>
      </c>
      <c r="IF5">
        <f t="shared" ref="IF5:IF31" si="2">IC5*7</f>
        <v>81.2</v>
      </c>
      <c r="IG5">
        <v>0.17599999999999999</v>
      </c>
      <c r="IH5">
        <v>1.06</v>
      </c>
      <c r="II5">
        <v>3.08</v>
      </c>
      <c r="IJ5">
        <v>1.53</v>
      </c>
      <c r="IK5">
        <v>2.97</v>
      </c>
      <c r="IL5">
        <v>-39.799999999999997</v>
      </c>
      <c r="IM5">
        <v>-540</v>
      </c>
      <c r="IN5">
        <v>-473</v>
      </c>
      <c r="IO5">
        <v>-19.8</v>
      </c>
      <c r="IP5">
        <v>-0.40600000000000003</v>
      </c>
      <c r="IQ5">
        <v>9.9101112345248801</v>
      </c>
      <c r="IR5">
        <v>2.6323091996652299E-2</v>
      </c>
      <c r="IS5">
        <v>0.15874451903231199</v>
      </c>
      <c r="IT5">
        <v>2.21860252573265</v>
      </c>
      <c r="IU5">
        <v>0.39595327289919702</v>
      </c>
      <c r="IV5">
        <v>2.6583037895447799</v>
      </c>
      <c r="IW5">
        <v>3.34</v>
      </c>
      <c r="IX5">
        <v>20.100000000000001</v>
      </c>
      <c r="IY5">
        <v>2.92</v>
      </c>
      <c r="IZ5">
        <v>1</v>
      </c>
    </row>
    <row r="6" spans="1:260" x14ac:dyDescent="0.3">
      <c r="A6" t="s">
        <v>121</v>
      </c>
      <c r="B6">
        <v>6.7199999999999996E-2</v>
      </c>
      <c r="C6">
        <v>9.0299999999999998E-3</v>
      </c>
      <c r="D6">
        <v>1.5799999999999999E-4</v>
      </c>
      <c r="E6">
        <v>8.4099999999999995E-4</v>
      </c>
      <c r="F6">
        <v>4.3699999999999998E-3</v>
      </c>
      <c r="G6">
        <v>9.2300000000000004E-3</v>
      </c>
      <c r="H6">
        <v>6.6E-3</v>
      </c>
      <c r="J6">
        <v>0.108</v>
      </c>
      <c r="K6">
        <v>1.6200000000000001E-4</v>
      </c>
      <c r="M6">
        <v>0.16300000000000001</v>
      </c>
      <c r="N6">
        <v>2.6599999999999999E-2</v>
      </c>
      <c r="P6" s="5">
        <v>0.108</v>
      </c>
      <c r="Q6" s="5">
        <v>1.6699999999999999E-4</v>
      </c>
      <c r="R6">
        <v>0.111</v>
      </c>
      <c r="S6" s="5"/>
      <c r="T6" s="5">
        <v>7.9299999999999998E-4</v>
      </c>
      <c r="U6">
        <v>0.108</v>
      </c>
      <c r="W6">
        <v>1.7100000000000001E-2</v>
      </c>
      <c r="X6">
        <v>0.108</v>
      </c>
      <c r="Y6" s="5"/>
      <c r="Z6" s="5">
        <v>9.9199999999999999E-5</v>
      </c>
      <c r="AA6">
        <v>0.108</v>
      </c>
      <c r="AB6" s="5"/>
      <c r="AC6" s="5">
        <v>4.8500000000000001E-3</v>
      </c>
      <c r="AD6">
        <v>1.5499999999999999E-3</v>
      </c>
      <c r="AE6" s="5">
        <v>1.2099999999999999E-3</v>
      </c>
      <c r="AF6" s="5">
        <v>4.3399999999999998E-5</v>
      </c>
      <c r="AG6">
        <v>0.108</v>
      </c>
      <c r="AI6">
        <v>1.6200000000000001E-4</v>
      </c>
      <c r="AJ6">
        <v>8.4599999999999995E-2</v>
      </c>
      <c r="AK6">
        <v>4.4900000000000001E-3</v>
      </c>
      <c r="AL6">
        <v>1.15E-2</v>
      </c>
      <c r="AM6">
        <v>8.7100000000000003E-4</v>
      </c>
      <c r="AO6" s="5">
        <v>3.2577120894638E-5</v>
      </c>
      <c r="AP6">
        <v>3.56E-2</v>
      </c>
      <c r="AQ6">
        <v>2.16E-3</v>
      </c>
      <c r="AR6">
        <v>3.7799999999999999E-3</v>
      </c>
      <c r="AS6">
        <v>8.5700000000000001E-4</v>
      </c>
      <c r="AT6">
        <v>1.4E-3</v>
      </c>
      <c r="AU6" s="5">
        <v>9.4299999999999995E-6</v>
      </c>
      <c r="AV6" s="5">
        <v>6.6699999999999995E-5</v>
      </c>
      <c r="AW6">
        <v>1.55E-2</v>
      </c>
      <c r="AX6">
        <v>1.01E-3</v>
      </c>
      <c r="AY6">
        <v>2.8899999999999998E-4</v>
      </c>
      <c r="AZ6" s="5">
        <v>2.9E-5</v>
      </c>
      <c r="BA6" s="5">
        <v>9.7699999999999992E-7</v>
      </c>
      <c r="BB6">
        <v>6.2299999999999996E-4</v>
      </c>
      <c r="BC6">
        <v>1.84E-2</v>
      </c>
      <c r="BD6">
        <v>6.5099999999999999E-4</v>
      </c>
      <c r="BE6">
        <v>1.07E-3</v>
      </c>
      <c r="BF6">
        <v>1.38E-2</v>
      </c>
      <c r="BG6" s="5">
        <v>1.2099999999999999E-5</v>
      </c>
      <c r="BH6">
        <v>1.1800000000000001E-3</v>
      </c>
      <c r="BI6" s="5">
        <v>5.7200000000000003E-4</v>
      </c>
      <c r="BJ6" s="5">
        <v>8.8400000000000006E-2</v>
      </c>
      <c r="BL6">
        <v>1.24E-3</v>
      </c>
      <c r="BM6">
        <v>4.3300000000000001E-4</v>
      </c>
      <c r="BN6">
        <v>1.4200000000000001E-4</v>
      </c>
      <c r="BO6" s="5">
        <v>1.84E-2</v>
      </c>
      <c r="BP6" s="5"/>
      <c r="BQ6">
        <v>2.24E-4</v>
      </c>
      <c r="BR6" s="5">
        <v>8.9099999999999997E-5</v>
      </c>
      <c r="BS6" s="5">
        <v>3.82E-5</v>
      </c>
      <c r="BT6">
        <v>1.0300000000000001E-3</v>
      </c>
      <c r="BU6" s="5">
        <v>8.0100000000000005E-2</v>
      </c>
      <c r="BV6" s="5"/>
      <c r="BW6">
        <v>9.4200000000000002E-4</v>
      </c>
      <c r="BX6" s="5">
        <v>3.1799999999999998E-4</v>
      </c>
      <c r="BY6">
        <v>1.01E-3</v>
      </c>
      <c r="BZ6" s="5">
        <v>8.8400000000000006E-2</v>
      </c>
      <c r="CA6" s="5"/>
      <c r="CB6">
        <v>1.1199999999999999E-3</v>
      </c>
      <c r="CC6" s="5">
        <v>6.3600000000000001E-5</v>
      </c>
      <c r="CD6" s="5">
        <v>1.02E-4</v>
      </c>
      <c r="CE6">
        <v>1.2800000000000001E-3</v>
      </c>
      <c r="CF6" s="5">
        <v>8.8400000000000006E-2</v>
      </c>
      <c r="CG6" s="5"/>
      <c r="CH6">
        <v>1.23E-3</v>
      </c>
      <c r="CI6" s="5">
        <v>7.6299999999999998E-5</v>
      </c>
      <c r="CJ6" s="5">
        <v>2.7999999999999998E-4</v>
      </c>
      <c r="CK6" s="5">
        <v>2.65E-5</v>
      </c>
      <c r="CL6" s="5">
        <v>1.73E-3</v>
      </c>
      <c r="CM6" s="5">
        <v>2.5799999999999998E-3</v>
      </c>
      <c r="CN6" s="5">
        <v>1.8300000000000001E-5</v>
      </c>
      <c r="CO6" s="5"/>
      <c r="CP6" s="5">
        <v>2.9411073567576901E-6</v>
      </c>
      <c r="CQ6" s="5">
        <v>1.88E-5</v>
      </c>
      <c r="CR6" s="5">
        <v>1.7899999999999999E-2</v>
      </c>
      <c r="CS6" s="5">
        <v>5.66E-6</v>
      </c>
      <c r="CT6">
        <v>1.38E-2</v>
      </c>
      <c r="CU6">
        <v>3.8200000000000002E-4</v>
      </c>
      <c r="CV6">
        <v>-2.42E-4</v>
      </c>
      <c r="CW6" s="5">
        <v>3.8600000000000002E-2</v>
      </c>
      <c r="CX6" s="5">
        <v>4.53</v>
      </c>
      <c r="CY6">
        <v>4.7800000000000002E-4</v>
      </c>
      <c r="CZ6" s="5">
        <v>2.2599999999999999E-3</v>
      </c>
      <c r="DA6" s="5">
        <v>4.3799999999999999E-2</v>
      </c>
      <c r="DB6" s="5">
        <v>1.2E-4</v>
      </c>
      <c r="DC6" s="5">
        <v>1.6299999999999999E-7</v>
      </c>
      <c r="DD6" s="5">
        <v>2.43E-6</v>
      </c>
      <c r="DE6" s="5">
        <v>3.3299999999999999E-6</v>
      </c>
      <c r="DF6" s="5">
        <v>2.48E-3</v>
      </c>
      <c r="DG6">
        <v>1.02E-4</v>
      </c>
      <c r="DH6" s="5">
        <v>6.8800000000000005E-5</v>
      </c>
      <c r="DI6" s="5">
        <v>0.19700000000000001</v>
      </c>
      <c r="DJ6" s="5">
        <v>6.9999999999999999E-4</v>
      </c>
      <c r="DK6" s="5">
        <v>2.5600000000000002E-3</v>
      </c>
      <c r="DL6" s="5">
        <v>8.7399999999999997E-5</v>
      </c>
      <c r="DM6" s="5">
        <v>3.7700000000000002E-5</v>
      </c>
      <c r="DN6">
        <v>7.2300000000000003E-2</v>
      </c>
      <c r="DO6" s="5">
        <v>6.5500000000000006E-5</v>
      </c>
      <c r="DP6">
        <v>4.1099999999999999E-3</v>
      </c>
      <c r="DQ6" s="5">
        <v>5.1999999999999997E-5</v>
      </c>
      <c r="DR6" s="5">
        <v>6.0600000000000003E-3</v>
      </c>
      <c r="DS6" s="5">
        <v>8.1699999999999995E-2</v>
      </c>
      <c r="DT6" s="5">
        <v>1.9599999999999999E-6</v>
      </c>
      <c r="DU6" s="5">
        <v>1.7499999999999998E-5</v>
      </c>
      <c r="DV6" s="5">
        <v>2.1399999999999999E-2</v>
      </c>
      <c r="DW6" s="5">
        <v>9.7999999999999993E-6</v>
      </c>
      <c r="DX6" s="5">
        <v>7.2300000000000003E-2</v>
      </c>
      <c r="DY6">
        <v>2.0100000000000001E-3</v>
      </c>
      <c r="DZ6" s="5">
        <v>1.0300000000000001E-3</v>
      </c>
      <c r="EA6" s="5">
        <v>1.4500000000000001E-6</v>
      </c>
      <c r="EB6" s="5">
        <v>0.19400000000000001</v>
      </c>
      <c r="EC6" s="5">
        <v>7.8299999999999995E-2</v>
      </c>
      <c r="ED6" s="5">
        <v>5.4599999999999996E-3</v>
      </c>
      <c r="EE6" s="5">
        <v>1.2199999999999999E-3</v>
      </c>
      <c r="EF6" s="5">
        <v>1.65E-4</v>
      </c>
      <c r="EG6" s="5">
        <v>5.0099999999999998E-5</v>
      </c>
      <c r="EH6" s="5">
        <v>0.27600000000000002</v>
      </c>
      <c r="EI6">
        <v>0.19400000000000001</v>
      </c>
      <c r="EJ6">
        <v>7.6300000000000001E-4</v>
      </c>
      <c r="EK6">
        <v>3.1700000000000001E-3</v>
      </c>
      <c r="EL6" s="5">
        <v>-1.4100000000000001E-5</v>
      </c>
      <c r="EM6" s="5">
        <v>1.73E-3</v>
      </c>
      <c r="EN6" s="5">
        <v>5.1700000000000003E-2</v>
      </c>
      <c r="EO6" s="5">
        <v>3.9300000000000001E-4</v>
      </c>
      <c r="EP6" s="5">
        <v>9.9400000000000004E-5</v>
      </c>
      <c r="EQ6" s="5">
        <v>2.51E-5</v>
      </c>
      <c r="ER6" s="5">
        <v>0.89700000000000002</v>
      </c>
      <c r="ES6" s="5">
        <v>7.7099999999999998E-4</v>
      </c>
      <c r="ET6" s="5">
        <v>0.20799999999999999</v>
      </c>
      <c r="EU6" s="5">
        <v>1.0300000000000001E-3</v>
      </c>
      <c r="EV6" s="5">
        <v>1.3699999999999999E-3</v>
      </c>
      <c r="EW6" s="5">
        <v>4.4199999999999997E-5</v>
      </c>
      <c r="EX6" s="5">
        <v>7.0200000000000002E-3</v>
      </c>
      <c r="EY6" s="5">
        <v>2.4600000000000002E-4</v>
      </c>
      <c r="EZ6" s="5">
        <v>1.24E-2</v>
      </c>
      <c r="FA6" s="5"/>
      <c r="FB6" s="5">
        <v>6.4899999999999995E-4</v>
      </c>
      <c r="FC6" s="5">
        <v>7.5845752428612107E-2</v>
      </c>
      <c r="FD6" s="5">
        <v>2.0657869320953801E-2</v>
      </c>
      <c r="FE6" s="5">
        <v>3.9249015201862301E-4</v>
      </c>
      <c r="FF6" s="5">
        <v>1.4056424386019799E-4</v>
      </c>
      <c r="FG6" s="5">
        <v>6.5986646674126201E-6</v>
      </c>
      <c r="FH6" s="5">
        <v>5.1600000000000001E-5</v>
      </c>
      <c r="FI6" s="5">
        <v>9.1200000000000005E-4</v>
      </c>
      <c r="FJ6" s="5">
        <v>3.3500000000000001E-5</v>
      </c>
      <c r="FK6" s="5">
        <v>6.6100000000000004E-3</v>
      </c>
      <c r="FL6" s="5">
        <v>3.2299999999999999E-5</v>
      </c>
      <c r="FM6">
        <v>4.9600000000000002E-4</v>
      </c>
      <c r="FN6" s="5">
        <v>5.2599999999999999E-3</v>
      </c>
      <c r="FO6" s="5">
        <v>3.4499999999999998E-4</v>
      </c>
      <c r="FP6" s="5">
        <v>3.01E-6</v>
      </c>
      <c r="FQ6" s="5">
        <v>3.4300000000000002E-6</v>
      </c>
      <c r="FR6" s="5">
        <v>4.8300000000000003E-2</v>
      </c>
      <c r="FS6" s="5"/>
      <c r="FT6" s="5">
        <v>1.03E-4</v>
      </c>
      <c r="FU6" s="5">
        <v>2.1600000000000001E-2</v>
      </c>
      <c r="FV6" s="5">
        <v>3.2700000000000002E-5</v>
      </c>
      <c r="FW6" s="5">
        <v>3.3299999999999999E-6</v>
      </c>
      <c r="FX6" s="5">
        <v>1.64E-4</v>
      </c>
      <c r="FY6" s="5">
        <v>8.9099999999999997E-5</v>
      </c>
      <c r="FZ6" s="5">
        <v>1.25E-3</v>
      </c>
      <c r="GA6" s="5">
        <v>1.19E-5</v>
      </c>
      <c r="GB6" s="5"/>
      <c r="GC6" s="5">
        <v>4.5899999999999998E-5</v>
      </c>
      <c r="GD6" s="5">
        <v>2.0300000000000001E-3</v>
      </c>
      <c r="GE6" s="5">
        <v>4.7299999999999998E-3</v>
      </c>
      <c r="GF6" s="5">
        <v>2.0300000000000001E-3</v>
      </c>
      <c r="GG6" s="5">
        <v>1.5800000000000001E-5</v>
      </c>
      <c r="GH6" s="5"/>
      <c r="GI6" s="5">
        <v>4.5899999999999998E-5</v>
      </c>
      <c r="GJ6" s="5">
        <v>2.0300000000000001E-3</v>
      </c>
      <c r="GK6" s="5">
        <v>5.3499999999999997E-3</v>
      </c>
      <c r="GL6" s="5">
        <v>7.6299999999999998E-5</v>
      </c>
      <c r="GM6" s="5">
        <v>1.11E-2</v>
      </c>
      <c r="GN6" s="5">
        <v>4.0499999999999998E-3</v>
      </c>
      <c r="GO6" s="5">
        <v>6.9200000000000002E-5</v>
      </c>
      <c r="GP6" s="5">
        <v>0.45200000000000001</v>
      </c>
      <c r="GQ6" s="5">
        <v>4.4200000000000001E-4</v>
      </c>
      <c r="GR6" s="5">
        <v>9.6524802650779408E-6</v>
      </c>
      <c r="GS6" s="5">
        <v>9.1441570640701506E-2</v>
      </c>
      <c r="GT6" s="5">
        <v>2.9595871257977299E-2</v>
      </c>
      <c r="GU6" s="5">
        <v>1.13848712262531E-4</v>
      </c>
      <c r="GV6" s="5">
        <v>1.9607382378384599E-5</v>
      </c>
      <c r="GW6" s="5">
        <v>3.4199999999999998E-5</v>
      </c>
      <c r="GX6" s="5">
        <v>3.49E-3</v>
      </c>
      <c r="GY6" s="5">
        <v>3.7700000000000002E-5</v>
      </c>
      <c r="GZ6" s="5">
        <v>1.24E-2</v>
      </c>
      <c r="HA6" s="5">
        <v>3.2299999999999999E-5</v>
      </c>
      <c r="HB6">
        <v>9.3199999999999999E-4</v>
      </c>
      <c r="HC6" s="5">
        <v>2.3099999999999999E-2</v>
      </c>
      <c r="HD6" s="5">
        <v>8.0400000000000003E-5</v>
      </c>
      <c r="HE6" s="5">
        <v>2.5699999999999999E-7</v>
      </c>
      <c r="HF6" s="5">
        <v>1.03E-2</v>
      </c>
      <c r="HG6" s="5">
        <v>1.76E-4</v>
      </c>
      <c r="HH6" s="5">
        <v>2.76E-2</v>
      </c>
      <c r="HI6" s="5">
        <v>6.0899999999999999E-3</v>
      </c>
      <c r="HJ6" s="5">
        <v>6.9200000000000002E-5</v>
      </c>
      <c r="HK6" s="5">
        <v>5.1600000000000001E-5</v>
      </c>
      <c r="HL6" s="5">
        <v>6.1999999999999998E-3</v>
      </c>
      <c r="HM6" s="5">
        <v>3.3300000000000002E-4</v>
      </c>
      <c r="HN6" s="5">
        <v>1.1800000000000001E-3</v>
      </c>
      <c r="HO6" s="5">
        <v>3.6200000000000001E-6</v>
      </c>
      <c r="HP6" s="5">
        <v>1.38E-2</v>
      </c>
      <c r="HQ6" s="5">
        <v>1.4100000000000001E-5</v>
      </c>
      <c r="HR6" s="5">
        <v>1.4E-3</v>
      </c>
      <c r="HS6" s="5">
        <v>7.8599999999999993E-6</v>
      </c>
      <c r="HT6" s="5">
        <v>1.38E-2</v>
      </c>
      <c r="HU6" s="5">
        <v>1.5400000000000002E-5</v>
      </c>
      <c r="HV6" s="5">
        <v>1.2E-4</v>
      </c>
      <c r="HW6" s="5">
        <v>1.38E-2</v>
      </c>
      <c r="HX6" s="5">
        <v>8.4100000000000008E-6</v>
      </c>
      <c r="HY6">
        <v>8.15</v>
      </c>
      <c r="HZ6">
        <v>5.8599999999999999E-2</v>
      </c>
      <c r="IA6">
        <v>80.8</v>
      </c>
      <c r="ID6">
        <f t="shared" si="1"/>
        <v>565.6</v>
      </c>
      <c r="IE6">
        <f t="shared" ref="IE6:IE31" si="3">IB6*7</f>
        <v>0</v>
      </c>
      <c r="IF6">
        <f t="shared" si="2"/>
        <v>0</v>
      </c>
      <c r="IG6">
        <v>5.6800000000000004E-4</v>
      </c>
      <c r="IH6">
        <v>3.4299999999999999E-3</v>
      </c>
      <c r="II6">
        <v>1.5100000000000001E-2</v>
      </c>
      <c r="IJ6">
        <v>3.0799999999999998E-3</v>
      </c>
      <c r="IK6">
        <v>2.66</v>
      </c>
      <c r="IL6">
        <v>-3.39E-2</v>
      </c>
      <c r="IM6">
        <v>-0.69399999999999995</v>
      </c>
      <c r="IN6">
        <v>-6.13E-2</v>
      </c>
      <c r="IO6">
        <v>-3.5400000000000001E-2</v>
      </c>
      <c r="IP6">
        <v>-4.9800000000000001E-3</v>
      </c>
      <c r="IQ6">
        <v>-4.1229824283813797E-2</v>
      </c>
      <c r="IR6" s="5">
        <v>8.5173392174951604E-5</v>
      </c>
      <c r="IS6">
        <v>5.1387770865327998E-4</v>
      </c>
      <c r="IT6">
        <v>1.08945954758153E-2</v>
      </c>
      <c r="IU6">
        <v>7.9502814415876395E-4</v>
      </c>
      <c r="IV6">
        <v>2.3774932398663502</v>
      </c>
      <c r="IW6">
        <v>3.3999999999999998E-3</v>
      </c>
      <c r="IX6">
        <v>2.0500000000000001E-2</v>
      </c>
      <c r="IY6">
        <v>3.6600000000000001E-3</v>
      </c>
      <c r="IZ6">
        <v>3.8700000000000002E-3</v>
      </c>
    </row>
    <row r="7" spans="1:260" x14ac:dyDescent="0.3">
      <c r="A7" t="s">
        <v>122</v>
      </c>
      <c r="B7">
        <v>19</v>
      </c>
      <c r="C7">
        <v>0.254</v>
      </c>
      <c r="D7">
        <v>5.2299999999999999E-2</v>
      </c>
      <c r="E7">
        <v>2.16</v>
      </c>
      <c r="F7">
        <v>1.68</v>
      </c>
      <c r="G7">
        <v>0.22900000000000001</v>
      </c>
      <c r="H7">
        <v>5.37</v>
      </c>
      <c r="J7">
        <v>0.217</v>
      </c>
      <c r="K7">
        <v>5.3600000000000002E-2</v>
      </c>
      <c r="M7">
        <v>0.32500000000000001</v>
      </c>
      <c r="N7">
        <v>21.6</v>
      </c>
      <c r="P7" s="5">
        <v>0.217</v>
      </c>
      <c r="Q7" s="5">
        <v>5.5199999999999999E-2</v>
      </c>
      <c r="R7">
        <v>-4.1799999999999997E-2</v>
      </c>
      <c r="S7" s="5">
        <v>3.98</v>
      </c>
      <c r="T7" s="5">
        <v>0.26200000000000001</v>
      </c>
      <c r="U7">
        <v>0.217</v>
      </c>
      <c r="W7">
        <v>13.9</v>
      </c>
      <c r="X7">
        <v>0.217</v>
      </c>
      <c r="Y7" s="5"/>
      <c r="Z7" s="5">
        <v>3.2800000000000003E-2</v>
      </c>
      <c r="AA7">
        <v>0.217</v>
      </c>
      <c r="AB7" s="5"/>
      <c r="AC7" s="5">
        <v>3.94</v>
      </c>
      <c r="AD7">
        <v>3.8</v>
      </c>
      <c r="AE7" s="5">
        <v>9.1199999999999992</v>
      </c>
      <c r="AF7" s="5">
        <v>8.6700000000000007E-5</v>
      </c>
      <c r="AG7">
        <v>0.217</v>
      </c>
      <c r="AI7">
        <v>5.3600000000000002E-2</v>
      </c>
      <c r="AJ7">
        <v>10.4</v>
      </c>
      <c r="AK7">
        <v>0.55400000000000005</v>
      </c>
      <c r="AL7">
        <v>13.7</v>
      </c>
      <c r="AM7">
        <v>1.03</v>
      </c>
      <c r="AO7">
        <v>7.99995911140262E-2</v>
      </c>
      <c r="AP7">
        <v>27.4</v>
      </c>
      <c r="AQ7">
        <v>1.63</v>
      </c>
      <c r="AR7">
        <v>3.19</v>
      </c>
      <c r="AS7">
        <v>2.1</v>
      </c>
      <c r="AT7">
        <v>1.06</v>
      </c>
      <c r="AU7">
        <v>7.3200000000000001E-2</v>
      </c>
      <c r="AV7">
        <v>7.8700000000000006E-2</v>
      </c>
      <c r="AW7">
        <v>-4.5800000000000002E-4</v>
      </c>
      <c r="AX7">
        <v>0.33400000000000002</v>
      </c>
      <c r="AY7">
        <v>0.24299999999999999</v>
      </c>
      <c r="AZ7">
        <v>7.1099999999999997E-2</v>
      </c>
      <c r="BA7">
        <v>1.14E-2</v>
      </c>
      <c r="BB7">
        <v>0.55200000000000005</v>
      </c>
      <c r="BC7">
        <v>-6.9699999999999996E-3</v>
      </c>
      <c r="BD7">
        <v>0.215</v>
      </c>
      <c r="BE7">
        <v>0.14499999999999999</v>
      </c>
      <c r="BF7">
        <v>-5.2300000000000003E-3</v>
      </c>
      <c r="BG7">
        <v>4.0000000000000001E-3</v>
      </c>
      <c r="BH7">
        <v>3.69</v>
      </c>
      <c r="BI7">
        <v>7.7899999999999997E-2</v>
      </c>
      <c r="BJ7">
        <v>-3.3500000000000002E-2</v>
      </c>
      <c r="BL7">
        <v>0.41099999999999998</v>
      </c>
      <c r="BM7">
        <v>0.221</v>
      </c>
      <c r="BN7">
        <v>0.44400000000000001</v>
      </c>
      <c r="BO7">
        <v>-6.9699999999999996E-3</v>
      </c>
      <c r="BQ7">
        <v>7.3999999999999996E-2</v>
      </c>
      <c r="BR7">
        <v>4.5499999999999999E-2</v>
      </c>
      <c r="BS7">
        <v>1.95E-2</v>
      </c>
      <c r="BT7">
        <v>3.2</v>
      </c>
      <c r="BU7">
        <v>-3.0300000000000001E-2</v>
      </c>
      <c r="BW7">
        <v>0.311</v>
      </c>
      <c r="BX7">
        <v>0.16300000000000001</v>
      </c>
      <c r="BY7">
        <v>3.13</v>
      </c>
      <c r="BZ7">
        <v>-3.3500000000000002E-2</v>
      </c>
      <c r="CB7">
        <v>0.371</v>
      </c>
      <c r="CC7">
        <v>3.2500000000000001E-2</v>
      </c>
      <c r="CD7">
        <v>5.1999999999999998E-2</v>
      </c>
      <c r="CE7">
        <v>4</v>
      </c>
      <c r="CF7">
        <v>-3.3500000000000002E-2</v>
      </c>
      <c r="CH7">
        <v>0.40699999999999997</v>
      </c>
      <c r="CI7">
        <v>3.9E-2</v>
      </c>
      <c r="CJ7">
        <v>0.14299999999999999</v>
      </c>
      <c r="CK7">
        <v>6.5199999999999994E-2</v>
      </c>
      <c r="CL7">
        <v>1.34</v>
      </c>
      <c r="CM7">
        <v>2.1800000000000002</v>
      </c>
      <c r="CN7">
        <v>4.4999999999999998E-2</v>
      </c>
      <c r="CO7" s="5">
        <v>0.35699999999999998</v>
      </c>
      <c r="CP7">
        <v>2.1816652672224199E-2</v>
      </c>
      <c r="CQ7">
        <v>5.8700000000000002E-2</v>
      </c>
      <c r="CR7">
        <v>2.4500000000000002</v>
      </c>
      <c r="CS7">
        <v>4.2599999999999999E-2</v>
      </c>
      <c r="CT7">
        <v>-4.0499999999999998E-4</v>
      </c>
      <c r="CU7">
        <v>0.126</v>
      </c>
      <c r="CV7">
        <v>0.98399999999999999</v>
      </c>
      <c r="CW7">
        <v>21.3</v>
      </c>
      <c r="CX7">
        <v>-6.99</v>
      </c>
      <c r="CY7">
        <v>4.8099999999999996</v>
      </c>
      <c r="CZ7">
        <v>0.747</v>
      </c>
      <c r="DA7">
        <v>36.799999999999997</v>
      </c>
      <c r="DB7">
        <v>0.29499999999999998</v>
      </c>
      <c r="DC7">
        <v>1.2700000000000001E-3</v>
      </c>
      <c r="DD7">
        <v>1.83E-2</v>
      </c>
      <c r="DE7" s="5">
        <v>-9.6699999999999999E-8</v>
      </c>
      <c r="DF7">
        <v>0.81899999999999995</v>
      </c>
      <c r="DG7">
        <v>5.1999999999999998E-2</v>
      </c>
      <c r="DH7">
        <v>0.16900000000000001</v>
      </c>
      <c r="DI7">
        <v>152</v>
      </c>
      <c r="DJ7">
        <v>1.72</v>
      </c>
      <c r="DK7">
        <v>2.2000000000000002</v>
      </c>
      <c r="DL7" s="5">
        <v>0.10299999999999999</v>
      </c>
      <c r="DM7">
        <v>0.28399999999999997</v>
      </c>
      <c r="DN7">
        <v>-2.14E-3</v>
      </c>
      <c r="DO7">
        <v>1.4200000000000001E-2</v>
      </c>
      <c r="DP7">
        <v>1.36</v>
      </c>
      <c r="DQ7">
        <v>0.128</v>
      </c>
      <c r="DR7">
        <v>0.82599999999999996</v>
      </c>
      <c r="DS7">
        <v>61.9</v>
      </c>
      <c r="DT7">
        <v>1.4500000000000001E-2</v>
      </c>
      <c r="DU7" s="5">
        <v>2.07E-2</v>
      </c>
      <c r="DV7">
        <v>2.91</v>
      </c>
      <c r="DW7">
        <v>7.3899999999999993E-2</v>
      </c>
      <c r="DX7">
        <v>-2.14E-3</v>
      </c>
      <c r="DY7">
        <v>0.66400000000000003</v>
      </c>
      <c r="DZ7">
        <v>4.4000000000000004</v>
      </c>
      <c r="EA7">
        <v>6.2100000000000002E-3</v>
      </c>
      <c r="EB7">
        <v>155</v>
      </c>
      <c r="EC7">
        <v>61.9</v>
      </c>
      <c r="ED7" s="5">
        <v>4.67</v>
      </c>
      <c r="EE7">
        <v>5.24</v>
      </c>
      <c r="EF7">
        <v>0.19900000000000001</v>
      </c>
      <c r="EG7">
        <v>0.65200000000000002</v>
      </c>
      <c r="EH7">
        <v>-0.105</v>
      </c>
      <c r="EI7">
        <v>158</v>
      </c>
      <c r="EJ7">
        <v>0.39</v>
      </c>
      <c r="EK7">
        <v>3.83</v>
      </c>
      <c r="EL7">
        <v>5.7500000000000002E-2</v>
      </c>
      <c r="EM7">
        <v>4.24</v>
      </c>
      <c r="EN7">
        <v>39.700000000000003</v>
      </c>
      <c r="EO7">
        <v>4.9700000000000001E-2</v>
      </c>
      <c r="EP7" s="5">
        <v>0.11700000000000001</v>
      </c>
      <c r="EQ7">
        <v>0.189</v>
      </c>
      <c r="ER7">
        <v>-1.39</v>
      </c>
      <c r="ES7">
        <v>0.255</v>
      </c>
      <c r="ET7">
        <v>159</v>
      </c>
      <c r="EU7">
        <v>0.77800000000000002</v>
      </c>
      <c r="EV7">
        <v>3.36</v>
      </c>
      <c r="EW7" s="5">
        <v>5.2200000000000003E-2</v>
      </c>
      <c r="EX7" s="5">
        <v>0.95599999999999996</v>
      </c>
      <c r="EY7" s="5">
        <v>1.85</v>
      </c>
      <c r="EZ7">
        <v>8.5400000000000007E-3</v>
      </c>
      <c r="FB7">
        <v>0.214</v>
      </c>
      <c r="FC7">
        <v>58.679998000682303</v>
      </c>
      <c r="FD7">
        <v>15.7489025776755</v>
      </c>
      <c r="FE7">
        <v>0.29732519868130802</v>
      </c>
      <c r="FF7" s="5">
        <v>0.34518342091792797</v>
      </c>
      <c r="FG7" s="5">
        <v>5.1226125656050003E-2</v>
      </c>
      <c r="FH7" s="5">
        <v>6.0900000000000003E-2</v>
      </c>
      <c r="FI7">
        <v>0.124</v>
      </c>
      <c r="FJ7">
        <v>0.252</v>
      </c>
      <c r="FK7">
        <v>-1.95E-4</v>
      </c>
      <c r="FL7">
        <v>4.6600000000000001E-3</v>
      </c>
      <c r="FM7">
        <v>0.16400000000000001</v>
      </c>
      <c r="FN7">
        <v>3.99</v>
      </c>
      <c r="FO7">
        <v>0.26100000000000001</v>
      </c>
      <c r="FP7">
        <v>3.7599999999999999E-3</v>
      </c>
      <c r="FQ7" s="5">
        <v>2.47E-2</v>
      </c>
      <c r="FR7" s="5">
        <v>-1.83E-2</v>
      </c>
      <c r="FS7" s="5"/>
      <c r="FT7">
        <v>3.4200000000000001E-2</v>
      </c>
      <c r="FU7" s="5">
        <v>13.2</v>
      </c>
      <c r="FV7" s="5">
        <v>8.0299999999999996E-2</v>
      </c>
      <c r="FW7" s="5">
        <v>-9.6699999999999999E-8</v>
      </c>
      <c r="FX7" s="5">
        <v>5.4399999999999997E-2</v>
      </c>
      <c r="FY7" s="5">
        <v>4.5499999999999999E-2</v>
      </c>
      <c r="FZ7" s="5">
        <v>1.07</v>
      </c>
      <c r="GA7" s="5">
        <v>9.0799999999999995E-3</v>
      </c>
      <c r="GB7" s="5">
        <v>0.124</v>
      </c>
      <c r="GC7" s="5">
        <v>0.14299999999999999</v>
      </c>
      <c r="GD7" s="5">
        <v>-2.42E-4</v>
      </c>
      <c r="GE7" s="5">
        <v>3.76</v>
      </c>
      <c r="GF7" s="5">
        <v>1.74</v>
      </c>
      <c r="GG7" s="5">
        <v>5.7000000000000002E-2</v>
      </c>
      <c r="GH7" s="5">
        <v>0.191</v>
      </c>
      <c r="GI7" s="5">
        <v>0.14299999999999999</v>
      </c>
      <c r="GJ7" s="5">
        <v>-2.42E-4</v>
      </c>
      <c r="GK7" s="5">
        <v>4.2699999999999996</v>
      </c>
      <c r="GL7">
        <v>3.9E-2</v>
      </c>
      <c r="GM7" s="5">
        <v>9.39</v>
      </c>
      <c r="GN7" s="5">
        <v>3.75</v>
      </c>
      <c r="GO7" s="5">
        <v>0.17</v>
      </c>
      <c r="GP7" s="5">
        <v>-0.66200000000000003</v>
      </c>
      <c r="GQ7" s="5">
        <v>0.14599999999999999</v>
      </c>
      <c r="GR7" s="5">
        <v>2.3703582552304099E-2</v>
      </c>
      <c r="GS7" s="5">
        <v>71.724798897526895</v>
      </c>
      <c r="GT7" s="5">
        <v>24.856185632756201</v>
      </c>
      <c r="GU7" s="5">
        <v>0.27957812660357001</v>
      </c>
      <c r="GV7" s="5">
        <v>0.14544435114816101</v>
      </c>
      <c r="GW7" s="5">
        <v>4.0399999999999998E-2</v>
      </c>
      <c r="GX7">
        <v>0.47599999999999998</v>
      </c>
      <c r="GY7">
        <v>0.28399999999999997</v>
      </c>
      <c r="GZ7">
        <v>-3.6699999999999998E-4</v>
      </c>
      <c r="HA7">
        <v>4.6600000000000001E-3</v>
      </c>
      <c r="HB7">
        <v>0.308</v>
      </c>
      <c r="HC7" s="5">
        <v>19.5</v>
      </c>
      <c r="HD7" s="5">
        <v>0.19700000000000001</v>
      </c>
      <c r="HE7" s="5">
        <v>1.99E-3</v>
      </c>
      <c r="HF7" s="5">
        <v>-3.0499999999999999E-4</v>
      </c>
      <c r="HG7" s="5">
        <v>5.8299999999999998E-2</v>
      </c>
      <c r="HH7" s="5">
        <v>21.5</v>
      </c>
      <c r="HI7" s="5">
        <v>5.2</v>
      </c>
      <c r="HJ7" s="5">
        <v>0.17</v>
      </c>
      <c r="HK7" s="5">
        <v>6.0900000000000003E-2</v>
      </c>
      <c r="HL7" s="5">
        <v>-1.83E-4</v>
      </c>
      <c r="HM7" s="5">
        <v>0.11</v>
      </c>
      <c r="HN7" s="5">
        <v>0.999</v>
      </c>
      <c r="HO7" s="5">
        <v>8.8900000000000003E-3</v>
      </c>
      <c r="HP7" s="5">
        <v>-5.2300000000000003E-3</v>
      </c>
      <c r="HQ7" s="5">
        <v>4.6800000000000001E-3</v>
      </c>
      <c r="HR7" s="5">
        <v>1.18</v>
      </c>
      <c r="HS7" s="5">
        <v>1.7000000000000001E-2</v>
      </c>
      <c r="HT7" s="5">
        <v>-5.2300000000000003E-3</v>
      </c>
      <c r="HU7" s="5">
        <v>5.11E-3</v>
      </c>
      <c r="HV7" s="5">
        <v>0.10100000000000001</v>
      </c>
      <c r="HW7" s="5">
        <v>-5.2300000000000003E-3</v>
      </c>
      <c r="HX7" s="5">
        <v>2.7799999999999999E-3</v>
      </c>
      <c r="HY7">
        <v>4.51</v>
      </c>
      <c r="HZ7">
        <v>19.399999999999999</v>
      </c>
      <c r="IA7" s="5">
        <v>8180</v>
      </c>
      <c r="IB7" s="5">
        <v>57600</v>
      </c>
      <c r="ID7">
        <f t="shared" si="1"/>
        <v>57260</v>
      </c>
      <c r="IE7">
        <f t="shared" si="3"/>
        <v>403200</v>
      </c>
      <c r="IF7">
        <f t="shared" si="2"/>
        <v>0</v>
      </c>
      <c r="IG7">
        <v>0.17399999999999999</v>
      </c>
      <c r="IH7">
        <v>1.05</v>
      </c>
      <c r="II7">
        <v>3.06</v>
      </c>
      <c r="IJ7">
        <v>1.53</v>
      </c>
      <c r="IK7">
        <v>0.314</v>
      </c>
      <c r="IL7">
        <v>-39.700000000000003</v>
      </c>
      <c r="IM7">
        <v>-540</v>
      </c>
      <c r="IN7">
        <v>-6.7</v>
      </c>
      <c r="IO7">
        <v>-19.5</v>
      </c>
      <c r="IP7">
        <v>-0.4</v>
      </c>
      <c r="IQ7">
        <v>9.9574428219266604</v>
      </c>
      <c r="IR7">
        <v>2.6161051186967502E-2</v>
      </c>
      <c r="IS7">
        <v>0.15776715186422299</v>
      </c>
      <c r="IT7">
        <v>2.2048716481025101</v>
      </c>
      <c r="IU7">
        <v>0.39482814783715398</v>
      </c>
      <c r="IV7">
        <v>0.28068534010485902</v>
      </c>
      <c r="IW7">
        <v>3.33</v>
      </c>
      <c r="IX7">
        <v>20.100000000000001</v>
      </c>
      <c r="IY7">
        <v>2.92</v>
      </c>
      <c r="IZ7">
        <v>0.998</v>
      </c>
    </row>
    <row r="8" spans="1:260" x14ac:dyDescent="0.3">
      <c r="A8" t="s">
        <v>123</v>
      </c>
      <c r="B8">
        <v>1.0699999999999999E-2</v>
      </c>
      <c r="C8" s="5">
        <v>-1.0699999999999999E-5</v>
      </c>
      <c r="D8">
        <v>4.3199999999999998E-4</v>
      </c>
      <c r="E8">
        <v>6.0899999999999995E-4</v>
      </c>
      <c r="F8">
        <v>3.2200000000000002E-4</v>
      </c>
      <c r="G8">
        <v>-9.6399999999999992E-6</v>
      </c>
      <c r="H8">
        <v>1.12E-4</v>
      </c>
      <c r="J8" s="5">
        <v>-1.5400000000000002E-5</v>
      </c>
      <c r="K8" s="5">
        <v>4.4299999999999998E-4</v>
      </c>
      <c r="M8">
        <v>-2.3099999999999999E-5</v>
      </c>
      <c r="N8">
        <v>4.5100000000000001E-4</v>
      </c>
      <c r="P8" s="5">
        <v>-1.5400000000000002E-5</v>
      </c>
      <c r="Q8" s="5">
        <v>4.55E-4</v>
      </c>
      <c r="R8" s="5">
        <v>-5.31E-6</v>
      </c>
      <c r="S8" s="5"/>
      <c r="T8" s="5">
        <v>2.16E-3</v>
      </c>
      <c r="U8">
        <v>-1.5400000000000002E-5</v>
      </c>
      <c r="W8">
        <v>2.9100000000000003E-4</v>
      </c>
      <c r="X8" s="5">
        <v>-1.5400000000000002E-5</v>
      </c>
      <c r="Y8" s="5"/>
      <c r="Z8" s="5">
        <v>2.7099999999999997E-4</v>
      </c>
      <c r="AA8" s="5">
        <v>-1.5400000000000002E-5</v>
      </c>
      <c r="AB8" s="5"/>
      <c r="AC8" s="5">
        <v>8.2299999999999995E-5</v>
      </c>
      <c r="AD8" s="5">
        <v>1.08E-3</v>
      </c>
      <c r="AE8" s="5">
        <v>2.5099999999999998E-4</v>
      </c>
      <c r="AF8" s="5">
        <v>-6.17E-9</v>
      </c>
      <c r="AG8" s="5">
        <v>-1.5400000000000002E-5</v>
      </c>
      <c r="AI8">
        <v>4.4299999999999998E-4</v>
      </c>
      <c r="AJ8">
        <v>1.7399999999999999E-2</v>
      </c>
      <c r="AK8">
        <v>9.2199999999999997E-4</v>
      </c>
      <c r="AL8">
        <v>3.7100000000000002E-4</v>
      </c>
      <c r="AM8" s="5">
        <v>2.8E-5</v>
      </c>
      <c r="AO8" s="5">
        <v>2.27935320925061E-5</v>
      </c>
      <c r="AP8">
        <v>1.2999999999999999E-2</v>
      </c>
      <c r="AQ8">
        <v>8.0000000000000004E-4</v>
      </c>
      <c r="AR8">
        <v>1.24E-3</v>
      </c>
      <c r="AS8">
        <v>5.9900000000000003E-4</v>
      </c>
      <c r="AT8">
        <v>5.2400000000000005E-4</v>
      </c>
      <c r="AU8" s="5">
        <v>1.9599999999999999E-6</v>
      </c>
      <c r="AV8">
        <v>1.4999999999999999E-4</v>
      </c>
      <c r="AW8" s="5">
        <v>6.0300000000000002E-5</v>
      </c>
      <c r="AX8">
        <v>2.7599999999999999E-3</v>
      </c>
      <c r="AY8" s="5">
        <v>9.4099999999999997E-5</v>
      </c>
      <c r="AZ8" s="5">
        <v>2.0299999999999999E-5</v>
      </c>
      <c r="BA8" s="5">
        <v>2.9900000000000002E-6</v>
      </c>
      <c r="BB8">
        <v>2.14E-4</v>
      </c>
      <c r="BC8" s="5">
        <v>-8.85E-7</v>
      </c>
      <c r="BD8">
        <v>1.7799999999999999E-3</v>
      </c>
      <c r="BE8" s="5">
        <v>3.3100000000000001E-6</v>
      </c>
      <c r="BF8" s="5">
        <v>-6.6300000000000005E-7</v>
      </c>
      <c r="BG8" s="5">
        <v>3.3000000000000003E-5</v>
      </c>
      <c r="BH8" s="5">
        <v>7.27E-4</v>
      </c>
      <c r="BI8" s="5">
        <v>1.7799999999999999E-6</v>
      </c>
      <c r="BJ8" s="5">
        <v>-4.25E-6</v>
      </c>
      <c r="BL8" s="5">
        <v>3.3899999999999998E-3</v>
      </c>
      <c r="BM8" s="5">
        <v>4.2700000000000001E-5</v>
      </c>
      <c r="BN8" s="5">
        <v>8.7499999999999999E-5</v>
      </c>
      <c r="BO8" s="5">
        <v>-8.85E-7</v>
      </c>
      <c r="BP8" s="5"/>
      <c r="BQ8">
        <v>6.0999999999999997E-4</v>
      </c>
      <c r="BR8" s="5">
        <v>8.7900000000000005E-6</v>
      </c>
      <c r="BS8" s="5">
        <v>3.7699999999999999E-6</v>
      </c>
      <c r="BT8" s="5">
        <v>6.3000000000000003E-4</v>
      </c>
      <c r="BU8" s="5">
        <v>-3.8500000000000004E-6</v>
      </c>
      <c r="BV8" s="5"/>
      <c r="BW8">
        <v>2.5699999999999998E-3</v>
      </c>
      <c r="BX8" s="5">
        <v>3.1399999999999998E-5</v>
      </c>
      <c r="BY8" s="5">
        <v>6.1799999999999995E-4</v>
      </c>
      <c r="BZ8" s="5">
        <v>-4.25E-6</v>
      </c>
      <c r="CA8" s="5"/>
      <c r="CB8">
        <v>3.0599999999999998E-3</v>
      </c>
      <c r="CC8" s="5">
        <v>6.28E-6</v>
      </c>
      <c r="CD8" s="5">
        <v>1.01E-5</v>
      </c>
      <c r="CE8" s="5">
        <v>7.8899999999999999E-4</v>
      </c>
      <c r="CF8" s="5">
        <v>-4.25E-6</v>
      </c>
      <c r="CG8" s="5"/>
      <c r="CH8">
        <v>3.3600000000000001E-3</v>
      </c>
      <c r="CI8" s="5">
        <v>7.5399999999999998E-6</v>
      </c>
      <c r="CJ8" s="5">
        <v>2.76E-5</v>
      </c>
      <c r="CK8" s="5">
        <v>1.8600000000000001E-5</v>
      </c>
      <c r="CL8" s="5">
        <v>6.2200000000000005E-4</v>
      </c>
      <c r="CM8" s="5">
        <v>8.4500000000000005E-4</v>
      </c>
      <c r="CN8" s="5">
        <v>1.2799999999999999E-5</v>
      </c>
      <c r="CO8" s="5"/>
      <c r="CP8" s="5">
        <v>6.0465595367487996E-7</v>
      </c>
      <c r="CQ8" s="5">
        <v>1.1600000000000001E-5</v>
      </c>
      <c r="CR8" s="5">
        <v>5.5699999999999999E-5</v>
      </c>
      <c r="CS8" s="5">
        <v>1.17E-6</v>
      </c>
      <c r="CT8" s="5">
        <v>5.3499999999999999E-5</v>
      </c>
      <c r="CU8">
        <v>1.0399999999999999E-3</v>
      </c>
      <c r="CV8" s="5">
        <v>6.6099999999999994E-5</v>
      </c>
      <c r="CW8" s="5">
        <v>3.2399999999999998E-3</v>
      </c>
      <c r="CX8" s="5">
        <v>-1.8800000000000001E-2</v>
      </c>
      <c r="CY8" s="5">
        <v>9.8400000000000007E-5</v>
      </c>
      <c r="CZ8" s="5">
        <v>6.1700000000000001E-3</v>
      </c>
      <c r="DA8" s="5">
        <v>1.43E-2</v>
      </c>
      <c r="DB8" s="5">
        <v>8.4099999999999998E-5</v>
      </c>
      <c r="DC8" s="5">
        <v>3.3799999999999998E-8</v>
      </c>
      <c r="DD8" s="5">
        <v>5.0399999999999996E-7</v>
      </c>
      <c r="DE8" s="5">
        <v>1.3000000000000001E-8</v>
      </c>
      <c r="DF8" s="5">
        <v>6.7600000000000004E-3</v>
      </c>
      <c r="DG8" s="5">
        <v>1.01E-5</v>
      </c>
      <c r="DH8" s="5">
        <v>4.8099999999999997E-5</v>
      </c>
      <c r="DI8" s="5">
        <v>7.1099999999999997E-2</v>
      </c>
      <c r="DJ8" s="5">
        <v>4.8999999999999998E-4</v>
      </c>
      <c r="DK8" s="5">
        <v>8.2200000000000003E-4</v>
      </c>
      <c r="DL8" s="5">
        <v>1.9699999999999999E-4</v>
      </c>
      <c r="DM8" s="5">
        <v>7.8299999999999996E-6</v>
      </c>
      <c r="DN8" s="5">
        <v>2.81E-4</v>
      </c>
      <c r="DO8" s="5">
        <v>7.34E-6</v>
      </c>
      <c r="DP8">
        <v>1.12E-2</v>
      </c>
      <c r="DQ8" s="5">
        <v>3.6399999999999997E-5</v>
      </c>
      <c r="DR8" s="5">
        <v>1.88E-5</v>
      </c>
      <c r="DS8" s="5">
        <v>3.0499999999999999E-2</v>
      </c>
      <c r="DT8" s="5">
        <v>4.03E-7</v>
      </c>
      <c r="DU8" s="5">
        <v>3.9499999999999998E-5</v>
      </c>
      <c r="DV8" s="5">
        <v>6.6400000000000001E-5</v>
      </c>
      <c r="DW8" s="5">
        <v>2.03E-6</v>
      </c>
      <c r="DX8" s="5">
        <v>2.81E-4</v>
      </c>
      <c r="DY8">
        <v>5.4799999999999996E-3</v>
      </c>
      <c r="DZ8" s="5">
        <v>2.31E-3</v>
      </c>
      <c r="EA8" s="5">
        <v>3.2499999999999998E-6</v>
      </c>
      <c r="EB8" s="5">
        <v>0.14499999999999999</v>
      </c>
      <c r="EC8" s="5">
        <v>5.21E-2</v>
      </c>
      <c r="ED8" s="5">
        <v>2.6199999999999999E-3</v>
      </c>
      <c r="EE8" s="5">
        <v>2.7399999999999998E-3</v>
      </c>
      <c r="EF8" s="5">
        <v>4.2200000000000001E-4</v>
      </c>
      <c r="EG8" s="5">
        <v>1.1900000000000001E-3</v>
      </c>
      <c r="EH8" s="5">
        <v>-1.33E-5</v>
      </c>
      <c r="EI8" s="5">
        <v>3.29E-3</v>
      </c>
      <c r="EJ8" s="5">
        <v>7.5400000000000003E-5</v>
      </c>
      <c r="EK8">
        <v>8.1300000000000001E-3</v>
      </c>
      <c r="EL8" s="5">
        <v>3.8700000000000002E-6</v>
      </c>
      <c r="EM8" s="5">
        <v>1.2099999999999999E-3</v>
      </c>
      <c r="EN8" s="5">
        <v>1.8800000000000001E-2</v>
      </c>
      <c r="EO8" s="5">
        <v>6.5500000000000006E-5</v>
      </c>
      <c r="EP8" s="5">
        <v>2.24E-4</v>
      </c>
      <c r="EQ8" s="5">
        <v>5.2100000000000001E-6</v>
      </c>
      <c r="ER8" s="5">
        <v>-3.7599999999999999E-3</v>
      </c>
      <c r="ES8" s="5">
        <v>2.0999999999999999E-3</v>
      </c>
      <c r="ET8" s="5">
        <v>7.5999999999999998E-2</v>
      </c>
      <c r="EU8" s="5">
        <v>3.8099999999999999E-4</v>
      </c>
      <c r="EV8" s="5">
        <v>9.5600000000000004E-4</v>
      </c>
      <c r="EW8" s="5">
        <v>9.9699999999999998E-5</v>
      </c>
      <c r="EX8" s="5">
        <v>2.1800000000000001E-5</v>
      </c>
      <c r="EY8" s="5">
        <v>5.1100000000000002E-5</v>
      </c>
      <c r="EZ8" s="5">
        <v>5.3000000000000001E-5</v>
      </c>
      <c r="FA8" s="5"/>
      <c r="FB8" s="5">
        <v>1.7700000000000001E-3</v>
      </c>
      <c r="FC8" s="5">
        <v>2.7257385182205999E-2</v>
      </c>
      <c r="FD8" s="5">
        <v>7.6241860505169403E-3</v>
      </c>
      <c r="FE8" s="5">
        <v>1.4648161343720599E-4</v>
      </c>
      <c r="FF8" s="5">
        <v>9.8349869954702206E-5</v>
      </c>
      <c r="FG8" s="5">
        <v>1.3695488625850399E-6</v>
      </c>
      <c r="FH8" s="5">
        <v>1.16E-4</v>
      </c>
      <c r="FI8" s="5">
        <v>2.83E-6</v>
      </c>
      <c r="FJ8" s="5">
        <v>6.9500000000000004E-6</v>
      </c>
      <c r="FK8" s="5">
        <v>2.5700000000000001E-5</v>
      </c>
      <c r="FL8" s="5">
        <v>7.6899999999999992E-6</v>
      </c>
      <c r="FM8" s="5">
        <v>1.3500000000000001E-3</v>
      </c>
      <c r="FN8" s="5">
        <v>1.9599999999999999E-3</v>
      </c>
      <c r="FO8" s="5">
        <v>1.2899999999999999E-4</v>
      </c>
      <c r="FP8" s="5">
        <v>8.7099999999999996E-6</v>
      </c>
      <c r="FQ8" s="5">
        <v>7.0500000000000003E-7</v>
      </c>
      <c r="FR8" s="5">
        <v>-2.3199999999999998E-6</v>
      </c>
      <c r="FS8" s="5"/>
      <c r="FT8" s="5">
        <v>2.8200000000000002E-4</v>
      </c>
      <c r="FU8" s="5">
        <v>4.8300000000000001E-3</v>
      </c>
      <c r="FV8" s="5">
        <v>2.2900000000000001E-5</v>
      </c>
      <c r="FW8" s="5">
        <v>1.3000000000000001E-8</v>
      </c>
      <c r="FX8" s="5">
        <v>4.4900000000000002E-4</v>
      </c>
      <c r="FY8" s="5">
        <v>8.7900000000000005E-6</v>
      </c>
      <c r="FZ8" s="5">
        <v>6.0099999999999997E-4</v>
      </c>
      <c r="GA8" s="5">
        <v>5.5099999999999998E-6</v>
      </c>
      <c r="GB8" s="5"/>
      <c r="GC8" s="5">
        <v>2.8200000000000001E-5</v>
      </c>
      <c r="GD8" s="5">
        <v>7.5299999999999999E-6</v>
      </c>
      <c r="GE8" s="5">
        <v>5.5500000000000005E-4</v>
      </c>
      <c r="GF8" s="5">
        <v>9.7300000000000002E-4</v>
      </c>
      <c r="GG8" s="5">
        <v>3.1300000000000002E-5</v>
      </c>
      <c r="GH8" s="5"/>
      <c r="GI8" s="5">
        <v>2.8200000000000001E-5</v>
      </c>
      <c r="GJ8" s="5">
        <v>7.5299999999999999E-6</v>
      </c>
      <c r="GK8" s="5">
        <v>5.6499999999999996E-4</v>
      </c>
      <c r="GL8" s="5">
        <v>7.5399999999999998E-6</v>
      </c>
      <c r="GM8" s="5">
        <v>3.64E-3</v>
      </c>
      <c r="GN8" s="5">
        <v>9.9200000000000004E-4</v>
      </c>
      <c r="GO8" s="5">
        <v>4.8399999999999997E-5</v>
      </c>
      <c r="GP8" s="5">
        <v>-1.8799999999999999E-3</v>
      </c>
      <c r="GQ8" s="5">
        <v>1.2099999999999999E-3</v>
      </c>
      <c r="GR8" s="5">
        <v>6.7536391385203301E-6</v>
      </c>
      <c r="GS8" s="5">
        <v>3.20234691810794E-2</v>
      </c>
      <c r="GT8" s="5">
        <v>9.6356314375147592E-3</v>
      </c>
      <c r="GU8" s="5">
        <v>7.9657569649551894E-5</v>
      </c>
      <c r="GV8" s="5">
        <v>4.0310396911658703E-6</v>
      </c>
      <c r="GW8" s="5">
        <v>7.7100000000000004E-5</v>
      </c>
      <c r="GX8" s="5">
        <v>1.08E-5</v>
      </c>
      <c r="GY8" s="5">
        <v>7.8299999999999996E-6</v>
      </c>
      <c r="GZ8" s="5">
        <v>4.8199999999999999E-5</v>
      </c>
      <c r="HA8" s="5">
        <v>7.6899999999999992E-6</v>
      </c>
      <c r="HB8" s="5">
        <v>2.5400000000000002E-3</v>
      </c>
      <c r="HC8" s="5">
        <v>7.5500000000000003E-3</v>
      </c>
      <c r="HD8" s="5">
        <v>5.63E-5</v>
      </c>
      <c r="HE8" s="5">
        <v>5.3300000000000001E-8</v>
      </c>
      <c r="HF8" s="5">
        <v>4.0200000000000001E-5</v>
      </c>
      <c r="HG8" s="5">
        <v>4.8099999999999998E-4</v>
      </c>
      <c r="HH8" s="5">
        <v>9.8200000000000006E-3</v>
      </c>
      <c r="HI8" s="5">
        <v>1.9400000000000001E-3</v>
      </c>
      <c r="HJ8" s="5">
        <v>4.8399999999999997E-5</v>
      </c>
      <c r="HK8" s="5">
        <v>1.16E-4</v>
      </c>
      <c r="HL8" s="5">
        <v>2.41E-5</v>
      </c>
      <c r="HM8" s="5">
        <v>9.1E-4</v>
      </c>
      <c r="HN8" s="5">
        <v>3.8699999999999997E-4</v>
      </c>
      <c r="HO8" s="5">
        <v>2.5299999999999999E-6</v>
      </c>
      <c r="HP8" s="5">
        <v>-6.6300000000000005E-7</v>
      </c>
      <c r="HQ8" s="5">
        <v>3.8600000000000003E-5</v>
      </c>
      <c r="HR8" s="5">
        <v>4.5800000000000002E-4</v>
      </c>
      <c r="HS8" s="5">
        <v>5.1200000000000001E-6</v>
      </c>
      <c r="HT8" s="5">
        <v>-6.6300000000000005E-7</v>
      </c>
      <c r="HU8" s="5">
        <v>4.2200000000000003E-5</v>
      </c>
      <c r="HV8" s="5">
        <v>3.9100000000000002E-5</v>
      </c>
      <c r="HW8" s="5">
        <v>-6.6300000000000005E-7</v>
      </c>
      <c r="HX8" s="5">
        <v>2.3E-5</v>
      </c>
      <c r="HY8">
        <v>3.0200000000000001E-2</v>
      </c>
      <c r="HZ8">
        <v>0.16</v>
      </c>
      <c r="IA8">
        <v>1.37</v>
      </c>
      <c r="ID8">
        <f t="shared" si="1"/>
        <v>9.59</v>
      </c>
      <c r="IE8">
        <f t="shared" si="3"/>
        <v>0</v>
      </c>
      <c r="IF8">
        <f t="shared" si="2"/>
        <v>0</v>
      </c>
      <c r="IG8">
        <v>5.13E-4</v>
      </c>
      <c r="IH8">
        <v>3.0899999999999999E-3</v>
      </c>
      <c r="II8">
        <v>3.9399999999999999E-3</v>
      </c>
      <c r="IJ8">
        <v>1.2800000000000001E-3</v>
      </c>
      <c r="IK8">
        <v>1.3999999999999999E-4</v>
      </c>
      <c r="IL8">
        <v>-7.4700000000000003E-2</v>
      </c>
      <c r="IM8">
        <v>-0.254</v>
      </c>
      <c r="IN8">
        <v>-3.8600000000000001E-3</v>
      </c>
      <c r="IO8">
        <v>-1.7899999999999999E-3</v>
      </c>
      <c r="IP8">
        <v>-7.7700000000000002E-4</v>
      </c>
      <c r="IQ8">
        <v>-6.1017631179733399E-3</v>
      </c>
      <c r="IR8" s="5">
        <v>7.6867417509870095E-5</v>
      </c>
      <c r="IS8">
        <v>4.6348945943617198E-4</v>
      </c>
      <c r="IT8">
        <v>2.8362821543279799E-3</v>
      </c>
      <c r="IU8">
        <v>3.30096917884254E-4</v>
      </c>
      <c r="IV8">
        <v>1.2520957356186899E-4</v>
      </c>
      <c r="IW8">
        <v>1.06E-3</v>
      </c>
      <c r="IX8">
        <v>6.4099999999999999E-3</v>
      </c>
      <c r="IY8">
        <v>1.0200000000000001E-3</v>
      </c>
      <c r="IZ8">
        <v>5.7499999999999999E-4</v>
      </c>
    </row>
    <row r="9" spans="1:260" x14ac:dyDescent="0.3">
      <c r="A9" t="s">
        <v>124</v>
      </c>
      <c r="B9" s="5">
        <v>175</v>
      </c>
      <c r="C9">
        <v>-0.219</v>
      </c>
      <c r="D9">
        <v>0.52200000000000002</v>
      </c>
      <c r="E9">
        <v>3.55</v>
      </c>
      <c r="F9">
        <v>14.7</v>
      </c>
      <c r="G9">
        <v>-0.121</v>
      </c>
      <c r="H9">
        <v>52.9</v>
      </c>
      <c r="I9" s="5">
        <v>41100</v>
      </c>
      <c r="J9">
        <v>6.67</v>
      </c>
      <c r="K9">
        <v>0.53500000000000003</v>
      </c>
      <c r="L9">
        <v>5780</v>
      </c>
      <c r="M9">
        <v>10</v>
      </c>
      <c r="N9">
        <v>213</v>
      </c>
      <c r="O9" s="5">
        <v>5850</v>
      </c>
      <c r="P9">
        <v>6.67</v>
      </c>
      <c r="Q9" s="5">
        <v>0.55000000000000004</v>
      </c>
      <c r="R9" s="5">
        <v>7.65</v>
      </c>
      <c r="S9">
        <v>18.899999999999999</v>
      </c>
      <c r="T9" s="5">
        <v>2.62</v>
      </c>
      <c r="U9">
        <v>6.67</v>
      </c>
      <c r="V9">
        <v>82100</v>
      </c>
      <c r="W9">
        <v>137</v>
      </c>
      <c r="X9" s="5">
        <v>6.67</v>
      </c>
      <c r="Y9" s="5">
        <v>6360</v>
      </c>
      <c r="Z9" s="5">
        <v>0.32700000000000001</v>
      </c>
      <c r="AA9" s="5">
        <v>6.67</v>
      </c>
      <c r="AB9" s="5">
        <v>428</v>
      </c>
      <c r="AC9" s="5">
        <v>38.799999999999997</v>
      </c>
      <c r="AD9" s="5">
        <v>6.47</v>
      </c>
      <c r="AE9" s="5">
        <v>947</v>
      </c>
      <c r="AF9" s="5">
        <v>2.6700000000000001E-3</v>
      </c>
      <c r="AG9">
        <v>6.67</v>
      </c>
      <c r="AH9" s="5">
        <v>82100</v>
      </c>
      <c r="AI9">
        <v>0.53500000000000003</v>
      </c>
      <c r="AJ9">
        <v>410</v>
      </c>
      <c r="AK9">
        <v>21.7</v>
      </c>
      <c r="AL9">
        <v>1.67</v>
      </c>
      <c r="AM9">
        <v>0.126</v>
      </c>
      <c r="AN9">
        <v>2.7099999999999999E-2</v>
      </c>
      <c r="AO9">
        <v>0.13603191231450301</v>
      </c>
      <c r="AP9">
        <v>132</v>
      </c>
      <c r="AQ9">
        <v>7.28</v>
      </c>
      <c r="AR9">
        <v>12.9</v>
      </c>
      <c r="AS9">
        <v>3.58</v>
      </c>
      <c r="AT9">
        <v>4.72</v>
      </c>
      <c r="AU9">
        <v>1.84</v>
      </c>
      <c r="AV9">
        <v>0.48699999999999999</v>
      </c>
      <c r="AW9">
        <v>7.8700000000000006E-2</v>
      </c>
      <c r="AX9">
        <v>3.33</v>
      </c>
      <c r="AY9">
        <v>0.99</v>
      </c>
      <c r="AZ9">
        <v>0.121</v>
      </c>
      <c r="BA9">
        <v>14.9</v>
      </c>
      <c r="BB9">
        <v>7.21</v>
      </c>
      <c r="BC9">
        <v>1.23</v>
      </c>
      <c r="BD9">
        <v>2.15</v>
      </c>
      <c r="BE9">
        <v>1.95</v>
      </c>
      <c r="BF9">
        <v>0.92500000000000004</v>
      </c>
      <c r="BG9">
        <v>3.9899999999999998E-2</v>
      </c>
      <c r="BH9">
        <v>86.8</v>
      </c>
      <c r="BI9">
        <v>1.05</v>
      </c>
      <c r="BJ9">
        <v>5.92</v>
      </c>
      <c r="BK9">
        <v>44</v>
      </c>
      <c r="BL9">
        <v>4.0999999999999996</v>
      </c>
      <c r="BM9">
        <v>2.86</v>
      </c>
      <c r="BN9">
        <v>10.5</v>
      </c>
      <c r="BO9">
        <v>1.23</v>
      </c>
      <c r="BP9">
        <v>26.1</v>
      </c>
      <c r="BQ9">
        <v>0.73799999999999999</v>
      </c>
      <c r="BR9">
        <v>0.58899999999999997</v>
      </c>
      <c r="BS9">
        <v>0.252</v>
      </c>
      <c r="BT9">
        <v>75.2</v>
      </c>
      <c r="BU9">
        <v>5.37</v>
      </c>
      <c r="BV9">
        <v>57</v>
      </c>
      <c r="BW9">
        <v>3.11</v>
      </c>
      <c r="BX9">
        <v>2.1</v>
      </c>
      <c r="BY9">
        <v>73.8</v>
      </c>
      <c r="BZ9">
        <v>5.92</v>
      </c>
      <c r="CA9">
        <v>106</v>
      </c>
      <c r="CB9">
        <v>3.7</v>
      </c>
      <c r="CC9">
        <v>0.42099999999999999</v>
      </c>
      <c r="CD9">
        <v>0.67300000000000004</v>
      </c>
      <c r="CE9">
        <v>94.3</v>
      </c>
      <c r="CF9">
        <v>5.92</v>
      </c>
      <c r="CG9">
        <v>103</v>
      </c>
      <c r="CH9">
        <v>4.0599999999999996</v>
      </c>
      <c r="CI9">
        <v>0.505</v>
      </c>
      <c r="CJ9">
        <v>1.85</v>
      </c>
      <c r="CK9">
        <v>0.111</v>
      </c>
      <c r="CL9">
        <v>6.36</v>
      </c>
      <c r="CM9">
        <v>8.81</v>
      </c>
      <c r="CN9">
        <v>7.6600000000000001E-2</v>
      </c>
      <c r="CO9" s="5">
        <v>1.69</v>
      </c>
      <c r="CP9">
        <v>0.55212037610495501</v>
      </c>
      <c r="CQ9">
        <v>1.38</v>
      </c>
      <c r="CR9">
        <v>32.799999999999997</v>
      </c>
      <c r="CS9">
        <v>4.43</v>
      </c>
      <c r="CT9">
        <v>6.9900000000000004E-2</v>
      </c>
      <c r="CU9">
        <v>1.26</v>
      </c>
      <c r="CV9">
        <v>0.92600000000000005</v>
      </c>
      <c r="CW9">
        <v>633</v>
      </c>
      <c r="CX9">
        <v>51.2</v>
      </c>
      <c r="CY9">
        <v>155</v>
      </c>
      <c r="CZ9">
        <v>7.46</v>
      </c>
      <c r="DA9">
        <v>150</v>
      </c>
      <c r="DB9">
        <v>0.502</v>
      </c>
      <c r="DC9">
        <v>3.1800000000000002E-2</v>
      </c>
      <c r="DD9">
        <v>1.9</v>
      </c>
      <c r="DE9" s="5">
        <v>1.7E-5</v>
      </c>
      <c r="DF9">
        <v>8.17</v>
      </c>
      <c r="DG9">
        <v>0.67300000000000004</v>
      </c>
      <c r="DH9">
        <v>0.28699999999999998</v>
      </c>
      <c r="DI9">
        <v>723</v>
      </c>
      <c r="DJ9">
        <v>2.92</v>
      </c>
      <c r="DK9">
        <v>8.77</v>
      </c>
      <c r="DL9" s="5">
        <v>0.63900000000000001</v>
      </c>
      <c r="DM9">
        <v>29.5</v>
      </c>
      <c r="DN9">
        <v>0.36699999999999999</v>
      </c>
      <c r="DO9">
        <v>0.215</v>
      </c>
      <c r="DP9">
        <v>13.6</v>
      </c>
      <c r="DQ9">
        <v>0.217</v>
      </c>
      <c r="DR9">
        <v>11.1</v>
      </c>
      <c r="DS9">
        <v>297</v>
      </c>
      <c r="DT9">
        <v>0.36799999999999999</v>
      </c>
      <c r="DU9" s="5">
        <v>0.128</v>
      </c>
      <c r="DV9">
        <v>39.1</v>
      </c>
      <c r="DW9">
        <v>7.67</v>
      </c>
      <c r="DX9">
        <v>0.36699999999999999</v>
      </c>
      <c r="DY9">
        <v>6.62</v>
      </c>
      <c r="DZ9">
        <v>7.42</v>
      </c>
      <c r="EA9">
        <v>1.0500000000000001E-2</v>
      </c>
      <c r="EB9">
        <v>702</v>
      </c>
      <c r="EC9">
        <v>299</v>
      </c>
      <c r="ED9" s="5">
        <v>18.7</v>
      </c>
      <c r="EE9">
        <v>8.83</v>
      </c>
      <c r="EF9">
        <v>1.21</v>
      </c>
      <c r="EG9">
        <v>59.7</v>
      </c>
      <c r="EH9">
        <v>19.100000000000001</v>
      </c>
      <c r="EI9" s="5">
        <v>1550</v>
      </c>
      <c r="EJ9">
        <v>5.05</v>
      </c>
      <c r="EK9">
        <v>23.3</v>
      </c>
      <c r="EL9">
        <v>5.4100000000000002E-2</v>
      </c>
      <c r="EM9">
        <v>7.22</v>
      </c>
      <c r="EN9">
        <v>181</v>
      </c>
      <c r="EO9">
        <v>0.63500000000000001</v>
      </c>
      <c r="EP9" s="5">
        <v>0.72599999999999998</v>
      </c>
      <c r="EQ9">
        <v>19.7</v>
      </c>
      <c r="ER9">
        <v>9.48</v>
      </c>
      <c r="ES9">
        <v>2.54</v>
      </c>
      <c r="ET9">
        <v>717</v>
      </c>
      <c r="EU9">
        <v>35.200000000000003</v>
      </c>
      <c r="EV9">
        <v>5.71</v>
      </c>
      <c r="EW9">
        <v>0.32300000000000001</v>
      </c>
      <c r="EX9" s="5">
        <v>12.8</v>
      </c>
      <c r="EY9">
        <v>193</v>
      </c>
      <c r="EZ9">
        <v>0.23499999999999999</v>
      </c>
      <c r="FA9">
        <v>0.28799999999999998</v>
      </c>
      <c r="FB9">
        <v>2.14</v>
      </c>
      <c r="FC9">
        <v>261.62688967603901</v>
      </c>
      <c r="FD9">
        <v>71.654348113423794</v>
      </c>
      <c r="FE9">
        <v>1.31957842368042</v>
      </c>
      <c r="FF9">
        <v>0.58695251054220998</v>
      </c>
      <c r="FG9" s="5">
        <v>1.2872825025329599</v>
      </c>
      <c r="FH9">
        <v>0.377</v>
      </c>
      <c r="FI9">
        <v>1.67</v>
      </c>
      <c r="FJ9">
        <v>26.2</v>
      </c>
      <c r="FK9">
        <v>3.3599999999999998E-2</v>
      </c>
      <c r="FL9" s="5">
        <v>2.8299999999999999E-2</v>
      </c>
      <c r="FM9">
        <v>1.64</v>
      </c>
      <c r="FN9">
        <v>17.7</v>
      </c>
      <c r="FO9">
        <v>1.1599999999999999</v>
      </c>
      <c r="FP9">
        <v>2.5700000000000001E-2</v>
      </c>
      <c r="FQ9">
        <v>2.58</v>
      </c>
      <c r="FR9" s="5">
        <v>2.92</v>
      </c>
      <c r="FS9">
        <v>26.1</v>
      </c>
      <c r="FT9">
        <v>0.34100000000000003</v>
      </c>
      <c r="FU9" s="5">
        <v>89.3</v>
      </c>
      <c r="FV9" s="5">
        <v>0.13600000000000001</v>
      </c>
      <c r="FW9" s="5">
        <v>1.7E-5</v>
      </c>
      <c r="FX9">
        <v>0.54300000000000004</v>
      </c>
      <c r="FY9" s="5">
        <v>0.58899999999999997</v>
      </c>
      <c r="FZ9" s="5">
        <v>4.28</v>
      </c>
      <c r="GA9" s="5">
        <v>0.04</v>
      </c>
      <c r="GB9" s="5">
        <v>0.58799999999999997</v>
      </c>
      <c r="GC9">
        <v>3.37</v>
      </c>
      <c r="GD9" s="5">
        <v>1.2E-2</v>
      </c>
      <c r="GE9">
        <v>37.1</v>
      </c>
      <c r="GF9" s="5">
        <v>6.93</v>
      </c>
      <c r="GG9" s="5">
        <v>9.9900000000000003E-2</v>
      </c>
      <c r="GH9" s="5">
        <v>0.90500000000000003</v>
      </c>
      <c r="GI9">
        <v>3.37</v>
      </c>
      <c r="GJ9" s="5">
        <v>1.2E-2</v>
      </c>
      <c r="GK9">
        <v>42.1</v>
      </c>
      <c r="GL9">
        <v>0.505</v>
      </c>
      <c r="GM9" s="5">
        <v>38</v>
      </c>
      <c r="GN9" s="5">
        <v>17.7</v>
      </c>
      <c r="GO9" s="5">
        <v>0.28899999999999998</v>
      </c>
      <c r="GP9">
        <v>4.91</v>
      </c>
      <c r="GQ9" s="5">
        <v>1.46</v>
      </c>
      <c r="GR9" s="5">
        <v>4.0305751796889902E-2</v>
      </c>
      <c r="GS9" s="5">
        <v>303.92668105177302</v>
      </c>
      <c r="GT9" s="5">
        <v>101.384097385421</v>
      </c>
      <c r="GU9">
        <v>0.47539676982826501</v>
      </c>
      <c r="GV9" s="5">
        <v>3.6808025073663702</v>
      </c>
      <c r="GW9">
        <v>0.25</v>
      </c>
      <c r="GX9">
        <v>6.39</v>
      </c>
      <c r="GY9">
        <v>29.5</v>
      </c>
      <c r="GZ9">
        <v>6.3E-2</v>
      </c>
      <c r="HA9" s="5">
        <v>2.8299999999999999E-2</v>
      </c>
      <c r="HB9">
        <v>3.08</v>
      </c>
      <c r="HC9" s="5">
        <v>78.7</v>
      </c>
      <c r="HD9" s="5">
        <v>0.33600000000000002</v>
      </c>
      <c r="HE9" s="5">
        <v>5.0099999999999999E-2</v>
      </c>
      <c r="HF9">
        <v>5.2400000000000002E-2</v>
      </c>
      <c r="HG9" s="5">
        <v>0.58099999999999996</v>
      </c>
      <c r="HH9" s="5">
        <v>111</v>
      </c>
      <c r="HI9" s="5">
        <v>20.9</v>
      </c>
      <c r="HJ9" s="5">
        <v>0.28899999999999998</v>
      </c>
      <c r="HK9">
        <v>0.377</v>
      </c>
      <c r="HL9" s="5">
        <v>3.15E-2</v>
      </c>
      <c r="HM9">
        <v>1.1000000000000001</v>
      </c>
      <c r="HN9" s="5">
        <v>4.04</v>
      </c>
      <c r="HO9" s="5">
        <v>1.5100000000000001E-2</v>
      </c>
      <c r="HP9" s="5">
        <v>0.92500000000000004</v>
      </c>
      <c r="HQ9">
        <v>4.6699999999999998E-2</v>
      </c>
      <c r="HR9" s="5">
        <v>4.7699999999999996</v>
      </c>
      <c r="HS9" s="5">
        <v>3.0099999999999998E-2</v>
      </c>
      <c r="HT9" s="5">
        <v>0.92500000000000004</v>
      </c>
      <c r="HU9">
        <v>5.0999999999999997E-2</v>
      </c>
      <c r="HV9" s="5">
        <v>0.40799999999999997</v>
      </c>
      <c r="HW9" s="5">
        <v>0.92500000000000004</v>
      </c>
      <c r="HX9" s="5">
        <v>2.7799999999999998E-2</v>
      </c>
      <c r="HY9">
        <v>183</v>
      </c>
      <c r="HZ9">
        <v>193</v>
      </c>
      <c r="IA9" s="5">
        <v>648000</v>
      </c>
      <c r="IB9">
        <v>150</v>
      </c>
      <c r="IC9">
        <v>234</v>
      </c>
      <c r="ID9">
        <f t="shared" si="1"/>
        <v>4536000</v>
      </c>
      <c r="IE9">
        <f t="shared" si="3"/>
        <v>1050</v>
      </c>
      <c r="IF9">
        <f t="shared" si="2"/>
        <v>1638</v>
      </c>
      <c r="IG9">
        <v>1.33</v>
      </c>
      <c r="IH9">
        <v>248</v>
      </c>
      <c r="II9">
        <v>19.600000000000001</v>
      </c>
      <c r="IJ9">
        <v>21.2</v>
      </c>
      <c r="IK9">
        <v>5.73</v>
      </c>
      <c r="IL9">
        <v>-263</v>
      </c>
      <c r="IM9" s="5">
        <v>-2340</v>
      </c>
      <c r="IN9" s="5">
        <v>-78400</v>
      </c>
      <c r="IO9">
        <v>-948</v>
      </c>
      <c r="IP9">
        <v>-3.89</v>
      </c>
      <c r="IQ9">
        <v>-30.256844827745201</v>
      </c>
      <c r="IR9">
        <v>0.19975313601630801</v>
      </c>
      <c r="IS9">
        <v>37.206798319621001</v>
      </c>
      <c r="IT9">
        <v>14.1081565211718</v>
      </c>
      <c r="IU9">
        <v>5.4688922761313101</v>
      </c>
      <c r="IV9">
        <v>5.1279585837291899</v>
      </c>
      <c r="IW9">
        <v>7.8</v>
      </c>
      <c r="IX9">
        <v>47</v>
      </c>
      <c r="IY9">
        <v>7.23</v>
      </c>
      <c r="IZ9">
        <v>3.08</v>
      </c>
    </row>
    <row r="10" spans="1:260" x14ac:dyDescent="0.3">
      <c r="A10" t="s">
        <v>125</v>
      </c>
      <c r="B10">
        <v>60.8</v>
      </c>
      <c r="C10">
        <v>-1.7399999999999999E-2</v>
      </c>
      <c r="D10">
        <v>0.50600000000000001</v>
      </c>
      <c r="E10">
        <v>2.72</v>
      </c>
      <c r="F10">
        <v>13.5</v>
      </c>
      <c r="G10">
        <v>-1.5100000000000001E-2</v>
      </c>
      <c r="H10">
        <v>51.6</v>
      </c>
      <c r="J10">
        <v>3.3000000000000002E-2</v>
      </c>
      <c r="K10">
        <v>0.51800000000000002</v>
      </c>
      <c r="M10">
        <v>4.9500000000000002E-2</v>
      </c>
      <c r="N10">
        <v>208</v>
      </c>
      <c r="P10" s="5">
        <v>3.3000000000000002E-2</v>
      </c>
      <c r="Q10" s="5">
        <v>0.53300000000000003</v>
      </c>
      <c r="R10">
        <v>5.6000000000000001E-2</v>
      </c>
      <c r="S10" s="5">
        <v>17.8</v>
      </c>
      <c r="T10" s="5">
        <v>2.5299999999999998</v>
      </c>
      <c r="U10">
        <v>3.3000000000000002E-2</v>
      </c>
      <c r="W10">
        <v>134</v>
      </c>
      <c r="X10">
        <v>3.3000000000000002E-2</v>
      </c>
      <c r="Y10" s="5"/>
      <c r="Z10" s="5">
        <v>0.317</v>
      </c>
      <c r="AA10">
        <v>3.3000000000000002E-2</v>
      </c>
      <c r="AB10" s="5"/>
      <c r="AC10" s="5">
        <v>37.9</v>
      </c>
      <c r="AD10">
        <v>4.75</v>
      </c>
      <c r="AE10" s="5">
        <v>18</v>
      </c>
      <c r="AF10" s="5">
        <v>1.3200000000000001E-5</v>
      </c>
      <c r="AG10">
        <v>3.3000000000000002E-2</v>
      </c>
      <c r="AI10">
        <v>0.51800000000000002</v>
      </c>
      <c r="AJ10">
        <v>54.7</v>
      </c>
      <c r="AK10">
        <v>2.9</v>
      </c>
      <c r="AL10">
        <v>1.33</v>
      </c>
      <c r="AM10">
        <v>0.1</v>
      </c>
      <c r="AO10">
        <v>9.9972405554148103E-2</v>
      </c>
      <c r="AP10">
        <v>79.099999999999994</v>
      </c>
      <c r="AQ10">
        <v>5.09</v>
      </c>
      <c r="AR10">
        <v>8.9499999999999993</v>
      </c>
      <c r="AS10">
        <v>2.63</v>
      </c>
      <c r="AT10">
        <v>3.29</v>
      </c>
      <c r="AU10">
        <v>3.7199999999999997E-2</v>
      </c>
      <c r="AV10">
        <v>0.33</v>
      </c>
      <c r="AW10">
        <v>0.10100000000000001</v>
      </c>
      <c r="AX10">
        <v>3.23</v>
      </c>
      <c r="AY10">
        <v>0.69</v>
      </c>
      <c r="AZ10">
        <v>8.8900000000000007E-2</v>
      </c>
      <c r="BA10">
        <v>4.1399999999999999E-2</v>
      </c>
      <c r="BB10">
        <v>5.93</v>
      </c>
      <c r="BC10">
        <v>9.3399999999999993E-3</v>
      </c>
      <c r="BD10">
        <v>2.08</v>
      </c>
      <c r="BE10">
        <v>1.57</v>
      </c>
      <c r="BF10">
        <v>7.0099999999999997E-3</v>
      </c>
      <c r="BG10">
        <v>3.8600000000000002E-2</v>
      </c>
      <c r="BH10">
        <v>16.7</v>
      </c>
      <c r="BI10">
        <v>0.84099999999999997</v>
      </c>
      <c r="BJ10">
        <v>4.48E-2</v>
      </c>
      <c r="BL10">
        <v>3.97</v>
      </c>
      <c r="BM10">
        <v>1.56</v>
      </c>
      <c r="BN10">
        <v>2.0099999999999998</v>
      </c>
      <c r="BO10">
        <v>9.3399999999999993E-3</v>
      </c>
      <c r="BQ10">
        <v>0.71499999999999997</v>
      </c>
      <c r="BR10">
        <v>0.32</v>
      </c>
      <c r="BS10">
        <v>0.13700000000000001</v>
      </c>
      <c r="BT10">
        <v>14.4</v>
      </c>
      <c r="BU10">
        <v>4.0599999999999997E-2</v>
      </c>
      <c r="BW10">
        <v>3.01</v>
      </c>
      <c r="BX10">
        <v>1.1399999999999999</v>
      </c>
      <c r="BY10">
        <v>14.2</v>
      </c>
      <c r="BZ10">
        <v>4.48E-2</v>
      </c>
      <c r="CB10">
        <v>3.59</v>
      </c>
      <c r="CC10">
        <v>0.22900000000000001</v>
      </c>
      <c r="CD10">
        <v>0.36599999999999999</v>
      </c>
      <c r="CE10">
        <v>18.100000000000001</v>
      </c>
      <c r="CF10">
        <v>4.48E-2</v>
      </c>
      <c r="CH10">
        <v>3.93</v>
      </c>
      <c r="CI10">
        <v>0.27500000000000002</v>
      </c>
      <c r="CJ10">
        <v>1.01</v>
      </c>
      <c r="CK10">
        <v>8.1500000000000003E-2</v>
      </c>
      <c r="CL10" s="5">
        <v>3.72</v>
      </c>
      <c r="CM10" s="5">
        <v>6.12</v>
      </c>
      <c r="CN10">
        <v>5.6300000000000003E-2</v>
      </c>
      <c r="CO10" s="5">
        <v>1.6</v>
      </c>
      <c r="CP10">
        <v>1.12113127062106E-2</v>
      </c>
      <c r="CQ10">
        <v>0.26500000000000001</v>
      </c>
      <c r="CR10">
        <v>26.4</v>
      </c>
      <c r="CS10">
        <v>8.4000000000000005E-2</v>
      </c>
      <c r="CT10">
        <v>0.09</v>
      </c>
      <c r="CU10">
        <v>1.22</v>
      </c>
      <c r="CV10">
        <v>0.56499999999999995</v>
      </c>
      <c r="CW10">
        <v>310</v>
      </c>
      <c r="CX10">
        <v>-24.5</v>
      </c>
      <c r="CY10">
        <v>147</v>
      </c>
      <c r="CZ10">
        <v>7.22</v>
      </c>
      <c r="DA10">
        <v>105</v>
      </c>
      <c r="DB10" s="5">
        <v>0.36899999999999999</v>
      </c>
      <c r="DC10" s="5">
        <v>6.4400000000000004E-4</v>
      </c>
      <c r="DD10">
        <v>3.61E-2</v>
      </c>
      <c r="DE10" s="5">
        <v>2.19E-5</v>
      </c>
      <c r="DF10">
        <v>7.91</v>
      </c>
      <c r="DG10">
        <v>0.36599999999999999</v>
      </c>
      <c r="DH10">
        <v>0.21099999999999999</v>
      </c>
      <c r="DI10" s="5">
        <v>428</v>
      </c>
      <c r="DJ10" s="5">
        <v>2.15</v>
      </c>
      <c r="DK10">
        <v>6.09</v>
      </c>
      <c r="DL10" s="5">
        <v>0.433</v>
      </c>
      <c r="DM10">
        <v>0.56000000000000005</v>
      </c>
      <c r="DN10">
        <v>0.47299999999999998</v>
      </c>
      <c r="DO10">
        <v>0.18</v>
      </c>
      <c r="DP10">
        <v>13.1</v>
      </c>
      <c r="DQ10">
        <v>0.159</v>
      </c>
      <c r="DR10" s="5">
        <v>8.9</v>
      </c>
      <c r="DS10" s="5">
        <v>192</v>
      </c>
      <c r="DT10">
        <v>7.4700000000000001E-3</v>
      </c>
      <c r="DU10" s="5">
        <v>8.6800000000000002E-2</v>
      </c>
      <c r="DV10">
        <v>31.4</v>
      </c>
      <c r="DW10">
        <v>0.14599999999999999</v>
      </c>
      <c r="DX10">
        <v>0.47299999999999998</v>
      </c>
      <c r="DY10">
        <v>6.41</v>
      </c>
      <c r="DZ10">
        <v>5.89</v>
      </c>
      <c r="EA10" s="5">
        <v>8.3099999999999997E-3</v>
      </c>
      <c r="EB10" s="5">
        <v>450</v>
      </c>
      <c r="EC10">
        <v>183</v>
      </c>
      <c r="ED10" s="5">
        <v>13.2</v>
      </c>
      <c r="EE10">
        <v>7.01</v>
      </c>
      <c r="EF10">
        <v>0.83199999999999996</v>
      </c>
      <c r="EG10">
        <v>1.42</v>
      </c>
      <c r="EH10">
        <v>0.14000000000000001</v>
      </c>
      <c r="EI10" s="5">
        <v>1520</v>
      </c>
      <c r="EJ10">
        <v>2.75</v>
      </c>
      <c r="EK10">
        <v>16</v>
      </c>
      <c r="EL10">
        <v>3.3000000000000002E-2</v>
      </c>
      <c r="EM10" s="5">
        <v>5.3</v>
      </c>
      <c r="EN10" s="5">
        <v>115</v>
      </c>
      <c r="EO10">
        <v>0.55600000000000005</v>
      </c>
      <c r="EP10" s="5">
        <v>0.49199999999999999</v>
      </c>
      <c r="EQ10">
        <v>0.373</v>
      </c>
      <c r="ER10">
        <v>-4.9000000000000004</v>
      </c>
      <c r="ES10">
        <v>2.46</v>
      </c>
      <c r="ET10">
        <v>466</v>
      </c>
      <c r="EU10" s="5">
        <v>2.39</v>
      </c>
      <c r="EV10" s="5">
        <v>4.2</v>
      </c>
      <c r="EW10" s="5">
        <v>0.219</v>
      </c>
      <c r="EX10" s="5">
        <v>10.3</v>
      </c>
      <c r="EY10" s="5">
        <v>3.65</v>
      </c>
      <c r="EZ10">
        <v>0.27300000000000002</v>
      </c>
      <c r="FB10">
        <v>2.0699999999999998</v>
      </c>
      <c r="FC10">
        <v>163.21413000453501</v>
      </c>
      <c r="FD10" s="5">
        <v>47.226984126155401</v>
      </c>
      <c r="FE10" s="5">
        <v>0.91980822212451996</v>
      </c>
      <c r="FF10" s="5">
        <v>0.43136241655771301</v>
      </c>
      <c r="FG10" s="5">
        <v>2.6056227822941699E-2</v>
      </c>
      <c r="FH10" s="5">
        <v>0.255</v>
      </c>
      <c r="FI10">
        <v>1.34</v>
      </c>
      <c r="FJ10">
        <v>0.497</v>
      </c>
      <c r="FK10">
        <v>4.3200000000000002E-2</v>
      </c>
      <c r="FL10" s="5">
        <v>1.8499999999999999E-2</v>
      </c>
      <c r="FM10">
        <v>1.58</v>
      </c>
      <c r="FN10">
        <v>12.3</v>
      </c>
      <c r="FO10" s="5">
        <v>0.80800000000000005</v>
      </c>
      <c r="FP10" s="5">
        <v>1.7299999999999999E-2</v>
      </c>
      <c r="FQ10" s="5">
        <v>4.9099999999999998E-2</v>
      </c>
      <c r="FR10" s="5">
        <v>2.4500000000000001E-2</v>
      </c>
      <c r="FS10" s="5"/>
      <c r="FT10">
        <v>0.33</v>
      </c>
      <c r="FU10" s="5">
        <v>73.7</v>
      </c>
      <c r="FV10" s="5">
        <v>0.1</v>
      </c>
      <c r="FW10" s="5">
        <v>2.19E-5</v>
      </c>
      <c r="FX10" s="5">
        <v>0.52600000000000002</v>
      </c>
      <c r="FY10" s="5">
        <v>0.32</v>
      </c>
      <c r="FZ10" s="5">
        <v>3.02</v>
      </c>
      <c r="GA10" s="5">
        <v>2.81E-2</v>
      </c>
      <c r="GB10" s="5">
        <v>0.55600000000000005</v>
      </c>
      <c r="GC10" s="5">
        <v>0.64600000000000002</v>
      </c>
      <c r="GD10" s="5">
        <v>9.4800000000000006E-3</v>
      </c>
      <c r="GE10" s="5">
        <v>36.200000000000003</v>
      </c>
      <c r="GF10" s="5">
        <v>4.8899999999999997</v>
      </c>
      <c r="GG10" s="5">
        <v>7.9200000000000007E-2</v>
      </c>
      <c r="GH10" s="5">
        <v>0.85599999999999998</v>
      </c>
      <c r="GI10" s="5">
        <v>0.64600000000000002</v>
      </c>
      <c r="GJ10" s="5">
        <v>9.4800000000000006E-3</v>
      </c>
      <c r="GK10" s="5">
        <v>41.1</v>
      </c>
      <c r="GL10">
        <v>0.27500000000000002</v>
      </c>
      <c r="GM10" s="5">
        <v>26.4</v>
      </c>
      <c r="GN10" s="5">
        <v>11.5</v>
      </c>
      <c r="GO10" s="5">
        <v>0.21199999999999999</v>
      </c>
      <c r="GP10" s="5">
        <v>-2.4500000000000002</v>
      </c>
      <c r="GQ10" s="5">
        <v>1.41</v>
      </c>
      <c r="GR10" s="5">
        <v>2.9621453497525398E-2</v>
      </c>
      <c r="GS10" s="5">
        <v>185.157030917866</v>
      </c>
      <c r="GT10" s="5">
        <v>70.662652460401702</v>
      </c>
      <c r="GU10" s="5">
        <v>0.349378008908106</v>
      </c>
      <c r="GV10" s="5">
        <v>7.4742084708070797E-2</v>
      </c>
      <c r="GW10" s="5">
        <v>0.16900000000000001</v>
      </c>
      <c r="GX10">
        <v>5.13</v>
      </c>
      <c r="GY10">
        <v>0.56000000000000005</v>
      </c>
      <c r="GZ10">
        <v>8.1100000000000005E-2</v>
      </c>
      <c r="HA10" s="5">
        <v>1.8499999999999999E-2</v>
      </c>
      <c r="HB10">
        <v>2.98</v>
      </c>
      <c r="HC10" s="5">
        <v>54.6</v>
      </c>
      <c r="HD10" s="5">
        <v>0.247</v>
      </c>
      <c r="HE10" s="5">
        <v>1.01E-3</v>
      </c>
      <c r="HF10" s="5">
        <v>6.7599999999999993E-2</v>
      </c>
      <c r="HG10" s="5">
        <v>0.56299999999999994</v>
      </c>
      <c r="HH10" s="5">
        <v>57.9</v>
      </c>
      <c r="HI10" s="5">
        <v>14.6</v>
      </c>
      <c r="HJ10" s="5">
        <v>0.21199999999999999</v>
      </c>
      <c r="HK10" s="5">
        <v>0.255</v>
      </c>
      <c r="HL10" s="5">
        <v>4.0500000000000001E-2</v>
      </c>
      <c r="HM10" s="5">
        <v>1.06</v>
      </c>
      <c r="HN10" s="5">
        <v>2.8</v>
      </c>
      <c r="HO10" s="5">
        <v>1.11E-2</v>
      </c>
      <c r="HP10" s="5">
        <v>7.0099999999999997E-3</v>
      </c>
      <c r="HQ10" s="5">
        <v>4.5199999999999997E-2</v>
      </c>
      <c r="HR10" s="5">
        <v>3.31</v>
      </c>
      <c r="HS10" s="5">
        <v>2.2100000000000002E-2</v>
      </c>
      <c r="HT10" s="5">
        <v>7.0099999999999997E-3</v>
      </c>
      <c r="HU10" s="5">
        <v>4.9399999999999999E-2</v>
      </c>
      <c r="HV10" s="5">
        <v>0.28299999999999997</v>
      </c>
      <c r="HW10" s="5">
        <v>7.0099999999999997E-3</v>
      </c>
      <c r="HX10" s="5">
        <v>2.69E-2</v>
      </c>
      <c r="HY10">
        <v>134</v>
      </c>
      <c r="HZ10">
        <v>187</v>
      </c>
      <c r="IA10" s="5">
        <v>633000</v>
      </c>
      <c r="IB10">
        <v>1.08</v>
      </c>
      <c r="ID10">
        <f t="shared" si="1"/>
        <v>4431000</v>
      </c>
      <c r="IE10">
        <f t="shared" si="3"/>
        <v>7.5600000000000005</v>
      </c>
      <c r="IF10">
        <f t="shared" si="2"/>
        <v>0</v>
      </c>
      <c r="IG10">
        <v>1.24</v>
      </c>
      <c r="IH10">
        <v>7.46</v>
      </c>
      <c r="II10">
        <v>15.1</v>
      </c>
      <c r="IJ10">
        <v>6.28</v>
      </c>
      <c r="IK10">
        <v>5.37</v>
      </c>
      <c r="IL10">
        <v>-165</v>
      </c>
      <c r="IM10" s="5">
        <v>-1640</v>
      </c>
      <c r="IN10">
        <v>-21.3</v>
      </c>
      <c r="IO10">
        <v>-235</v>
      </c>
      <c r="IP10">
        <v>-1.91</v>
      </c>
      <c r="IQ10">
        <v>-16.101654990217298</v>
      </c>
      <c r="IR10">
        <v>0.18566865904160401</v>
      </c>
      <c r="IS10">
        <v>1.11954831281353</v>
      </c>
      <c r="IT10">
        <v>10.889769285887001</v>
      </c>
      <c r="IU10">
        <v>1.6209044745585399</v>
      </c>
      <c r="IV10">
        <v>4.8062972297832198</v>
      </c>
      <c r="IW10">
        <v>4.7300000000000004</v>
      </c>
      <c r="IX10">
        <v>28.5</v>
      </c>
      <c r="IY10">
        <v>4.32</v>
      </c>
      <c r="IZ10">
        <v>1.61</v>
      </c>
    </row>
    <row r="11" spans="1:260" x14ac:dyDescent="0.3">
      <c r="A11" t="s">
        <v>126</v>
      </c>
      <c r="B11" s="5">
        <v>113</v>
      </c>
      <c r="C11">
        <v>-0.20599999999999999</v>
      </c>
      <c r="D11">
        <v>1.04E-2</v>
      </c>
      <c r="E11">
        <v>0.81100000000000005</v>
      </c>
      <c r="F11">
        <v>1.1000000000000001</v>
      </c>
      <c r="G11">
        <v>-0.189</v>
      </c>
      <c r="H11">
        <v>0.82</v>
      </c>
      <c r="I11" s="5"/>
      <c r="J11">
        <v>-0.51500000000000001</v>
      </c>
      <c r="K11">
        <v>1.0699999999999999E-2</v>
      </c>
      <c r="M11">
        <v>-0.77300000000000002</v>
      </c>
      <c r="N11">
        <v>3.3</v>
      </c>
      <c r="O11" s="5"/>
      <c r="P11" s="5">
        <v>-0.51500000000000001</v>
      </c>
      <c r="Q11" s="5">
        <v>1.0999999999999999E-2</v>
      </c>
      <c r="R11" s="5">
        <v>-0.34300000000000003</v>
      </c>
      <c r="S11" s="5">
        <v>0.69099999999999995</v>
      </c>
      <c r="T11" s="5">
        <v>5.21E-2</v>
      </c>
      <c r="U11">
        <v>-0.51500000000000001</v>
      </c>
      <c r="W11">
        <v>2.13</v>
      </c>
      <c r="X11" s="5">
        <v>-0.51500000000000001</v>
      </c>
      <c r="Y11" s="5"/>
      <c r="Z11" s="5">
        <v>6.5100000000000002E-3</v>
      </c>
      <c r="AA11" s="5">
        <v>-0.51500000000000001</v>
      </c>
      <c r="AB11" s="5"/>
      <c r="AC11" s="5">
        <v>0.60199999999999998</v>
      </c>
      <c r="AD11" s="5">
        <v>1.68</v>
      </c>
      <c r="AE11" s="5">
        <v>348</v>
      </c>
      <c r="AF11" s="5">
        <v>-2.0599999999999999E-4</v>
      </c>
      <c r="AG11">
        <v>-0.51500000000000001</v>
      </c>
      <c r="AI11">
        <v>1.0699999999999999E-2</v>
      </c>
      <c r="AJ11">
        <v>355</v>
      </c>
      <c r="AK11">
        <v>18.8</v>
      </c>
      <c r="AL11">
        <v>0.307</v>
      </c>
      <c r="AM11">
        <v>2.3199999999999998E-2</v>
      </c>
      <c r="AO11">
        <v>3.5363160922436798E-2</v>
      </c>
      <c r="AP11">
        <v>34.299999999999997</v>
      </c>
      <c r="AQ11">
        <v>1.94</v>
      </c>
      <c r="AR11">
        <v>3.51</v>
      </c>
      <c r="AS11">
        <v>0.93</v>
      </c>
      <c r="AT11">
        <v>1.27</v>
      </c>
      <c r="AU11">
        <v>1.79</v>
      </c>
      <c r="AV11">
        <v>0.155</v>
      </c>
      <c r="AW11">
        <v>-5.7700000000000001E-2</v>
      </c>
      <c r="AX11">
        <v>6.6400000000000001E-2</v>
      </c>
      <c r="AY11">
        <v>0.26700000000000002</v>
      </c>
      <c r="AZ11">
        <v>3.1399999999999997E-2</v>
      </c>
      <c r="BA11">
        <v>14.8</v>
      </c>
      <c r="BB11">
        <v>0.53400000000000003</v>
      </c>
      <c r="BC11">
        <v>-5.7200000000000001E-2</v>
      </c>
      <c r="BD11">
        <v>4.2700000000000002E-2</v>
      </c>
      <c r="BE11">
        <v>4.0300000000000002E-2</v>
      </c>
      <c r="BF11">
        <v>-4.2900000000000001E-2</v>
      </c>
      <c r="BG11">
        <v>7.94E-4</v>
      </c>
      <c r="BH11">
        <v>70.099999999999994</v>
      </c>
      <c r="BI11">
        <v>2.1600000000000001E-2</v>
      </c>
      <c r="BJ11">
        <v>-0.27400000000000002</v>
      </c>
      <c r="BL11">
        <v>8.1600000000000006E-2</v>
      </c>
      <c r="BM11">
        <v>1.29</v>
      </c>
      <c r="BN11">
        <v>8.43</v>
      </c>
      <c r="BO11">
        <v>-5.7200000000000001E-2</v>
      </c>
      <c r="BQ11">
        <v>1.47E-2</v>
      </c>
      <c r="BR11">
        <v>0.26500000000000001</v>
      </c>
      <c r="BS11">
        <v>0.114</v>
      </c>
      <c r="BT11">
        <v>60.7</v>
      </c>
      <c r="BU11">
        <v>-0.249</v>
      </c>
      <c r="BW11">
        <v>6.1899999999999997E-2</v>
      </c>
      <c r="BX11">
        <v>0.94699999999999995</v>
      </c>
      <c r="BY11">
        <v>59.5</v>
      </c>
      <c r="BZ11">
        <v>-0.27400000000000002</v>
      </c>
      <c r="CB11">
        <v>7.3700000000000002E-2</v>
      </c>
      <c r="CC11">
        <v>0.189</v>
      </c>
      <c r="CD11">
        <v>0.30299999999999999</v>
      </c>
      <c r="CE11">
        <v>76.099999999999994</v>
      </c>
      <c r="CF11">
        <v>-0.27400000000000002</v>
      </c>
      <c r="CH11">
        <v>8.0799999999999997E-2</v>
      </c>
      <c r="CI11">
        <v>0.22700000000000001</v>
      </c>
      <c r="CJ11">
        <v>0.83399999999999996</v>
      </c>
      <c r="CK11">
        <v>2.8799999999999999E-2</v>
      </c>
      <c r="CL11">
        <v>1.72</v>
      </c>
      <c r="CM11" s="5">
        <v>2.4</v>
      </c>
      <c r="CN11">
        <v>1.9900000000000001E-2</v>
      </c>
      <c r="CO11" s="5">
        <v>6.2E-2</v>
      </c>
      <c r="CP11">
        <v>0.53790777744185903</v>
      </c>
      <c r="CQ11">
        <v>1.1200000000000001</v>
      </c>
      <c r="CR11">
        <v>0.67800000000000005</v>
      </c>
      <c r="CS11">
        <v>1.63</v>
      </c>
      <c r="CT11">
        <v>-5.1200000000000002E-2</v>
      </c>
      <c r="CU11">
        <v>2.5100000000000001E-2</v>
      </c>
      <c r="CV11">
        <v>0.35499999999999998</v>
      </c>
      <c r="CW11">
        <v>309</v>
      </c>
      <c r="CX11">
        <v>-35.1</v>
      </c>
      <c r="CY11">
        <v>8.11</v>
      </c>
      <c r="CZ11">
        <v>0.14799999999999999</v>
      </c>
      <c r="DA11">
        <v>40.4</v>
      </c>
      <c r="DB11">
        <v>0.13100000000000001</v>
      </c>
      <c r="DC11" s="5">
        <v>3.1E-2</v>
      </c>
      <c r="DD11">
        <v>0.69899999999999995</v>
      </c>
      <c r="DE11" s="5">
        <v>-1.24E-5</v>
      </c>
      <c r="DF11">
        <v>0.16300000000000001</v>
      </c>
      <c r="DG11">
        <v>0.30299999999999999</v>
      </c>
      <c r="DH11">
        <v>7.4700000000000003E-2</v>
      </c>
      <c r="DI11">
        <v>193</v>
      </c>
      <c r="DJ11" s="5">
        <v>0.76</v>
      </c>
      <c r="DK11">
        <v>2.38</v>
      </c>
      <c r="DL11" s="5">
        <v>0.20300000000000001</v>
      </c>
      <c r="DM11">
        <v>10.9</v>
      </c>
      <c r="DN11">
        <v>-0.26900000000000002</v>
      </c>
      <c r="DO11">
        <v>3.39E-2</v>
      </c>
      <c r="DP11">
        <v>0.27</v>
      </c>
      <c r="DQ11">
        <v>5.6399999999999999E-2</v>
      </c>
      <c r="DR11">
        <v>0.22900000000000001</v>
      </c>
      <c r="DS11" s="5">
        <v>74</v>
      </c>
      <c r="DT11">
        <v>0.35899999999999999</v>
      </c>
      <c r="DU11" s="5">
        <v>4.0800000000000003E-2</v>
      </c>
      <c r="DV11">
        <v>0.80900000000000005</v>
      </c>
      <c r="DW11">
        <v>2.82</v>
      </c>
      <c r="DX11">
        <v>-0.26900000000000002</v>
      </c>
      <c r="DY11">
        <v>0.13200000000000001</v>
      </c>
      <c r="DZ11">
        <v>1.47</v>
      </c>
      <c r="EA11">
        <v>2.0699999999999998E-3</v>
      </c>
      <c r="EB11" s="5">
        <v>170</v>
      </c>
      <c r="EC11">
        <v>68.900000000000006</v>
      </c>
      <c r="ED11" s="5">
        <v>4.87</v>
      </c>
      <c r="EE11">
        <v>1.75</v>
      </c>
      <c r="EF11">
        <v>0.373</v>
      </c>
      <c r="EG11">
        <v>21.7</v>
      </c>
      <c r="EH11">
        <v>-0.85799999999999998</v>
      </c>
      <c r="EI11">
        <v>24.1</v>
      </c>
      <c r="EJ11">
        <v>2.27</v>
      </c>
      <c r="EK11">
        <v>7.19</v>
      </c>
      <c r="EL11">
        <v>2.0799999999999999E-2</v>
      </c>
      <c r="EM11">
        <v>1.88</v>
      </c>
      <c r="EN11" s="5">
        <v>49.8</v>
      </c>
      <c r="EO11">
        <v>7.5700000000000003E-2</v>
      </c>
      <c r="EP11" s="5">
        <v>0.23100000000000001</v>
      </c>
      <c r="EQ11">
        <v>7.23</v>
      </c>
      <c r="ER11">
        <v>-6.98</v>
      </c>
      <c r="ES11">
        <v>5.0599999999999999E-2</v>
      </c>
      <c r="ET11">
        <v>198</v>
      </c>
      <c r="EU11" s="5">
        <v>0.93700000000000006</v>
      </c>
      <c r="EV11" s="5">
        <v>1.48</v>
      </c>
      <c r="EW11">
        <v>0.10299999999999999</v>
      </c>
      <c r="EX11" s="5">
        <v>0.26500000000000001</v>
      </c>
      <c r="EY11" s="5">
        <v>70.8</v>
      </c>
      <c r="EZ11">
        <v>-0.04</v>
      </c>
      <c r="FB11">
        <v>4.2599999999999999E-2</v>
      </c>
      <c r="FC11">
        <v>75.4522268534067</v>
      </c>
      <c r="FD11" s="5">
        <v>19.2576063938026</v>
      </c>
      <c r="FE11" s="5">
        <v>0.35538538987000001</v>
      </c>
      <c r="FF11">
        <v>0.15258549064681101</v>
      </c>
      <c r="FG11" s="5">
        <v>1.2542237050003699</v>
      </c>
      <c r="FH11" s="5">
        <v>0.12</v>
      </c>
      <c r="FI11">
        <v>3.4500000000000003E-2</v>
      </c>
      <c r="FJ11">
        <v>9.6300000000000008</v>
      </c>
      <c r="FK11">
        <v>-2.46E-2</v>
      </c>
      <c r="FL11">
        <v>9.7300000000000008E-3</v>
      </c>
      <c r="FM11">
        <v>3.2599999999999997E-2</v>
      </c>
      <c r="FN11">
        <v>4.7699999999999996</v>
      </c>
      <c r="FO11" s="5">
        <v>0.312</v>
      </c>
      <c r="FP11" s="5">
        <v>8.3700000000000007E-3</v>
      </c>
      <c r="FQ11">
        <v>0.95</v>
      </c>
      <c r="FR11" s="5">
        <v>-0.15</v>
      </c>
      <c r="FS11" s="5"/>
      <c r="FT11">
        <v>6.79E-3</v>
      </c>
      <c r="FU11" s="5">
        <v>13.8</v>
      </c>
      <c r="FV11" s="5">
        <v>3.5499999999999997E-2</v>
      </c>
      <c r="FW11" s="5">
        <v>-1.24E-5</v>
      </c>
      <c r="FX11">
        <v>1.0800000000000001E-2</v>
      </c>
      <c r="FY11" s="5">
        <v>0.26500000000000001</v>
      </c>
      <c r="FZ11" s="5">
        <v>1.1200000000000001</v>
      </c>
      <c r="GA11" s="5">
        <v>1.0500000000000001E-2</v>
      </c>
      <c r="GB11" s="5">
        <v>2.1600000000000001E-2</v>
      </c>
      <c r="GC11">
        <v>2.72</v>
      </c>
      <c r="GD11" s="5">
        <v>-7.62E-3</v>
      </c>
      <c r="GE11" s="5">
        <v>0.57799999999999996</v>
      </c>
      <c r="GF11" s="5">
        <v>1.81</v>
      </c>
      <c r="GG11" s="5">
        <v>1.9800000000000002E-2</v>
      </c>
      <c r="GH11" s="5">
        <v>3.32E-2</v>
      </c>
      <c r="GI11">
        <v>2.72</v>
      </c>
      <c r="GJ11" s="5">
        <v>-7.62E-3</v>
      </c>
      <c r="GK11" s="5">
        <v>0.65500000000000003</v>
      </c>
      <c r="GL11">
        <v>0.22700000000000001</v>
      </c>
      <c r="GM11" s="5">
        <v>10.3</v>
      </c>
      <c r="GN11" s="5">
        <v>5.68</v>
      </c>
      <c r="GO11" s="5">
        <v>7.51E-2</v>
      </c>
      <c r="GP11">
        <v>-3.53</v>
      </c>
      <c r="GQ11" s="5">
        <v>2.9000000000000001E-2</v>
      </c>
      <c r="GR11" s="5">
        <v>1.04779736066479E-2</v>
      </c>
      <c r="GS11" s="5">
        <v>96.385026839656803</v>
      </c>
      <c r="GT11" s="5">
        <v>27.3267485690494</v>
      </c>
      <c r="GU11">
        <v>0.123585210171681</v>
      </c>
      <c r="GV11" s="5">
        <v>3.5860518496123901</v>
      </c>
      <c r="GW11" s="5">
        <v>7.9500000000000001E-2</v>
      </c>
      <c r="GX11">
        <v>0.13200000000000001</v>
      </c>
      <c r="GY11">
        <v>10.9</v>
      </c>
      <c r="GZ11">
        <v>-4.6100000000000002E-2</v>
      </c>
      <c r="HA11">
        <v>9.7300000000000008E-3</v>
      </c>
      <c r="HB11">
        <v>6.1199999999999997E-2</v>
      </c>
      <c r="HC11" s="5">
        <v>21.4</v>
      </c>
      <c r="HD11" s="5">
        <v>8.7300000000000003E-2</v>
      </c>
      <c r="HE11" s="5">
        <v>4.8800000000000003E-2</v>
      </c>
      <c r="HF11">
        <v>-3.8399999999999997E-2</v>
      </c>
      <c r="HG11" s="5">
        <v>1.1599999999999999E-2</v>
      </c>
      <c r="HH11" s="5">
        <v>28.2</v>
      </c>
      <c r="HI11" s="5">
        <v>5.64</v>
      </c>
      <c r="HJ11" s="5">
        <v>7.51E-2</v>
      </c>
      <c r="HK11">
        <v>0.12</v>
      </c>
      <c r="HL11" s="5">
        <v>-2.3099999999999999E-2</v>
      </c>
      <c r="HM11" s="5">
        <v>2.1899999999999999E-2</v>
      </c>
      <c r="HN11" s="5">
        <v>1.1000000000000001</v>
      </c>
      <c r="HO11" s="5">
        <v>3.9300000000000003E-3</v>
      </c>
      <c r="HP11" s="5">
        <v>-4.2900000000000001E-2</v>
      </c>
      <c r="HQ11">
        <v>9.2900000000000003E-4</v>
      </c>
      <c r="HR11" s="5">
        <v>1.3</v>
      </c>
      <c r="HS11" s="5">
        <v>7.8600000000000007E-3</v>
      </c>
      <c r="HT11" s="5">
        <v>-4.2900000000000001E-2</v>
      </c>
      <c r="HU11">
        <v>1.01E-3</v>
      </c>
      <c r="HV11" s="5">
        <v>0.111</v>
      </c>
      <c r="HW11" s="5">
        <v>-4.2900000000000001E-2</v>
      </c>
      <c r="HX11" s="5">
        <v>5.5199999999999997E-4</v>
      </c>
      <c r="HY11">
        <v>-32.1</v>
      </c>
      <c r="HZ11">
        <v>3.85</v>
      </c>
      <c r="IA11" s="5">
        <v>10100</v>
      </c>
      <c r="ID11">
        <f t="shared" si="1"/>
        <v>70700</v>
      </c>
      <c r="IE11">
        <f t="shared" si="3"/>
        <v>0</v>
      </c>
      <c r="IF11">
        <f t="shared" si="2"/>
        <v>0</v>
      </c>
      <c r="IG11">
        <v>8.3900000000000002E-2</v>
      </c>
      <c r="IH11">
        <v>241</v>
      </c>
      <c r="II11">
        <v>4.37</v>
      </c>
      <c r="IJ11">
        <v>2.64</v>
      </c>
      <c r="IK11">
        <v>0.158</v>
      </c>
      <c r="IL11">
        <v>-96.8</v>
      </c>
      <c r="IM11">
        <v>-618</v>
      </c>
      <c r="IN11" s="5">
        <v>-39.4</v>
      </c>
      <c r="IO11">
        <v>-359</v>
      </c>
      <c r="IP11">
        <v>-1.99</v>
      </c>
      <c r="IQ11">
        <v>-16.770035010922602</v>
      </c>
      <c r="IR11">
        <v>1.25795640246781E-2</v>
      </c>
      <c r="IS11">
        <v>36.078176207884702</v>
      </c>
      <c r="IT11">
        <v>3.1420102310590101</v>
      </c>
      <c r="IU11">
        <v>0.682253242383842</v>
      </c>
      <c r="IV11">
        <v>0.141545575252217</v>
      </c>
      <c r="IW11">
        <v>3.03</v>
      </c>
      <c r="IX11">
        <v>18.3</v>
      </c>
      <c r="IY11">
        <v>2.88</v>
      </c>
      <c r="IZ11">
        <v>1.46</v>
      </c>
    </row>
    <row r="12" spans="1:260" x14ac:dyDescent="0.3">
      <c r="A12" t="s">
        <v>127</v>
      </c>
      <c r="B12">
        <v>0.81</v>
      </c>
      <c r="C12">
        <v>4.5399999999999998E-3</v>
      </c>
      <c r="D12">
        <v>6.2300000000000003E-3</v>
      </c>
      <c r="E12">
        <v>1.9099999999999999E-2</v>
      </c>
      <c r="F12">
        <v>0.153</v>
      </c>
      <c r="G12">
        <v>4.1900000000000001E-3</v>
      </c>
      <c r="H12">
        <v>0.41899999999999998</v>
      </c>
      <c r="J12">
        <v>1.3100000000000001E-2</v>
      </c>
      <c r="K12">
        <v>6.3800000000000003E-3</v>
      </c>
      <c r="M12">
        <v>1.9699999999999999E-2</v>
      </c>
      <c r="N12">
        <v>1.69</v>
      </c>
      <c r="P12" s="5">
        <v>1.3100000000000001E-2</v>
      </c>
      <c r="Q12" s="5">
        <v>6.5700000000000003E-3</v>
      </c>
      <c r="R12">
        <v>9.5600000000000008E-3</v>
      </c>
      <c r="S12" s="5">
        <v>0.33300000000000002</v>
      </c>
      <c r="T12" s="5">
        <v>3.1199999999999999E-2</v>
      </c>
      <c r="U12">
        <v>1.3100000000000001E-2</v>
      </c>
      <c r="W12">
        <v>1.0900000000000001</v>
      </c>
      <c r="X12">
        <v>1.3100000000000001E-2</v>
      </c>
      <c r="Y12" s="5"/>
      <c r="Z12" s="5">
        <v>3.8999999999999998E-3</v>
      </c>
      <c r="AA12">
        <v>1.3100000000000001E-2</v>
      </c>
      <c r="AB12" s="5"/>
      <c r="AC12" s="5">
        <v>0.308</v>
      </c>
      <c r="AD12">
        <v>3.3099999999999997E-2</v>
      </c>
      <c r="AE12" s="5">
        <v>581</v>
      </c>
      <c r="AF12" s="5">
        <v>5.2599999999999996E-6</v>
      </c>
      <c r="AG12">
        <v>1.3100000000000001E-2</v>
      </c>
      <c r="AI12">
        <v>6.3800000000000003E-3</v>
      </c>
      <c r="AJ12">
        <v>0.41799999999999998</v>
      </c>
      <c r="AK12">
        <v>2.2200000000000001E-2</v>
      </c>
      <c r="AL12">
        <v>3.5499999999999997E-2</v>
      </c>
      <c r="AM12">
        <v>2.6800000000000001E-3</v>
      </c>
      <c r="AO12">
        <v>6.9634583791861298E-4</v>
      </c>
      <c r="AP12">
        <v>3.6</v>
      </c>
      <c r="AQ12">
        <v>0.24299999999999999</v>
      </c>
      <c r="AR12">
        <v>0.436</v>
      </c>
      <c r="AS12">
        <v>1.83E-2</v>
      </c>
      <c r="AT12">
        <v>0.159</v>
      </c>
      <c r="AU12">
        <v>0.01</v>
      </c>
      <c r="AV12">
        <v>1.7899999999999999E-3</v>
      </c>
      <c r="AW12">
        <v>1.5299999999999999E-3</v>
      </c>
      <c r="AX12">
        <v>3.9800000000000002E-2</v>
      </c>
      <c r="AY12">
        <v>3.32E-2</v>
      </c>
      <c r="AZ12">
        <v>6.1899999999999998E-4</v>
      </c>
      <c r="BA12">
        <v>7.8100000000000003E-2</v>
      </c>
      <c r="BB12">
        <v>0.04</v>
      </c>
      <c r="BC12">
        <v>1.5900000000000001E-3</v>
      </c>
      <c r="BD12">
        <v>2.5600000000000001E-2</v>
      </c>
      <c r="BE12">
        <v>1.67E-2</v>
      </c>
      <c r="BF12">
        <v>1.1900000000000001E-3</v>
      </c>
      <c r="BG12">
        <v>4.7600000000000002E-4</v>
      </c>
      <c r="BH12">
        <v>0.112</v>
      </c>
      <c r="BI12">
        <v>8.9499999999999996E-3</v>
      </c>
      <c r="BJ12">
        <v>7.6400000000000001E-3</v>
      </c>
      <c r="BL12">
        <v>4.8899999999999999E-2</v>
      </c>
      <c r="BM12">
        <v>1.6299999999999999E-2</v>
      </c>
      <c r="BN12">
        <v>1.34E-2</v>
      </c>
      <c r="BO12">
        <v>1.5900000000000001E-3</v>
      </c>
      <c r="BQ12">
        <v>8.8000000000000005E-3</v>
      </c>
      <c r="BR12">
        <v>3.3600000000000001E-3</v>
      </c>
      <c r="BS12">
        <v>1.4400000000000001E-3</v>
      </c>
      <c r="BT12">
        <v>9.6699999999999994E-2</v>
      </c>
      <c r="BU12">
        <v>6.9300000000000004E-3</v>
      </c>
      <c r="BW12">
        <v>3.7100000000000001E-2</v>
      </c>
      <c r="BX12">
        <v>1.2E-2</v>
      </c>
      <c r="BY12">
        <v>9.4799999999999995E-2</v>
      </c>
      <c r="BZ12">
        <v>7.6400000000000001E-3</v>
      </c>
      <c r="CB12">
        <v>4.4200000000000003E-2</v>
      </c>
      <c r="CC12">
        <v>2.3999999999999998E-3</v>
      </c>
      <c r="CD12">
        <v>3.8400000000000001E-3</v>
      </c>
      <c r="CE12">
        <v>0.121</v>
      </c>
      <c r="CF12">
        <v>7.6400000000000001E-3</v>
      </c>
      <c r="CH12">
        <v>4.8399999999999999E-2</v>
      </c>
      <c r="CI12">
        <v>2.8800000000000002E-3</v>
      </c>
      <c r="CJ12">
        <v>1.06E-2</v>
      </c>
      <c r="CK12">
        <v>5.6700000000000001E-4</v>
      </c>
      <c r="CL12">
        <v>0.16300000000000001</v>
      </c>
      <c r="CM12">
        <v>0.29799999999999999</v>
      </c>
      <c r="CN12">
        <v>3.9199999999999999E-4</v>
      </c>
      <c r="CO12" s="5">
        <v>2.98E-2</v>
      </c>
      <c r="CP12">
        <v>3.00128595688616E-3</v>
      </c>
      <c r="CQ12">
        <v>1.7799999999999999E-3</v>
      </c>
      <c r="CR12">
        <v>0.28100000000000003</v>
      </c>
      <c r="CS12">
        <v>2.72</v>
      </c>
      <c r="CT12">
        <v>1.3600000000000001E-3</v>
      </c>
      <c r="CU12">
        <v>1.4999999999999999E-2</v>
      </c>
      <c r="CV12">
        <v>5.5700000000000003E-3</v>
      </c>
      <c r="CW12">
        <v>2.71</v>
      </c>
      <c r="CX12">
        <v>-0.19600000000000001</v>
      </c>
      <c r="CY12">
        <v>0.187</v>
      </c>
      <c r="CZ12">
        <v>8.8999999999999996E-2</v>
      </c>
      <c r="DA12">
        <v>5.0199999999999996</v>
      </c>
      <c r="DB12">
        <v>2.5699999999999998E-3</v>
      </c>
      <c r="DC12">
        <v>1.73E-4</v>
      </c>
      <c r="DD12">
        <v>1.17</v>
      </c>
      <c r="DE12" s="5">
        <v>3.3000000000000002E-7</v>
      </c>
      <c r="DF12">
        <v>9.7500000000000003E-2</v>
      </c>
      <c r="DG12">
        <v>3.8400000000000001E-3</v>
      </c>
      <c r="DH12">
        <v>1.47E-3</v>
      </c>
      <c r="DI12">
        <v>19</v>
      </c>
      <c r="DJ12">
        <v>1.4999999999999999E-2</v>
      </c>
      <c r="DK12">
        <v>0.29699999999999999</v>
      </c>
      <c r="DL12" s="5">
        <v>2.3400000000000001E-3</v>
      </c>
      <c r="DM12">
        <v>18.100000000000001</v>
      </c>
      <c r="DN12">
        <v>7.1500000000000001E-3</v>
      </c>
      <c r="DO12">
        <v>1.3500000000000001E-3</v>
      </c>
      <c r="DP12">
        <v>0.16200000000000001</v>
      </c>
      <c r="DQ12">
        <v>1.1100000000000001E-3</v>
      </c>
      <c r="DR12">
        <v>9.4799999999999995E-2</v>
      </c>
      <c r="DS12">
        <v>9.24</v>
      </c>
      <c r="DT12">
        <v>2E-3</v>
      </c>
      <c r="DU12" s="5">
        <v>4.6900000000000002E-4</v>
      </c>
      <c r="DV12">
        <v>0.33500000000000002</v>
      </c>
      <c r="DW12">
        <v>4.71</v>
      </c>
      <c r="DX12">
        <v>7.1500000000000001E-3</v>
      </c>
      <c r="DY12">
        <v>7.9000000000000001E-2</v>
      </c>
      <c r="DZ12">
        <v>6.3200000000000006E-2</v>
      </c>
      <c r="EA12" s="5">
        <v>8.92E-5</v>
      </c>
      <c r="EB12">
        <v>19.7</v>
      </c>
      <c r="EC12">
        <v>8.2200000000000006</v>
      </c>
      <c r="ED12" s="5">
        <v>0.63300000000000001</v>
      </c>
      <c r="EE12">
        <v>7.5200000000000003E-2</v>
      </c>
      <c r="EF12">
        <v>4.5300000000000002E-3</v>
      </c>
      <c r="EG12">
        <v>36.700000000000003</v>
      </c>
      <c r="EH12">
        <v>2.3900000000000001E-2</v>
      </c>
      <c r="EI12">
        <v>12.3</v>
      </c>
      <c r="EJ12">
        <v>2.8799999999999999E-2</v>
      </c>
      <c r="EK12">
        <v>8.7300000000000003E-2</v>
      </c>
      <c r="EL12">
        <v>3.2600000000000001E-4</v>
      </c>
      <c r="EM12" s="5">
        <v>3.6900000000000002E-2</v>
      </c>
      <c r="EN12">
        <v>5.23</v>
      </c>
      <c r="EO12">
        <v>3.0500000000000002E-3</v>
      </c>
      <c r="EP12" s="5">
        <v>2.66E-3</v>
      </c>
      <c r="EQ12">
        <v>12.1</v>
      </c>
      <c r="ER12">
        <v>-0.04</v>
      </c>
      <c r="ES12">
        <v>3.0300000000000001E-2</v>
      </c>
      <c r="ET12">
        <v>21.5</v>
      </c>
      <c r="EU12" s="5">
        <v>0.114</v>
      </c>
      <c r="EV12">
        <v>2.92E-2</v>
      </c>
      <c r="EW12">
        <v>1.1800000000000001E-3</v>
      </c>
      <c r="EX12" s="5">
        <v>0.11</v>
      </c>
      <c r="EY12">
        <v>118</v>
      </c>
      <c r="EZ12">
        <v>2.31E-3</v>
      </c>
      <c r="FB12">
        <v>2.5499999999999998E-2</v>
      </c>
      <c r="FC12">
        <v>7.1523969297168097</v>
      </c>
      <c r="FD12" s="5">
        <v>2.21991405448582</v>
      </c>
      <c r="FE12">
        <v>4.4384811685894802E-2</v>
      </c>
      <c r="FF12">
        <v>3.0046033376858699E-3</v>
      </c>
      <c r="FG12" s="5">
        <v>7.0025697096556799E-3</v>
      </c>
      <c r="FH12">
        <v>1.3799999999999999E-3</v>
      </c>
      <c r="FI12">
        <v>1.43E-2</v>
      </c>
      <c r="FJ12">
        <v>16.100000000000001</v>
      </c>
      <c r="FK12">
        <v>6.5399999999999996E-4</v>
      </c>
      <c r="FL12" s="5">
        <v>9.8900000000000005E-5</v>
      </c>
      <c r="FM12">
        <v>1.95E-2</v>
      </c>
      <c r="FN12">
        <v>0.59499999999999997</v>
      </c>
      <c r="FO12" s="5">
        <v>3.9E-2</v>
      </c>
      <c r="FP12" s="5">
        <v>-2.23E-5</v>
      </c>
      <c r="FQ12">
        <v>1.58</v>
      </c>
      <c r="FR12" s="5">
        <v>4.1700000000000001E-3</v>
      </c>
      <c r="FT12">
        <v>4.0699999999999998E-3</v>
      </c>
      <c r="FU12">
        <v>1.71</v>
      </c>
      <c r="FV12" s="5">
        <v>6.9899999999999997E-4</v>
      </c>
      <c r="FW12" s="5">
        <v>3.3000000000000002E-7</v>
      </c>
      <c r="FX12">
        <v>6.4700000000000001E-3</v>
      </c>
      <c r="FY12" s="5">
        <v>3.3600000000000001E-3</v>
      </c>
      <c r="FZ12">
        <v>0.14499999999999999</v>
      </c>
      <c r="GA12" s="5">
        <v>1.3500000000000001E-3</v>
      </c>
      <c r="GB12" s="5">
        <v>1.04E-2</v>
      </c>
      <c r="GC12">
        <v>4.3299999999999996E-3</v>
      </c>
      <c r="GD12" s="5">
        <v>1.8100000000000001E-4</v>
      </c>
      <c r="GE12">
        <v>0.29599999999999999</v>
      </c>
      <c r="GF12">
        <v>0.23499999999999999</v>
      </c>
      <c r="GG12" s="5">
        <v>8.4500000000000005E-4</v>
      </c>
      <c r="GH12" s="5">
        <v>1.6E-2</v>
      </c>
      <c r="GI12">
        <v>4.3299999999999996E-3</v>
      </c>
      <c r="GJ12" s="5">
        <v>1.8100000000000001E-4</v>
      </c>
      <c r="GK12">
        <v>0.33600000000000002</v>
      </c>
      <c r="GL12">
        <v>2.8800000000000002E-3</v>
      </c>
      <c r="GM12">
        <v>1.28</v>
      </c>
      <c r="GN12" s="5">
        <v>0.46400000000000002</v>
      </c>
      <c r="GO12" s="5">
        <v>1.48E-3</v>
      </c>
      <c r="GP12">
        <v>-1.9199999999999998E-2</v>
      </c>
      <c r="GQ12" s="5">
        <v>1.7399999999999999E-2</v>
      </c>
      <c r="GR12">
        <v>2.06324692716626E-4</v>
      </c>
      <c r="GS12" s="5">
        <v>7.4841315717100603</v>
      </c>
      <c r="GT12" s="5">
        <v>3.39469635596955</v>
      </c>
      <c r="GU12">
        <v>2.4335507484780899E-3</v>
      </c>
      <c r="GV12" s="5">
        <v>2.00085730459077E-2</v>
      </c>
      <c r="GW12">
        <v>9.1500000000000001E-4</v>
      </c>
      <c r="GX12">
        <v>5.4699999999999999E-2</v>
      </c>
      <c r="GY12">
        <v>18.100000000000001</v>
      </c>
      <c r="GZ12">
        <v>1.23E-3</v>
      </c>
      <c r="HA12" s="5">
        <v>9.8900000000000005E-5</v>
      </c>
      <c r="HB12">
        <v>3.6700000000000003E-2</v>
      </c>
      <c r="HC12">
        <v>2.66</v>
      </c>
      <c r="HD12" s="5">
        <v>1.72E-3</v>
      </c>
      <c r="HE12" s="5">
        <v>2.7300000000000002E-4</v>
      </c>
      <c r="HF12">
        <v>1.0200000000000001E-3</v>
      </c>
      <c r="HG12" s="5">
        <v>6.94E-3</v>
      </c>
      <c r="HH12">
        <v>2.46</v>
      </c>
      <c r="HI12" s="5">
        <v>0.70199999999999996</v>
      </c>
      <c r="HJ12" s="5">
        <v>1.48E-3</v>
      </c>
      <c r="HK12">
        <v>1.3799999999999999E-3</v>
      </c>
      <c r="HL12" s="5">
        <v>6.1300000000000005E-4</v>
      </c>
      <c r="HM12">
        <v>1.3100000000000001E-2</v>
      </c>
      <c r="HN12">
        <v>0.13600000000000001</v>
      </c>
      <c r="HO12" s="5">
        <v>7.7399999999999998E-5</v>
      </c>
      <c r="HP12" s="5">
        <v>1.1900000000000001E-3</v>
      </c>
      <c r="HQ12">
        <v>5.5699999999999999E-4</v>
      </c>
      <c r="HR12">
        <v>0.161</v>
      </c>
      <c r="HS12" s="5">
        <v>1.5200000000000001E-4</v>
      </c>
      <c r="HT12" s="5">
        <v>1.1900000000000001E-3</v>
      </c>
      <c r="HU12">
        <v>6.0800000000000003E-4</v>
      </c>
      <c r="HV12">
        <v>1.38E-2</v>
      </c>
      <c r="HW12" s="5">
        <v>1.1900000000000001E-3</v>
      </c>
      <c r="HX12" s="5">
        <v>3.3100000000000002E-4</v>
      </c>
      <c r="HY12">
        <v>1.38</v>
      </c>
      <c r="HZ12">
        <v>2.31</v>
      </c>
      <c r="IA12" s="5">
        <v>4990</v>
      </c>
      <c r="IB12">
        <v>149</v>
      </c>
      <c r="ID12">
        <f t="shared" si="1"/>
        <v>34930</v>
      </c>
      <c r="IE12">
        <f t="shared" si="3"/>
        <v>1043</v>
      </c>
      <c r="IF12">
        <f t="shared" si="2"/>
        <v>0</v>
      </c>
      <c r="IG12">
        <v>0.01</v>
      </c>
      <c r="IH12">
        <v>6.0499999999999998E-2</v>
      </c>
      <c r="II12">
        <v>0.106</v>
      </c>
      <c r="IJ12">
        <v>12.3</v>
      </c>
      <c r="IK12">
        <v>0.20100000000000001</v>
      </c>
      <c r="IL12">
        <v>-1.01</v>
      </c>
      <c r="IM12">
        <v>-79.5</v>
      </c>
      <c r="IN12">
        <v>-0.28899999999999998</v>
      </c>
      <c r="IO12">
        <v>-349</v>
      </c>
      <c r="IP12">
        <v>2.41E-2</v>
      </c>
      <c r="IQ12">
        <v>2.61484517339467</v>
      </c>
      <c r="IR12">
        <v>1.5049129500262701E-3</v>
      </c>
      <c r="IS12">
        <v>9.0737989227282993E-3</v>
      </c>
      <c r="IT12">
        <v>7.6377004225814199E-2</v>
      </c>
      <c r="IU12">
        <v>3.1657345591889299</v>
      </c>
      <c r="IV12">
        <v>0.180115778693755</v>
      </c>
      <c r="IW12">
        <v>3.1099999999999999E-2</v>
      </c>
      <c r="IX12">
        <v>0.187</v>
      </c>
      <c r="IY12">
        <v>2.7799999999999998E-2</v>
      </c>
      <c r="IZ12">
        <v>8.9999999999999993E-3</v>
      </c>
    </row>
    <row r="13" spans="1:260" x14ac:dyDescent="0.3">
      <c r="A13" t="s">
        <v>128</v>
      </c>
      <c r="B13" s="5">
        <v>3.1199999999999999E-5</v>
      </c>
      <c r="C13" s="5">
        <v>3.3299999999999998E-7</v>
      </c>
      <c r="D13" s="5">
        <v>1.5699999999999999E-7</v>
      </c>
      <c r="E13">
        <v>8.7899999999999997E-7</v>
      </c>
      <c r="F13">
        <v>2.0499999999999999E-6</v>
      </c>
      <c r="G13">
        <v>3.2600000000000001E-6</v>
      </c>
      <c r="H13">
        <v>8.6899999999999996E-7</v>
      </c>
      <c r="I13" s="5">
        <v>0.60499999999999998</v>
      </c>
      <c r="J13" s="5">
        <v>2.6699999999999998E-4</v>
      </c>
      <c r="K13" s="5">
        <v>1.61E-7</v>
      </c>
      <c r="L13">
        <v>0.22</v>
      </c>
      <c r="M13">
        <v>4.0000000000000002E-4</v>
      </c>
      <c r="N13">
        <v>3.4999999999999999E-6</v>
      </c>
      <c r="O13" s="5">
        <v>0.11899999999999999</v>
      </c>
      <c r="P13" s="5">
        <v>2.6699999999999998E-4</v>
      </c>
      <c r="Q13" s="5">
        <v>1.6500000000000001E-7</v>
      </c>
      <c r="R13" s="5">
        <v>2.9599999999999998E-4</v>
      </c>
      <c r="S13" s="5">
        <v>4.4100000000000001E-5</v>
      </c>
      <c r="T13" s="5">
        <v>7.8700000000000005E-7</v>
      </c>
      <c r="U13">
        <v>2.6699999999999998E-4</v>
      </c>
      <c r="V13">
        <v>2.7900000000000001E-2</v>
      </c>
      <c r="W13">
        <v>2.26E-6</v>
      </c>
      <c r="X13" s="5">
        <v>2.6699999999999998E-4</v>
      </c>
      <c r="Y13" s="5">
        <v>9.3100000000000002E-2</v>
      </c>
      <c r="Z13" s="5">
        <v>9.83E-8</v>
      </c>
      <c r="AA13" s="5">
        <v>2.6699999999999998E-4</v>
      </c>
      <c r="AB13" s="5">
        <v>6.1000000000000004E-3</v>
      </c>
      <c r="AC13" s="5">
        <v>6.3900000000000004E-7</v>
      </c>
      <c r="AD13" s="5">
        <v>1.57E-6</v>
      </c>
      <c r="AE13" s="5">
        <v>3.21E-4</v>
      </c>
      <c r="AF13" s="5">
        <v>1.0700000000000001E-7</v>
      </c>
      <c r="AG13">
        <v>2.6699999999999998E-4</v>
      </c>
      <c r="AH13">
        <v>1.21</v>
      </c>
      <c r="AI13" s="5">
        <v>1.61E-7</v>
      </c>
      <c r="AJ13" s="5">
        <v>3.5899999999999998E-5</v>
      </c>
      <c r="AK13" s="5">
        <v>1.9E-6</v>
      </c>
      <c r="AL13" s="5">
        <v>5.5499999999999998E-7</v>
      </c>
      <c r="AM13" s="5">
        <v>4.1899999999999998E-8</v>
      </c>
      <c r="AN13" s="5">
        <v>3.1200000000000002E-6</v>
      </c>
      <c r="AO13" s="5">
        <v>3.3006802744199397E-8</v>
      </c>
      <c r="AP13">
        <v>1.07E-4</v>
      </c>
      <c r="AQ13" s="5">
        <v>7.8700000000000005E-7</v>
      </c>
      <c r="AR13" s="5">
        <v>1.35E-6</v>
      </c>
      <c r="AS13" s="5">
        <v>8.6799999999999999E-7</v>
      </c>
      <c r="AT13" s="5">
        <v>5.1099999999999996E-7</v>
      </c>
      <c r="AU13" s="5">
        <v>2.21E-6</v>
      </c>
      <c r="AV13" s="5">
        <v>1.05E-7</v>
      </c>
      <c r="AW13" s="5">
        <v>1.5999999999999999E-6</v>
      </c>
      <c r="AX13" s="5">
        <v>9.9999999999999995E-7</v>
      </c>
      <c r="AY13" s="5">
        <v>1.04E-7</v>
      </c>
      <c r="AZ13" s="5">
        <v>2.9300000000000001E-8</v>
      </c>
      <c r="BA13" s="5">
        <v>5.1300000000000003E-8</v>
      </c>
      <c r="BB13" s="5">
        <v>1.04E-5</v>
      </c>
      <c r="BC13" s="5">
        <v>5.4799999999999997E-5</v>
      </c>
      <c r="BD13" s="5">
        <v>6.4499999999999997E-7</v>
      </c>
      <c r="BE13" s="5">
        <v>8.0499999999999992E-6</v>
      </c>
      <c r="BF13" s="5">
        <v>4.1100000000000003E-5</v>
      </c>
      <c r="BG13" s="5">
        <v>1.2E-8</v>
      </c>
      <c r="BH13" s="5">
        <v>2.4700000000000001E-5</v>
      </c>
      <c r="BI13" s="5">
        <v>4.3100000000000002E-6</v>
      </c>
      <c r="BJ13" s="5">
        <v>2.63E-4</v>
      </c>
      <c r="BK13" s="5">
        <v>1.7600000000000001E-3</v>
      </c>
      <c r="BL13" s="5">
        <v>1.2300000000000001E-6</v>
      </c>
      <c r="BM13" s="5">
        <v>6.1099999999999995E-7</v>
      </c>
      <c r="BN13" s="5">
        <v>2.9699999999999999E-6</v>
      </c>
      <c r="BO13" s="5">
        <v>5.4799999999999997E-5</v>
      </c>
      <c r="BP13" s="5">
        <v>1.0399999999999999E-3</v>
      </c>
      <c r="BQ13" s="5">
        <v>2.22E-7</v>
      </c>
      <c r="BR13" s="5">
        <v>1.2599999999999999E-7</v>
      </c>
      <c r="BS13" s="5">
        <v>5.39E-8</v>
      </c>
      <c r="BT13" s="5">
        <v>2.1399999999999998E-5</v>
      </c>
      <c r="BU13" s="5">
        <v>2.3900000000000001E-4</v>
      </c>
      <c r="BV13" s="5">
        <v>2.2799999999999999E-3</v>
      </c>
      <c r="BW13" s="5">
        <v>9.3399999999999997E-7</v>
      </c>
      <c r="BX13" s="5">
        <v>4.4999999999999998E-7</v>
      </c>
      <c r="BY13" s="5">
        <v>2.0999999999999999E-5</v>
      </c>
      <c r="BZ13" s="5">
        <v>2.63E-4</v>
      </c>
      <c r="CA13" s="5">
        <v>4.2399999999999998E-3</v>
      </c>
      <c r="CB13" s="5">
        <v>1.11E-6</v>
      </c>
      <c r="CC13" s="5">
        <v>8.9900000000000004E-8</v>
      </c>
      <c r="CD13" s="5">
        <v>1.4399999999999999E-7</v>
      </c>
      <c r="CE13" s="5">
        <v>2.6800000000000001E-5</v>
      </c>
      <c r="CF13" s="5">
        <v>2.63E-4</v>
      </c>
      <c r="CG13" s="5">
        <v>4.1200000000000004E-3</v>
      </c>
      <c r="CH13" s="5">
        <v>1.22E-6</v>
      </c>
      <c r="CI13" s="5">
        <v>1.08E-7</v>
      </c>
      <c r="CJ13" s="5">
        <v>3.96E-7</v>
      </c>
      <c r="CK13" s="5">
        <v>2.6899999999999999E-8</v>
      </c>
      <c r="CL13" s="5">
        <v>5.4099999999999999E-6</v>
      </c>
      <c r="CM13" s="5">
        <v>9.2299999999999999E-7</v>
      </c>
      <c r="CN13" s="5">
        <v>1.8600000000000001E-8</v>
      </c>
      <c r="CO13" s="5">
        <v>3.9500000000000003E-6</v>
      </c>
      <c r="CP13" s="5">
        <v>6.6317929169344799E-7</v>
      </c>
      <c r="CQ13" s="5">
        <v>3.9299999999999999E-7</v>
      </c>
      <c r="CR13" s="5">
        <v>1.35E-4</v>
      </c>
      <c r="CS13" s="5">
        <v>1.5E-6</v>
      </c>
      <c r="CT13" s="5">
        <v>1.42E-6</v>
      </c>
      <c r="CU13" s="5">
        <v>3.7899999999999999E-7</v>
      </c>
      <c r="CV13" s="5">
        <v>2.5499999999999999E-7</v>
      </c>
      <c r="CW13" s="5">
        <v>1.4499999999999999E-3</v>
      </c>
      <c r="CX13" s="5">
        <v>3.2299999999999998E-3</v>
      </c>
      <c r="CY13" s="5">
        <v>9.0299999999999999E-5</v>
      </c>
      <c r="CZ13" s="5">
        <v>2.2400000000000002E-6</v>
      </c>
      <c r="DA13" s="5">
        <v>1.5699999999999999E-5</v>
      </c>
      <c r="DB13" s="5">
        <v>1.2200000000000001E-7</v>
      </c>
      <c r="DC13" s="5">
        <v>3.8199999999999998E-8</v>
      </c>
      <c r="DD13" s="5">
        <v>6.44E-7</v>
      </c>
      <c r="DE13" s="5">
        <v>3.4599999999999999E-10</v>
      </c>
      <c r="DF13" s="5">
        <v>2.4600000000000002E-6</v>
      </c>
      <c r="DG13" s="5">
        <v>1.4399999999999999E-7</v>
      </c>
      <c r="DH13" s="5">
        <v>6.9699999999999995E-8</v>
      </c>
      <c r="DI13" s="5">
        <v>5.8900000000000001E-4</v>
      </c>
      <c r="DJ13" s="5">
        <v>7.0900000000000001E-7</v>
      </c>
      <c r="DK13" s="5">
        <v>9.1399999999999995E-7</v>
      </c>
      <c r="DL13" s="5">
        <v>1.37E-7</v>
      </c>
      <c r="DM13" s="5">
        <v>9.9899999999999992E-6</v>
      </c>
      <c r="DN13" s="5">
        <v>7.4599999999999997E-6</v>
      </c>
      <c r="DO13" s="5">
        <v>2.29E-8</v>
      </c>
      <c r="DP13" s="5">
        <v>4.07E-6</v>
      </c>
      <c r="DQ13" s="5">
        <v>5.2700000000000002E-8</v>
      </c>
      <c r="DR13" s="5">
        <v>4.57E-5</v>
      </c>
      <c r="DS13" s="5">
        <v>1.7100000000000001E-4</v>
      </c>
      <c r="DT13" s="5">
        <v>4.4200000000000001E-7</v>
      </c>
      <c r="DU13" s="5">
        <v>2.7500000000000001E-8</v>
      </c>
      <c r="DV13" s="5">
        <v>1.6100000000000001E-4</v>
      </c>
      <c r="DW13" s="5">
        <v>2.6000000000000001E-6</v>
      </c>
      <c r="DX13" s="5">
        <v>7.4599999999999997E-6</v>
      </c>
      <c r="DY13" s="5">
        <v>1.99E-6</v>
      </c>
      <c r="DZ13" s="5">
        <v>6.0000000000000002E-6</v>
      </c>
      <c r="EA13" s="5">
        <v>8.4700000000000007E-9</v>
      </c>
      <c r="EB13" s="5">
        <v>4.9299999999999995E-4</v>
      </c>
      <c r="EC13" s="5">
        <v>2.8299999999999999E-4</v>
      </c>
      <c r="ED13" s="5">
        <v>2.2699999999999999E-6</v>
      </c>
      <c r="EE13" s="5">
        <v>7.1400000000000002E-6</v>
      </c>
      <c r="EF13" s="5">
        <v>2.7799999999999997E-7</v>
      </c>
      <c r="EG13" s="5">
        <v>2.0699999999999998E-5</v>
      </c>
      <c r="EH13" s="5">
        <v>7.3999999999999999E-4</v>
      </c>
      <c r="EI13" s="5">
        <v>2.5599999999999999E-5</v>
      </c>
      <c r="EJ13" s="5">
        <v>1.08E-6</v>
      </c>
      <c r="EK13" s="5">
        <v>5.3499999999999996E-6</v>
      </c>
      <c r="EL13" s="5">
        <v>1.4899999999999999E-8</v>
      </c>
      <c r="EM13" s="5">
        <v>1.75E-6</v>
      </c>
      <c r="EN13" s="5">
        <v>8.9900000000000003E-5</v>
      </c>
      <c r="EO13" s="5">
        <v>1.3899999999999999E-7</v>
      </c>
      <c r="EP13" s="5">
        <v>1.5599999999999999E-7</v>
      </c>
      <c r="EQ13" s="5">
        <v>6.6599999999999998E-6</v>
      </c>
      <c r="ER13" s="5">
        <v>6.3900000000000003E-4</v>
      </c>
      <c r="ES13" s="5">
        <v>7.6499999999999998E-7</v>
      </c>
      <c r="ET13" s="5">
        <v>2.7799999999999998E-4</v>
      </c>
      <c r="EU13" s="5">
        <v>1.9799999999999999E-4</v>
      </c>
      <c r="EV13" s="5">
        <v>1.39E-6</v>
      </c>
      <c r="EW13" s="5">
        <v>6.9300000000000005E-8</v>
      </c>
      <c r="EX13" s="5">
        <v>5.2899999999999998E-5</v>
      </c>
      <c r="EY13" s="5">
        <v>6.5199999999999999E-5</v>
      </c>
      <c r="EZ13" s="5">
        <v>3.0100000000000001E-7</v>
      </c>
      <c r="FA13" s="5">
        <v>1.15E-5</v>
      </c>
      <c r="FB13" s="5">
        <v>6.4300000000000003E-7</v>
      </c>
      <c r="FC13" s="5">
        <v>1.2948738269665799E-4</v>
      </c>
      <c r="FD13" s="5">
        <v>2.6137721756401899E-5</v>
      </c>
      <c r="FE13" s="5">
        <v>1.4286995101958501E-7</v>
      </c>
      <c r="FF13" s="5">
        <v>1.4241824147034199E-7</v>
      </c>
      <c r="FG13" s="5">
        <v>1.54733790368423E-6</v>
      </c>
      <c r="FH13" s="5">
        <v>8.0900000000000003E-8</v>
      </c>
      <c r="FI13" s="5">
        <v>6.8800000000000002E-6</v>
      </c>
      <c r="FJ13" s="5">
        <v>8.8699999999999998E-6</v>
      </c>
      <c r="FK13" s="5">
        <v>6.8199999999999999E-7</v>
      </c>
      <c r="FL13" s="5">
        <v>1E-8</v>
      </c>
      <c r="FM13" s="5">
        <v>4.9200000000000001E-7</v>
      </c>
      <c r="FN13" s="5">
        <v>1.9199999999999998E-6</v>
      </c>
      <c r="FO13" s="5">
        <v>1.2599999999999999E-7</v>
      </c>
      <c r="FP13" s="5">
        <v>5.9099999999999997E-9</v>
      </c>
      <c r="FQ13" s="5">
        <v>8.7400000000000002E-7</v>
      </c>
      <c r="FR13" s="5">
        <v>1.84E-4</v>
      </c>
      <c r="FS13" s="5">
        <v>1.0399999999999999E-3</v>
      </c>
      <c r="FT13" s="5">
        <v>1.03E-7</v>
      </c>
      <c r="FU13" s="5">
        <v>8.7399999999999993E-6</v>
      </c>
      <c r="FV13" s="5">
        <v>3.3099999999999999E-8</v>
      </c>
      <c r="FW13" s="5">
        <v>3.4599999999999999E-10</v>
      </c>
      <c r="FX13" s="5">
        <v>1.6299999999999999E-7</v>
      </c>
      <c r="FY13" s="5">
        <v>1.2599999999999999E-7</v>
      </c>
      <c r="FZ13" s="5">
        <v>5.2E-7</v>
      </c>
      <c r="GA13" s="5">
        <v>4.73E-9</v>
      </c>
      <c r="GB13" s="5">
        <v>1.3799999999999999E-6</v>
      </c>
      <c r="GC13" s="5">
        <v>9.569999999999999E-7</v>
      </c>
      <c r="GD13" s="5">
        <v>4.1399999999999997E-7</v>
      </c>
      <c r="GE13" s="5">
        <v>7.7400000000000002E-7</v>
      </c>
      <c r="GF13" s="5">
        <v>8.4099999999999997E-7</v>
      </c>
      <c r="GG13" s="5">
        <v>8.0900000000000003E-8</v>
      </c>
      <c r="GH13" s="5">
        <v>2.12E-6</v>
      </c>
      <c r="GI13" s="5">
        <v>9.569999999999999E-7</v>
      </c>
      <c r="GJ13" s="5">
        <v>4.1399999999999997E-7</v>
      </c>
      <c r="GK13" s="5">
        <v>8.5600000000000004E-7</v>
      </c>
      <c r="GL13" s="5">
        <v>1.08E-7</v>
      </c>
      <c r="GM13" s="5">
        <v>3.98E-6</v>
      </c>
      <c r="GN13" s="5">
        <v>1.31E-6</v>
      </c>
      <c r="GO13" s="5">
        <v>7.0099999999999999E-8</v>
      </c>
      <c r="GP13" s="5">
        <v>3.2200000000000002E-4</v>
      </c>
      <c r="GQ13" s="5">
        <v>4.3799999999999998E-7</v>
      </c>
      <c r="GR13" s="5">
        <v>9.7797934056887006E-9</v>
      </c>
      <c r="GS13" s="5">
        <v>1.3328807114396199E-4</v>
      </c>
      <c r="GT13" s="5">
        <v>1.0600109242548E-5</v>
      </c>
      <c r="GU13" s="5">
        <v>1.15350340519164E-7</v>
      </c>
      <c r="GV13" s="5">
        <v>4.4211952779563204E-6</v>
      </c>
      <c r="GW13" s="5">
        <v>5.3599999999999997E-8</v>
      </c>
      <c r="GX13" s="5">
        <v>2.6400000000000001E-5</v>
      </c>
      <c r="GY13" s="5">
        <v>9.9899999999999992E-6</v>
      </c>
      <c r="GZ13" s="5">
        <v>1.28E-6</v>
      </c>
      <c r="HA13" s="5">
        <v>1E-8</v>
      </c>
      <c r="HB13" s="5">
        <v>9.2500000000000004E-7</v>
      </c>
      <c r="HC13" s="5">
        <v>8.2400000000000007E-6</v>
      </c>
      <c r="HD13" s="5">
        <v>8.1499999999999995E-8</v>
      </c>
      <c r="HE13" s="5">
        <v>6.0199999999999996E-8</v>
      </c>
      <c r="HF13" s="5">
        <v>1.06E-6</v>
      </c>
      <c r="HG13" s="5">
        <v>1.7499999999999999E-7</v>
      </c>
      <c r="HH13" s="5">
        <v>1.5300000000000001E-4</v>
      </c>
      <c r="HI13" s="5">
        <v>2.1799999999999999E-6</v>
      </c>
      <c r="HJ13" s="5">
        <v>7.0099999999999999E-8</v>
      </c>
      <c r="HK13" s="5">
        <v>8.0900000000000003E-8</v>
      </c>
      <c r="HL13" s="5">
        <v>6.4000000000000001E-7</v>
      </c>
      <c r="HM13" s="5">
        <v>3.3099999999999999E-7</v>
      </c>
      <c r="HN13" s="5">
        <v>4.2300000000000002E-7</v>
      </c>
      <c r="HO13" s="5">
        <v>3.6699999999999999E-9</v>
      </c>
      <c r="HP13" s="5">
        <v>4.1100000000000003E-5</v>
      </c>
      <c r="HQ13" s="5">
        <v>1.4E-8</v>
      </c>
      <c r="HR13" s="5">
        <v>4.9999999999999998E-7</v>
      </c>
      <c r="HS13" s="5">
        <v>7.2699999999999999E-9</v>
      </c>
      <c r="HT13" s="5">
        <v>4.1100000000000003E-5</v>
      </c>
      <c r="HU13" s="5">
        <v>1.5300000000000001E-8</v>
      </c>
      <c r="HV13" s="5">
        <v>4.2699999999999999E-8</v>
      </c>
      <c r="HW13" s="5">
        <v>4.1100000000000003E-5</v>
      </c>
      <c r="HX13" s="5">
        <v>8.3400000000000006E-9</v>
      </c>
      <c r="HY13" s="5">
        <v>3.13E-3</v>
      </c>
      <c r="HZ13" s="5">
        <v>5.8100000000000003E-5</v>
      </c>
      <c r="IA13" s="5">
        <v>1.0699999999999999E-2</v>
      </c>
      <c r="IB13" s="5"/>
      <c r="IC13">
        <v>9.9000000000000008E-3</v>
      </c>
      <c r="ID13">
        <f t="shared" si="1"/>
        <v>7.4899999999999994E-2</v>
      </c>
      <c r="IE13">
        <f t="shared" si="3"/>
        <v>0</v>
      </c>
      <c r="IF13">
        <f t="shared" si="2"/>
        <v>6.93E-2</v>
      </c>
      <c r="IG13" s="5">
        <v>2.9299999999999999E-7</v>
      </c>
      <c r="IH13" s="5">
        <v>1.77E-6</v>
      </c>
      <c r="II13" s="5">
        <v>5.5099999999999998E-6</v>
      </c>
      <c r="IJ13">
        <v>2.8299999999999999E-4</v>
      </c>
      <c r="IK13" s="5">
        <v>3.1600000000000002E-5</v>
      </c>
      <c r="IL13" s="5">
        <v>-5.1999999999999997E-5</v>
      </c>
      <c r="IM13">
        <v>-2.5099999999999998E-4</v>
      </c>
      <c r="IN13">
        <v>-0.79800000000000004</v>
      </c>
      <c r="IO13">
        <v>-9.8400000000000007E-4</v>
      </c>
      <c r="IP13" s="5">
        <v>-1.46E-6</v>
      </c>
      <c r="IQ13" s="5">
        <v>-1.1989596681276601E-5</v>
      </c>
      <c r="IR13" s="5">
        <v>4.3912703592367799E-8</v>
      </c>
      <c r="IS13" s="5">
        <v>2.6486541008831201E-7</v>
      </c>
      <c r="IT13" s="5">
        <v>3.9671371059203097E-6</v>
      </c>
      <c r="IU13" s="5">
        <v>7.2898974932050596E-5</v>
      </c>
      <c r="IV13" s="5">
        <v>2.8310657018564301E-5</v>
      </c>
      <c r="IW13" s="5">
        <v>2.3E-6</v>
      </c>
      <c r="IX13" s="5">
        <v>1.3900000000000001E-5</v>
      </c>
      <c r="IY13" s="5">
        <v>2.1799999999999999E-6</v>
      </c>
      <c r="IZ13" s="5">
        <v>1.2899999999999999E-6</v>
      </c>
    </row>
    <row r="14" spans="1:260" x14ac:dyDescent="0.3">
      <c r="A14" t="s">
        <v>129</v>
      </c>
      <c r="B14">
        <v>7.8799999999999999E-3</v>
      </c>
      <c r="C14">
        <v>1.2999999999999999E-4</v>
      </c>
      <c r="D14">
        <v>1.55E-4</v>
      </c>
      <c r="E14">
        <v>1.2999999999999999E-3</v>
      </c>
      <c r="F14">
        <v>1.09E-3</v>
      </c>
      <c r="G14">
        <v>1.27E-4</v>
      </c>
      <c r="H14">
        <v>9.7099999999999999E-3</v>
      </c>
      <c r="I14">
        <v>0.49399999999999999</v>
      </c>
      <c r="J14">
        <v>9.7199999999999999E-4</v>
      </c>
      <c r="K14">
        <v>1.5799999999999999E-4</v>
      </c>
      <c r="L14">
        <v>0.73199999999999998</v>
      </c>
      <c r="M14">
        <v>1.4599999999999999E-3</v>
      </c>
      <c r="N14">
        <v>3.9100000000000003E-2</v>
      </c>
      <c r="O14">
        <v>0.25800000000000001</v>
      </c>
      <c r="P14" s="5">
        <v>9.7199999999999999E-4</v>
      </c>
      <c r="Q14" s="5">
        <v>1.63E-4</v>
      </c>
      <c r="R14" s="5">
        <v>9.3499999999999996E-4</v>
      </c>
      <c r="S14" s="5">
        <v>3.6900000000000001E-3</v>
      </c>
      <c r="T14" s="5">
        <v>7.7499999999999997E-4</v>
      </c>
      <c r="U14">
        <v>9.7199999999999999E-4</v>
      </c>
      <c r="V14">
        <v>2.3400000000000001E-2</v>
      </c>
      <c r="W14">
        <v>2.52E-2</v>
      </c>
      <c r="X14" s="5">
        <v>9.7199999999999999E-4</v>
      </c>
      <c r="Y14" s="5">
        <v>7.4899999999999994E-2</v>
      </c>
      <c r="Z14" s="5">
        <v>9.6899999999999997E-5</v>
      </c>
      <c r="AA14" s="5">
        <v>9.7199999999999999E-4</v>
      </c>
      <c r="AB14" s="5">
        <v>6.9899999999999997E-3</v>
      </c>
      <c r="AC14" s="5">
        <v>7.1300000000000001E-3</v>
      </c>
      <c r="AD14" s="5">
        <v>2.31E-3</v>
      </c>
      <c r="AE14" s="5">
        <v>6.6800000000000002E-3</v>
      </c>
      <c r="AF14" s="5">
        <v>3.89E-7</v>
      </c>
      <c r="AG14">
        <v>9.7199999999999999E-4</v>
      </c>
      <c r="AH14">
        <v>0.98799999999999999</v>
      </c>
      <c r="AI14">
        <v>1.5799999999999999E-4</v>
      </c>
      <c r="AJ14">
        <v>7.3099999999999997E-3</v>
      </c>
      <c r="AK14">
        <v>3.88E-4</v>
      </c>
      <c r="AL14">
        <v>4.1799999999999997E-3</v>
      </c>
      <c r="AM14">
        <v>3.1500000000000001E-4</v>
      </c>
      <c r="AN14" s="5">
        <v>4.1200000000000004E-6</v>
      </c>
      <c r="AO14" s="5">
        <v>4.8478515049825698E-5</v>
      </c>
      <c r="AP14">
        <v>1.9900000000000001E-2</v>
      </c>
      <c r="AQ14">
        <v>1.07E-3</v>
      </c>
      <c r="AR14">
        <v>2.0300000000000001E-3</v>
      </c>
      <c r="AS14">
        <v>1.2700000000000001E-3</v>
      </c>
      <c r="AT14">
        <v>6.9999999999999999E-4</v>
      </c>
      <c r="AU14" s="5">
        <v>4.7700000000000001E-5</v>
      </c>
      <c r="AV14" s="5">
        <v>9.0000000000000006E-5</v>
      </c>
      <c r="AW14" s="5">
        <v>3.9799999999999998E-5</v>
      </c>
      <c r="AX14">
        <v>9.8700000000000003E-4</v>
      </c>
      <c r="AY14">
        <v>1.54E-4</v>
      </c>
      <c r="AZ14" s="5">
        <v>4.3099999999999997E-5</v>
      </c>
      <c r="BA14" s="5">
        <v>1.2300000000000001E-5</v>
      </c>
      <c r="BB14">
        <v>3.0499999999999999E-4</v>
      </c>
      <c r="BC14">
        <v>1.55E-4</v>
      </c>
      <c r="BD14">
        <v>6.3599999999999996E-4</v>
      </c>
      <c r="BE14">
        <v>1.03E-4</v>
      </c>
      <c r="BF14">
        <v>1.16E-4</v>
      </c>
      <c r="BG14" s="5">
        <v>1.1800000000000001E-5</v>
      </c>
      <c r="BH14">
        <v>2.4499999999999999E-3</v>
      </c>
      <c r="BI14" s="5">
        <v>5.5000000000000002E-5</v>
      </c>
      <c r="BJ14" s="5">
        <v>7.4299999999999995E-4</v>
      </c>
      <c r="BK14">
        <v>3.5099999999999999E-2</v>
      </c>
      <c r="BL14">
        <v>1.2099999999999999E-3</v>
      </c>
      <c r="BM14">
        <v>1.45E-4</v>
      </c>
      <c r="BN14">
        <v>2.9399999999999999E-4</v>
      </c>
      <c r="BO14" s="5">
        <v>1.55E-4</v>
      </c>
      <c r="BP14" s="5">
        <v>2.0799999999999999E-2</v>
      </c>
      <c r="BQ14">
        <v>2.1800000000000001E-4</v>
      </c>
      <c r="BR14" s="5">
        <v>2.9799999999999999E-5</v>
      </c>
      <c r="BS14" s="5">
        <v>1.2799999999999999E-5</v>
      </c>
      <c r="BT14">
        <v>2.1199999999999999E-3</v>
      </c>
      <c r="BU14" s="5">
        <v>6.7299999999999999E-4</v>
      </c>
      <c r="BV14" s="5">
        <v>4.5499999999999999E-2</v>
      </c>
      <c r="BW14">
        <v>9.2000000000000003E-4</v>
      </c>
      <c r="BX14" s="5">
        <v>1.06E-4</v>
      </c>
      <c r="BY14">
        <v>2.0799999999999998E-3</v>
      </c>
      <c r="BZ14" s="5">
        <v>7.4299999999999995E-4</v>
      </c>
      <c r="CA14" s="5">
        <v>8.4599999999999995E-2</v>
      </c>
      <c r="CB14">
        <v>1.1000000000000001E-3</v>
      </c>
      <c r="CC14" s="5">
        <v>2.1299999999999999E-5</v>
      </c>
      <c r="CD14" s="5">
        <v>3.4E-5</v>
      </c>
      <c r="CE14">
        <v>2.66E-3</v>
      </c>
      <c r="CF14" s="5">
        <v>7.4299999999999995E-4</v>
      </c>
      <c r="CG14" s="5">
        <v>8.2299999999999998E-2</v>
      </c>
      <c r="CH14">
        <v>1.1999999999999999E-3</v>
      </c>
      <c r="CI14" s="5">
        <v>2.55E-5</v>
      </c>
      <c r="CJ14" s="5">
        <v>9.3599999999999998E-5</v>
      </c>
      <c r="CK14" s="5">
        <v>3.9499999999999998E-5</v>
      </c>
      <c r="CL14" s="5">
        <v>9.8400000000000007E-4</v>
      </c>
      <c r="CM14" s="5">
        <v>1.39E-3</v>
      </c>
      <c r="CN14" s="5">
        <v>2.73E-5</v>
      </c>
      <c r="CO14" s="5">
        <v>3.3100000000000002E-4</v>
      </c>
      <c r="CP14" s="5">
        <v>1.414636728252E-5</v>
      </c>
      <c r="CQ14" s="5">
        <v>3.8899999999999997E-5</v>
      </c>
      <c r="CR14" s="5">
        <v>1.73E-3</v>
      </c>
      <c r="CS14" s="5">
        <v>3.1199999999999999E-5</v>
      </c>
      <c r="CT14" s="5">
        <v>3.5299999999999997E-5</v>
      </c>
      <c r="CU14">
        <v>3.7300000000000001E-4</v>
      </c>
      <c r="CV14">
        <v>3.77E-4</v>
      </c>
      <c r="CW14" s="5">
        <v>1.67E-2</v>
      </c>
      <c r="CX14" s="5">
        <v>1.92E-3</v>
      </c>
      <c r="CY14">
        <v>2.6700000000000001E-3</v>
      </c>
      <c r="CZ14" s="5">
        <v>2.2100000000000002E-3</v>
      </c>
      <c r="DA14">
        <v>2.3400000000000001E-2</v>
      </c>
      <c r="DB14" s="5">
        <v>1.7899999999999999E-4</v>
      </c>
      <c r="DC14" s="5">
        <v>8.2500000000000004E-7</v>
      </c>
      <c r="DD14" s="5">
        <v>1.34E-5</v>
      </c>
      <c r="DE14" s="5">
        <v>8.57E-9</v>
      </c>
      <c r="DF14" s="5">
        <v>2.4199999999999998E-3</v>
      </c>
      <c r="DG14" s="5">
        <v>3.4E-5</v>
      </c>
      <c r="DH14">
        <v>1.02E-4</v>
      </c>
      <c r="DI14" s="5">
        <v>0.111</v>
      </c>
      <c r="DJ14" s="5">
        <v>1.0399999999999999E-3</v>
      </c>
      <c r="DK14" s="5">
        <v>1.39E-3</v>
      </c>
      <c r="DL14" s="5">
        <v>1.18E-4</v>
      </c>
      <c r="DM14" s="5">
        <v>2.0799999999999999E-4</v>
      </c>
      <c r="DN14" s="5">
        <v>1.8599999999999999E-4</v>
      </c>
      <c r="DO14" s="5">
        <v>6.9099999999999999E-6</v>
      </c>
      <c r="DP14">
        <v>4.0099999999999997E-3</v>
      </c>
      <c r="DQ14" s="5">
        <v>7.7299999999999995E-5</v>
      </c>
      <c r="DR14" s="5">
        <v>5.8299999999999997E-4</v>
      </c>
      <c r="DS14" s="5">
        <v>4.3099999999999999E-2</v>
      </c>
      <c r="DT14" s="5">
        <v>9.4299999999999995E-6</v>
      </c>
      <c r="DU14" s="5">
        <v>2.37E-5</v>
      </c>
      <c r="DV14" s="5">
        <v>2.0600000000000002E-3</v>
      </c>
      <c r="DW14" s="5">
        <v>5.41E-5</v>
      </c>
      <c r="DX14" s="5">
        <v>1.8599999999999999E-4</v>
      </c>
      <c r="DY14">
        <v>1.9599999999999999E-3</v>
      </c>
      <c r="DZ14" s="5">
        <v>2.3500000000000001E-3</v>
      </c>
      <c r="EA14" s="5">
        <v>3.3100000000000001E-6</v>
      </c>
      <c r="EB14" s="5">
        <v>0.11600000000000001</v>
      </c>
      <c r="EC14" s="5">
        <v>4.7100000000000003E-2</v>
      </c>
      <c r="ED14" s="5">
        <v>3.0400000000000002E-3</v>
      </c>
      <c r="EE14" s="5">
        <v>2.8E-3</v>
      </c>
      <c r="EF14" s="5">
        <v>2.2900000000000001E-4</v>
      </c>
      <c r="EG14" s="5">
        <v>5.5699999999999999E-4</v>
      </c>
      <c r="EH14" s="5">
        <v>2.3400000000000001E-3</v>
      </c>
      <c r="EI14" s="5">
        <v>0.28599999999999998</v>
      </c>
      <c r="EJ14">
        <v>2.5500000000000002E-4</v>
      </c>
      <c r="EK14">
        <v>4.4200000000000003E-3</v>
      </c>
      <c r="EL14" s="5">
        <v>2.2099999999999998E-5</v>
      </c>
      <c r="EM14" s="5">
        <v>2.5699999999999998E-3</v>
      </c>
      <c r="EN14" s="5">
        <v>2.7799999999999998E-2</v>
      </c>
      <c r="EO14" s="5">
        <v>2.2200000000000001E-5</v>
      </c>
      <c r="EP14" s="5">
        <v>1.34E-4</v>
      </c>
      <c r="EQ14" s="5">
        <v>1.3899999999999999E-4</v>
      </c>
      <c r="ER14" s="5">
        <v>3.0400000000000002E-4</v>
      </c>
      <c r="ES14" s="5">
        <v>7.5299999999999998E-4</v>
      </c>
      <c r="ET14" s="5">
        <v>0.11</v>
      </c>
      <c r="EU14" s="5">
        <v>3.8E-3</v>
      </c>
      <c r="EV14" s="5">
        <v>2.0300000000000001E-3</v>
      </c>
      <c r="EW14" s="5">
        <v>5.9599999999999999E-5</v>
      </c>
      <c r="EX14" s="5">
        <v>6.7500000000000004E-4</v>
      </c>
      <c r="EY14" s="5">
        <v>1.3600000000000001E-3</v>
      </c>
      <c r="EZ14" s="5">
        <v>3.1600000000000002E-5</v>
      </c>
      <c r="FA14" s="5">
        <v>2.3000000000000001E-4</v>
      </c>
      <c r="FB14" s="5">
        <v>6.3400000000000001E-4</v>
      </c>
      <c r="FC14" s="5">
        <v>4.1415284891811899E-2</v>
      </c>
      <c r="FD14" s="5">
        <v>1.0768399887091801E-2</v>
      </c>
      <c r="FE14" s="5">
        <v>1.9578391338923601E-4</v>
      </c>
      <c r="FF14" s="5">
        <v>2.09175814937211E-4</v>
      </c>
      <c r="FG14" s="5">
        <v>3.3385105915264203E-5</v>
      </c>
      <c r="FH14" s="5">
        <v>6.9599999999999998E-5</v>
      </c>
      <c r="FI14" s="5">
        <v>8.7700000000000004E-5</v>
      </c>
      <c r="FJ14" s="5">
        <v>1.85E-4</v>
      </c>
      <c r="FK14" s="5">
        <v>1.7E-5</v>
      </c>
      <c r="FL14" s="5">
        <v>3.1599999999999998E-6</v>
      </c>
      <c r="FM14">
        <v>4.8500000000000003E-4</v>
      </c>
      <c r="FN14" s="5">
        <v>2.63E-3</v>
      </c>
      <c r="FO14" s="5">
        <v>1.7200000000000001E-4</v>
      </c>
      <c r="FP14" s="5">
        <v>4.8500000000000002E-6</v>
      </c>
      <c r="FQ14" s="5">
        <v>1.8E-5</v>
      </c>
      <c r="FR14" s="5">
        <v>3.9800000000000002E-4</v>
      </c>
      <c r="FS14" s="5">
        <v>2.0799999999999999E-2</v>
      </c>
      <c r="FT14" s="5">
        <v>1.01E-4</v>
      </c>
      <c r="FU14" s="5">
        <v>8.1300000000000001E-3</v>
      </c>
      <c r="FV14" s="5">
        <v>4.8600000000000002E-5</v>
      </c>
      <c r="FW14" s="5">
        <v>8.57E-9</v>
      </c>
      <c r="FX14" s="5">
        <v>1.6100000000000001E-4</v>
      </c>
      <c r="FY14" s="5">
        <v>2.9799999999999999E-5</v>
      </c>
      <c r="FZ14" s="5">
        <v>6.96E-4</v>
      </c>
      <c r="GA14" s="5">
        <v>6.0599999999999996E-6</v>
      </c>
      <c r="GB14" s="5">
        <v>1.15E-4</v>
      </c>
      <c r="GC14" s="5">
        <v>9.4900000000000003E-5</v>
      </c>
      <c r="GD14" s="5">
        <v>5.6400000000000002E-6</v>
      </c>
      <c r="GE14" s="5">
        <v>6.8799999999999998E-3</v>
      </c>
      <c r="GF14" s="5">
        <v>1.1299999999999999E-3</v>
      </c>
      <c r="GG14" s="5">
        <v>3.1199999999999999E-5</v>
      </c>
      <c r="GH14" s="5">
        <v>1.7699999999999999E-4</v>
      </c>
      <c r="GI14" s="5">
        <v>9.4900000000000003E-5</v>
      </c>
      <c r="GJ14" s="5">
        <v>5.6400000000000002E-6</v>
      </c>
      <c r="GK14" s="5">
        <v>7.7999999999999996E-3</v>
      </c>
      <c r="GL14" s="5">
        <v>2.55E-5</v>
      </c>
      <c r="GM14" s="5">
        <v>5.9800000000000001E-3</v>
      </c>
      <c r="GN14" s="5">
        <v>2.3400000000000001E-3</v>
      </c>
      <c r="GO14" s="5">
        <v>1.03E-4</v>
      </c>
      <c r="GP14" s="5">
        <v>1.92E-4</v>
      </c>
      <c r="GQ14" s="5">
        <v>4.3199999999999998E-4</v>
      </c>
      <c r="GR14" s="5">
        <v>1.43640044592076E-5</v>
      </c>
      <c r="GS14" s="5">
        <v>5.1058539738883399E-2</v>
      </c>
      <c r="GT14" s="5">
        <v>1.5811462226363301E-2</v>
      </c>
      <c r="GU14" s="5">
        <v>1.69420021145295E-4</v>
      </c>
      <c r="GV14" s="5">
        <v>9.43091152167998E-5</v>
      </c>
      <c r="GW14" s="5">
        <v>4.6100000000000002E-5</v>
      </c>
      <c r="GX14" s="5">
        <v>3.3599999999999998E-4</v>
      </c>
      <c r="GY14" s="5">
        <v>2.0799999999999999E-4</v>
      </c>
      <c r="GZ14" s="5">
        <v>3.18E-5</v>
      </c>
      <c r="HA14" s="5">
        <v>3.1599999999999998E-6</v>
      </c>
      <c r="HB14">
        <v>9.1100000000000003E-4</v>
      </c>
      <c r="HC14" s="5">
        <v>1.24E-2</v>
      </c>
      <c r="HD14" s="5">
        <v>1.2E-4</v>
      </c>
      <c r="HE14" s="5">
        <v>1.3E-6</v>
      </c>
      <c r="HF14" s="5">
        <v>2.65E-5</v>
      </c>
      <c r="HG14" s="5">
        <v>1.7200000000000001E-4</v>
      </c>
      <c r="HH14" s="5">
        <v>1.7000000000000001E-2</v>
      </c>
      <c r="HI14" s="5">
        <v>3.29E-3</v>
      </c>
      <c r="HJ14" s="5">
        <v>1.03E-4</v>
      </c>
      <c r="HK14" s="5">
        <v>6.9599999999999998E-5</v>
      </c>
      <c r="HL14" s="5">
        <v>1.59E-5</v>
      </c>
      <c r="HM14" s="5">
        <v>3.2600000000000001E-4</v>
      </c>
      <c r="HN14" s="5">
        <v>6.3599999999999996E-4</v>
      </c>
      <c r="HO14" s="5">
        <v>5.3900000000000001E-6</v>
      </c>
      <c r="HP14" s="5">
        <v>1.16E-4</v>
      </c>
      <c r="HQ14" s="5">
        <v>1.38E-5</v>
      </c>
      <c r="HR14" s="5">
        <v>7.5100000000000004E-4</v>
      </c>
      <c r="HS14" s="5">
        <v>1.06E-5</v>
      </c>
      <c r="HT14" s="5">
        <v>1.16E-4</v>
      </c>
      <c r="HU14" s="5">
        <v>1.5099999999999999E-5</v>
      </c>
      <c r="HV14" s="5">
        <v>6.4200000000000002E-5</v>
      </c>
      <c r="HW14" s="5">
        <v>1.16E-4</v>
      </c>
      <c r="HX14" s="5">
        <v>8.2199999999999992E-6</v>
      </c>
      <c r="HY14">
        <v>2.5600000000000001E-2</v>
      </c>
      <c r="HZ14">
        <v>5.7200000000000001E-2</v>
      </c>
      <c r="IA14">
        <v>5.23</v>
      </c>
      <c r="IB14">
        <v>114</v>
      </c>
      <c r="IC14">
        <v>1.34E-2</v>
      </c>
      <c r="ID14">
        <f t="shared" si="1"/>
        <v>36.61</v>
      </c>
      <c r="IE14">
        <f t="shared" si="3"/>
        <v>798</v>
      </c>
      <c r="IF14">
        <f t="shared" si="2"/>
        <v>9.3800000000000008E-2</v>
      </c>
      <c r="IG14">
        <v>3.2299999999999999E-4</v>
      </c>
      <c r="IH14">
        <v>1.9400000000000001E-3</v>
      </c>
      <c r="II14">
        <v>6.45E-3</v>
      </c>
      <c r="IJ14">
        <v>1.0399999999999999E-3</v>
      </c>
      <c r="IK14">
        <v>1.66E-3</v>
      </c>
      <c r="IL14">
        <v>-4.53E-2</v>
      </c>
      <c r="IM14">
        <v>-0.35299999999999998</v>
      </c>
      <c r="IN14">
        <v>-0.90500000000000003</v>
      </c>
      <c r="IO14">
        <v>-1.41E-2</v>
      </c>
      <c r="IP14">
        <v>6.3299999999999999E-4</v>
      </c>
      <c r="IQ14">
        <v>-3.2905464409466799E-3</v>
      </c>
      <c r="IR14" s="5">
        <v>4.8368242081192198E-5</v>
      </c>
      <c r="IS14">
        <v>2.9162949704868998E-4</v>
      </c>
      <c r="IT14">
        <v>4.6433823463181102E-3</v>
      </c>
      <c r="IU14">
        <v>2.68247986021138E-4</v>
      </c>
      <c r="IV14">
        <v>1.48240336739526E-3</v>
      </c>
      <c r="IW14">
        <v>2.5300000000000001E-3</v>
      </c>
      <c r="IX14">
        <v>1.52E-2</v>
      </c>
      <c r="IY14">
        <v>2.1700000000000001E-3</v>
      </c>
      <c r="IZ14">
        <v>3.8000000000000002E-4</v>
      </c>
    </row>
    <row r="15" spans="1:260" x14ac:dyDescent="0.3">
      <c r="A15" t="s">
        <v>130</v>
      </c>
      <c r="B15">
        <v>8.6499999999999994E-2</v>
      </c>
      <c r="C15">
        <v>1.4400000000000001E-3</v>
      </c>
      <c r="D15">
        <v>1.7099999999999999E-3</v>
      </c>
      <c r="E15">
        <v>1.37E-2</v>
      </c>
      <c r="F15">
        <v>1.11E-2</v>
      </c>
      <c r="G15">
        <v>1.3799999999999999E-3</v>
      </c>
      <c r="H15">
        <v>0.106</v>
      </c>
      <c r="I15">
        <v>5.39</v>
      </c>
      <c r="J15">
        <v>9.2800000000000001E-3</v>
      </c>
      <c r="K15">
        <v>1.75E-3</v>
      </c>
      <c r="L15">
        <v>2.71</v>
      </c>
      <c r="M15">
        <v>1.3899999999999999E-2</v>
      </c>
      <c r="N15">
        <v>0.42799999999999999</v>
      </c>
      <c r="O15">
        <v>2.5299999999999998</v>
      </c>
      <c r="P15" s="5">
        <v>9.2800000000000001E-3</v>
      </c>
      <c r="Q15" s="5">
        <v>1.8E-3</v>
      </c>
      <c r="R15" s="5">
        <v>8.7100000000000007E-3</v>
      </c>
      <c r="S15" s="5">
        <v>3.9800000000000002E-2</v>
      </c>
      <c r="T15" s="5">
        <v>8.5699999999999995E-3</v>
      </c>
      <c r="U15">
        <v>9.2800000000000001E-3</v>
      </c>
      <c r="V15">
        <v>0.23400000000000001</v>
      </c>
      <c r="W15">
        <v>0.27600000000000002</v>
      </c>
      <c r="X15" s="5">
        <v>9.2800000000000001E-3</v>
      </c>
      <c r="Y15" s="5">
        <v>0.81899999999999995</v>
      </c>
      <c r="Z15" s="5">
        <v>1.07E-3</v>
      </c>
      <c r="AA15" s="5">
        <v>9.2800000000000001E-3</v>
      </c>
      <c r="AB15" s="5">
        <v>7.6100000000000001E-2</v>
      </c>
      <c r="AC15" s="5">
        <v>7.8100000000000003E-2</v>
      </c>
      <c r="AD15" s="5">
        <v>2.4299999999999999E-2</v>
      </c>
      <c r="AE15" s="5">
        <v>5.8299999999999998E-2</v>
      </c>
      <c r="AF15" s="5">
        <v>3.7100000000000001E-6</v>
      </c>
      <c r="AG15">
        <v>9.2800000000000001E-3</v>
      </c>
      <c r="AH15">
        <v>10.8</v>
      </c>
      <c r="AI15">
        <v>1.75E-3</v>
      </c>
      <c r="AJ15">
        <v>7.2999999999999995E-2</v>
      </c>
      <c r="AK15">
        <v>3.8800000000000002E-3</v>
      </c>
      <c r="AL15">
        <v>4.6199999999999998E-2</v>
      </c>
      <c r="AM15">
        <v>3.48E-3</v>
      </c>
      <c r="AN15" s="5">
        <v>3.9499999999999998E-5</v>
      </c>
      <c r="AO15">
        <v>5.1039916131216797E-4</v>
      </c>
      <c r="AP15">
        <v>0.217</v>
      </c>
      <c r="AQ15">
        <v>1.1599999999999999E-2</v>
      </c>
      <c r="AR15">
        <v>2.2100000000000002E-2</v>
      </c>
      <c r="AS15">
        <v>1.34E-2</v>
      </c>
      <c r="AT15">
        <v>7.62E-3</v>
      </c>
      <c r="AU15">
        <v>5.0699999999999996E-4</v>
      </c>
      <c r="AV15">
        <v>9.77E-4</v>
      </c>
      <c r="AW15">
        <v>4.0000000000000002E-4</v>
      </c>
      <c r="AX15">
        <v>1.09E-2</v>
      </c>
      <c r="AY15">
        <v>1.6800000000000001E-3</v>
      </c>
      <c r="AZ15">
        <v>4.5399999999999998E-4</v>
      </c>
      <c r="BA15">
        <v>1.35E-4</v>
      </c>
      <c r="BB15">
        <v>3.13E-3</v>
      </c>
      <c r="BC15">
        <v>1.4499999999999999E-3</v>
      </c>
      <c r="BD15">
        <v>7.0299999999999998E-3</v>
      </c>
      <c r="BE15">
        <v>1.0300000000000001E-3</v>
      </c>
      <c r="BF15">
        <v>1.09E-3</v>
      </c>
      <c r="BG15">
        <v>1.3100000000000001E-4</v>
      </c>
      <c r="BH15">
        <v>2.47E-2</v>
      </c>
      <c r="BI15">
        <v>5.5099999999999995E-4</v>
      </c>
      <c r="BJ15">
        <v>6.9499999999999996E-3</v>
      </c>
      <c r="BK15">
        <v>0.78</v>
      </c>
      <c r="BL15">
        <v>1.34E-2</v>
      </c>
      <c r="BM15">
        <v>1.47E-3</v>
      </c>
      <c r="BN15">
        <v>2.98E-3</v>
      </c>
      <c r="BO15">
        <v>1.4499999999999999E-3</v>
      </c>
      <c r="BP15">
        <v>0.46300000000000002</v>
      </c>
      <c r="BQ15">
        <v>2.4199999999999998E-3</v>
      </c>
      <c r="BR15">
        <v>3.0200000000000002E-4</v>
      </c>
      <c r="BS15">
        <v>1.2999999999999999E-4</v>
      </c>
      <c r="BT15">
        <v>2.1399999999999999E-2</v>
      </c>
      <c r="BU15">
        <v>6.2899999999999996E-3</v>
      </c>
      <c r="BV15">
        <v>1.01</v>
      </c>
      <c r="BW15">
        <v>1.0200000000000001E-2</v>
      </c>
      <c r="BX15">
        <v>1.08E-3</v>
      </c>
      <c r="BY15">
        <v>2.1000000000000001E-2</v>
      </c>
      <c r="BZ15">
        <v>6.9499999999999996E-3</v>
      </c>
      <c r="CA15">
        <v>1.88</v>
      </c>
      <c r="CB15">
        <v>1.21E-2</v>
      </c>
      <c r="CC15">
        <v>2.1599999999999999E-4</v>
      </c>
      <c r="CD15">
        <v>3.4600000000000001E-4</v>
      </c>
      <c r="CE15">
        <v>2.6800000000000001E-2</v>
      </c>
      <c r="CF15">
        <v>6.9499999999999996E-3</v>
      </c>
      <c r="CG15">
        <v>1.83</v>
      </c>
      <c r="CH15">
        <v>1.3299999999999999E-2</v>
      </c>
      <c r="CI15">
        <v>2.5900000000000001E-4</v>
      </c>
      <c r="CJ15">
        <v>9.5E-4</v>
      </c>
      <c r="CK15">
        <v>4.1599999999999997E-4</v>
      </c>
      <c r="CL15">
        <v>1.0699999999999999E-2</v>
      </c>
      <c r="CM15" s="5">
        <v>1.5100000000000001E-2</v>
      </c>
      <c r="CN15">
        <v>2.8699999999999998E-4</v>
      </c>
      <c r="CO15" s="5">
        <v>3.5699999999999998E-3</v>
      </c>
      <c r="CP15">
        <v>1.5038436215601E-4</v>
      </c>
      <c r="CQ15">
        <v>3.9399999999999998E-4</v>
      </c>
      <c r="CR15" s="5">
        <v>1.7299999999999999E-2</v>
      </c>
      <c r="CS15">
        <v>2.72E-4</v>
      </c>
      <c r="CT15">
        <v>3.5500000000000001E-4</v>
      </c>
      <c r="CU15">
        <v>4.13E-3</v>
      </c>
      <c r="CV15">
        <v>3.8500000000000001E-3</v>
      </c>
      <c r="CW15">
        <v>0.16200000000000001</v>
      </c>
      <c r="CX15">
        <v>2.3800000000000002E-2</v>
      </c>
      <c r="CY15">
        <v>2.9100000000000001E-2</v>
      </c>
      <c r="CZ15">
        <v>2.4400000000000002E-2</v>
      </c>
      <c r="DA15">
        <v>0.255</v>
      </c>
      <c r="DB15">
        <v>1.8799999999999999E-3</v>
      </c>
      <c r="DC15" s="5">
        <v>8.7800000000000006E-6</v>
      </c>
      <c r="DD15">
        <v>1.17E-4</v>
      </c>
      <c r="DE15" s="5">
        <v>8.6099999999999997E-8</v>
      </c>
      <c r="DF15">
        <v>2.6800000000000001E-2</v>
      </c>
      <c r="DG15">
        <v>3.4600000000000001E-4</v>
      </c>
      <c r="DH15">
        <v>1.08E-3</v>
      </c>
      <c r="DI15">
        <v>1.21</v>
      </c>
      <c r="DJ15" s="5">
        <v>1.0999999999999999E-2</v>
      </c>
      <c r="DK15">
        <v>1.52E-2</v>
      </c>
      <c r="DL15" s="5">
        <v>1.2800000000000001E-3</v>
      </c>
      <c r="DM15">
        <v>1.81E-3</v>
      </c>
      <c r="DN15">
        <v>1.8699999999999999E-3</v>
      </c>
      <c r="DO15" s="5">
        <v>7.4999999999999993E-5</v>
      </c>
      <c r="DP15">
        <v>4.4400000000000002E-2</v>
      </c>
      <c r="DQ15">
        <v>8.1400000000000005E-4</v>
      </c>
      <c r="DR15">
        <v>5.8399999999999997E-3</v>
      </c>
      <c r="DS15" s="5">
        <v>0.46899999999999997</v>
      </c>
      <c r="DT15">
        <v>1E-4</v>
      </c>
      <c r="DU15" s="5">
        <v>2.5700000000000001E-4</v>
      </c>
      <c r="DV15">
        <v>2.06E-2</v>
      </c>
      <c r="DW15">
        <v>4.7199999999999998E-4</v>
      </c>
      <c r="DX15" s="5">
        <v>1.8699999999999999E-3</v>
      </c>
      <c r="DY15">
        <v>2.1700000000000001E-2</v>
      </c>
      <c r="DZ15">
        <v>2.5000000000000001E-2</v>
      </c>
      <c r="EA15" s="5">
        <v>3.5299999999999997E-5</v>
      </c>
      <c r="EB15" s="5">
        <v>1.26</v>
      </c>
      <c r="EC15">
        <v>0.51300000000000001</v>
      </c>
      <c r="ED15" s="5">
        <v>3.3099999999999997E-2</v>
      </c>
      <c r="EE15">
        <v>2.98E-2</v>
      </c>
      <c r="EF15">
        <v>2.49E-3</v>
      </c>
      <c r="EG15" s="5">
        <v>5.1900000000000002E-3</v>
      </c>
      <c r="EH15">
        <v>2.18E-2</v>
      </c>
      <c r="EI15">
        <v>3.13</v>
      </c>
      <c r="EJ15">
        <v>2.5899999999999999E-3</v>
      </c>
      <c r="EK15">
        <v>4.8000000000000001E-2</v>
      </c>
      <c r="EL15">
        <v>2.2499999999999999E-4</v>
      </c>
      <c r="EM15" s="5">
        <v>2.7099999999999999E-2</v>
      </c>
      <c r="EN15" s="5">
        <v>0.30199999999999999</v>
      </c>
      <c r="EO15">
        <v>2.41E-4</v>
      </c>
      <c r="EP15" s="5">
        <v>1.4599999999999999E-3</v>
      </c>
      <c r="EQ15">
        <v>1.2099999999999999E-3</v>
      </c>
      <c r="ER15">
        <v>4.0299999999999997E-3</v>
      </c>
      <c r="ES15" s="5">
        <v>8.3300000000000006E-3</v>
      </c>
      <c r="ET15">
        <v>1.19</v>
      </c>
      <c r="EU15" s="5">
        <v>4.1399999999999999E-2</v>
      </c>
      <c r="EV15" s="5">
        <v>2.1399999999999999E-2</v>
      </c>
      <c r="EW15">
        <v>6.4800000000000003E-4</v>
      </c>
      <c r="EX15" s="5">
        <v>6.7600000000000004E-3</v>
      </c>
      <c r="EY15">
        <v>1.18E-2</v>
      </c>
      <c r="EZ15">
        <v>3.1599999999999998E-4</v>
      </c>
      <c r="FA15" s="5">
        <v>5.1200000000000004E-3</v>
      </c>
      <c r="FB15">
        <v>7.0099999999999997E-3</v>
      </c>
      <c r="FC15">
        <v>0.45077328834715302</v>
      </c>
      <c r="FD15" s="5">
        <v>0.117173548851501</v>
      </c>
      <c r="FE15" s="5">
        <v>2.1299991193580799E-3</v>
      </c>
      <c r="FF15">
        <v>2.2022778626987999E-3</v>
      </c>
      <c r="FG15" s="5">
        <v>3.5508788637799999E-4</v>
      </c>
      <c r="FH15">
        <v>7.5600000000000005E-4</v>
      </c>
      <c r="FI15">
        <v>8.7900000000000001E-4</v>
      </c>
      <c r="FJ15" s="5">
        <v>1.6100000000000001E-3</v>
      </c>
      <c r="FK15">
        <v>1.7100000000000001E-4</v>
      </c>
      <c r="FL15" s="5">
        <v>3.4199999999999998E-5</v>
      </c>
      <c r="FM15">
        <v>5.3600000000000002E-3</v>
      </c>
      <c r="FN15">
        <v>2.86E-2</v>
      </c>
      <c r="FO15" s="5">
        <v>1.8699999999999999E-3</v>
      </c>
      <c r="FP15" s="5">
        <v>5.27E-5</v>
      </c>
      <c r="FQ15">
        <v>1.5699999999999999E-4</v>
      </c>
      <c r="FR15" s="5">
        <v>3.7599999999999999E-3</v>
      </c>
      <c r="FS15">
        <v>0.46300000000000002</v>
      </c>
      <c r="FT15">
        <v>1.1199999999999999E-3</v>
      </c>
      <c r="FU15">
        <v>8.72E-2</v>
      </c>
      <c r="FV15" s="5">
        <v>5.1199999999999998E-4</v>
      </c>
      <c r="FW15" s="5">
        <v>8.6099999999999997E-8</v>
      </c>
      <c r="FX15">
        <v>1.7799999999999999E-3</v>
      </c>
      <c r="FY15" s="5">
        <v>3.0200000000000002E-4</v>
      </c>
      <c r="FZ15">
        <v>7.5900000000000004E-3</v>
      </c>
      <c r="GA15" s="5">
        <v>6.5900000000000003E-5</v>
      </c>
      <c r="GB15" s="5">
        <v>1.24E-3</v>
      </c>
      <c r="GC15">
        <v>9.59E-4</v>
      </c>
      <c r="GD15" s="5">
        <v>5.63E-5</v>
      </c>
      <c r="GE15">
        <v>7.5300000000000006E-2</v>
      </c>
      <c r="GF15">
        <v>1.23E-2</v>
      </c>
      <c r="GG15" s="5">
        <v>3.3300000000000002E-4</v>
      </c>
      <c r="GH15" s="5">
        <v>1.91E-3</v>
      </c>
      <c r="GI15">
        <v>9.59E-4</v>
      </c>
      <c r="GJ15" s="5">
        <v>5.63E-5</v>
      </c>
      <c r="GK15">
        <v>8.5400000000000004E-2</v>
      </c>
      <c r="GL15">
        <v>2.5900000000000001E-4</v>
      </c>
      <c r="GM15">
        <v>6.5100000000000005E-2</v>
      </c>
      <c r="GN15" s="5">
        <v>2.5499999999999998E-2</v>
      </c>
      <c r="GO15" s="5">
        <v>1.08E-3</v>
      </c>
      <c r="GP15">
        <v>2.4199999999999998E-3</v>
      </c>
      <c r="GQ15" s="5">
        <v>4.7800000000000004E-3</v>
      </c>
      <c r="GR15">
        <v>1.51229381129531E-4</v>
      </c>
      <c r="GS15" s="5">
        <v>0.55584864994010896</v>
      </c>
      <c r="GT15" s="5">
        <v>0.17226855617652301</v>
      </c>
      <c r="GU15">
        <v>1.7837146334447999E-3</v>
      </c>
      <c r="GV15" s="5">
        <v>1.0025624143734E-3</v>
      </c>
      <c r="GW15">
        <v>5.0100000000000003E-4</v>
      </c>
      <c r="GX15">
        <v>3.3700000000000002E-3</v>
      </c>
      <c r="GY15" s="5">
        <v>1.81E-3</v>
      </c>
      <c r="GZ15">
        <v>3.2000000000000003E-4</v>
      </c>
      <c r="HA15" s="5">
        <v>3.4199999999999998E-5</v>
      </c>
      <c r="HB15">
        <v>1.01E-2</v>
      </c>
      <c r="HC15">
        <v>0.13500000000000001</v>
      </c>
      <c r="HD15" s="5">
        <v>1.2600000000000001E-3</v>
      </c>
      <c r="HE15" s="5">
        <v>1.38E-5</v>
      </c>
      <c r="HF15">
        <v>2.6600000000000001E-4</v>
      </c>
      <c r="HG15" s="5">
        <v>1.9E-3</v>
      </c>
      <c r="HH15">
        <v>0.186</v>
      </c>
      <c r="HI15" s="5">
        <v>3.5900000000000001E-2</v>
      </c>
      <c r="HJ15" s="5">
        <v>1.08E-3</v>
      </c>
      <c r="HK15">
        <v>7.5600000000000005E-4</v>
      </c>
      <c r="HL15" s="5">
        <v>1.6000000000000001E-4</v>
      </c>
      <c r="HM15">
        <v>3.5999999999999999E-3</v>
      </c>
      <c r="HN15">
        <v>6.9300000000000004E-3</v>
      </c>
      <c r="HO15" s="5">
        <v>5.6700000000000003E-5</v>
      </c>
      <c r="HP15" s="5">
        <v>1.09E-3</v>
      </c>
      <c r="HQ15">
        <v>1.5300000000000001E-4</v>
      </c>
      <c r="HR15">
        <v>8.1899999999999994E-3</v>
      </c>
      <c r="HS15" s="5">
        <v>1.12E-4</v>
      </c>
      <c r="HT15" s="5">
        <v>1.09E-3</v>
      </c>
      <c r="HU15">
        <v>1.6699999999999999E-4</v>
      </c>
      <c r="HV15">
        <v>6.9999999999999999E-4</v>
      </c>
      <c r="HW15" s="5">
        <v>1.09E-3</v>
      </c>
      <c r="HX15" s="5">
        <v>9.09E-5</v>
      </c>
      <c r="HY15">
        <v>0.252</v>
      </c>
      <c r="HZ15">
        <v>0.63300000000000001</v>
      </c>
      <c r="IA15">
        <v>57.4</v>
      </c>
      <c r="IB15" s="5">
        <v>1250</v>
      </c>
      <c r="IC15">
        <v>0.112</v>
      </c>
      <c r="ID15">
        <f t="shared" si="1"/>
        <v>401.8</v>
      </c>
      <c r="IE15">
        <f t="shared" si="3"/>
        <v>8750</v>
      </c>
      <c r="IF15">
        <f t="shared" si="2"/>
        <v>0.78400000000000003</v>
      </c>
      <c r="IG15">
        <v>3.5400000000000002E-3</v>
      </c>
      <c r="IH15">
        <v>2.1399999999999999E-2</v>
      </c>
      <c r="II15">
        <v>7.0499999999999993E-2</v>
      </c>
      <c r="IJ15">
        <v>1.14E-2</v>
      </c>
      <c r="IK15">
        <v>3.0899999999999999E-3</v>
      </c>
      <c r="IL15">
        <v>-0.49199999999999999</v>
      </c>
      <c r="IM15">
        <v>-3.84</v>
      </c>
      <c r="IN15">
        <v>-7.93</v>
      </c>
      <c r="IO15">
        <v>-0.13500000000000001</v>
      </c>
      <c r="IP15">
        <v>7.4599999999999996E-3</v>
      </c>
      <c r="IQ15">
        <v>-3.1117384830721798E-2</v>
      </c>
      <c r="IR15">
        <v>5.3141247812505505E-4</v>
      </c>
      <c r="IS15">
        <v>3.2040658288268798E-3</v>
      </c>
      <c r="IT15">
        <v>5.0715695489401198E-2</v>
      </c>
      <c r="IU15">
        <v>2.94167981295318E-3</v>
      </c>
      <c r="IV15">
        <v>2.7637948779268302E-3</v>
      </c>
      <c r="IW15">
        <v>2.76E-2</v>
      </c>
      <c r="IX15">
        <v>0.16600000000000001</v>
      </c>
      <c r="IY15">
        <v>2.3699999999999999E-2</v>
      </c>
      <c r="IZ15">
        <v>4.0800000000000003E-3</v>
      </c>
    </row>
    <row r="16" spans="1:260" x14ac:dyDescent="0.3">
      <c r="A16" t="s">
        <v>131</v>
      </c>
      <c r="B16" s="5">
        <v>4.6999999999999999E-9</v>
      </c>
      <c r="C16" s="5">
        <v>9.1700000000000007E-12</v>
      </c>
      <c r="D16" s="5">
        <v>1.0599999999999999E-11</v>
      </c>
      <c r="E16">
        <v>1.8500000000000001E-10</v>
      </c>
      <c r="F16">
        <v>3.7699999999999999E-10</v>
      </c>
      <c r="G16">
        <v>1.0899999999999999E-11</v>
      </c>
      <c r="H16">
        <v>9.7999999999999992E-10</v>
      </c>
      <c r="I16" s="5">
        <v>4.3300000000000003E-7</v>
      </c>
      <c r="J16" s="5">
        <v>2.5100000000000001E-10</v>
      </c>
      <c r="K16" s="5">
        <v>1.0799999999999999E-11</v>
      </c>
      <c r="L16">
        <v>1.3400000000000001E-7</v>
      </c>
      <c r="M16">
        <v>3.7599999999999999E-10</v>
      </c>
      <c r="N16">
        <v>3.94E-9</v>
      </c>
      <c r="O16" s="5">
        <v>9.5999999999999999E-8</v>
      </c>
      <c r="P16" s="5">
        <v>2.5100000000000001E-10</v>
      </c>
      <c r="Q16" s="5">
        <v>1.1100000000000001E-11</v>
      </c>
      <c r="R16" s="5">
        <v>2.6800000000000001E-10</v>
      </c>
      <c r="S16" s="5">
        <v>1.22E-6</v>
      </c>
      <c r="T16" s="5">
        <v>5.29E-11</v>
      </c>
      <c r="U16">
        <v>2.5100000000000001E-10</v>
      </c>
      <c r="V16">
        <v>2.0899999999999999E-8</v>
      </c>
      <c r="W16">
        <v>2.5399999999999999E-9</v>
      </c>
      <c r="X16" s="5">
        <v>2.5100000000000001E-10</v>
      </c>
      <c r="Y16" s="5">
        <v>6.5499999999999998E-8</v>
      </c>
      <c r="Z16" s="5">
        <v>6.6199999999999997E-12</v>
      </c>
      <c r="AA16" s="5">
        <v>2.5100000000000001E-10</v>
      </c>
      <c r="AB16" s="5">
        <v>1.04E-8</v>
      </c>
      <c r="AC16" s="5">
        <v>7.2E-10</v>
      </c>
      <c r="AD16" s="5">
        <v>3.28E-10</v>
      </c>
      <c r="AE16" s="5">
        <v>1.3000000000000001E-8</v>
      </c>
      <c r="AF16" s="5">
        <v>1E-13</v>
      </c>
      <c r="AG16" s="5">
        <v>2.5100000000000001E-10</v>
      </c>
      <c r="AH16" s="5">
        <v>8.6600000000000005E-7</v>
      </c>
      <c r="AI16" s="5">
        <v>1.0799999999999999E-11</v>
      </c>
      <c r="AJ16" s="5">
        <v>4.3500000000000001E-9</v>
      </c>
      <c r="AK16" s="5">
        <v>2.31E-10</v>
      </c>
      <c r="AL16" s="5">
        <v>1.38E-9</v>
      </c>
      <c r="AM16" s="5">
        <v>1.04E-10</v>
      </c>
      <c r="AN16" s="5">
        <v>1.2100000000000001E-12</v>
      </c>
      <c r="AO16" s="5">
        <v>6.8987468774584903E-12</v>
      </c>
      <c r="AP16" s="5">
        <v>1.3599999999999999E-8</v>
      </c>
      <c r="AQ16" s="5">
        <v>8.5900000000000003E-10</v>
      </c>
      <c r="AR16" s="5">
        <v>1.55E-9</v>
      </c>
      <c r="AS16" s="5">
        <v>1.81E-10</v>
      </c>
      <c r="AT16" s="5">
        <v>5.6200000000000002E-10</v>
      </c>
      <c r="AU16" s="5">
        <v>2.1799999999999998E-11</v>
      </c>
      <c r="AV16" s="5">
        <v>5.8399999999999997E-9</v>
      </c>
      <c r="AW16" s="5">
        <v>7.3899999999999998E-12</v>
      </c>
      <c r="AX16" s="5">
        <v>6.75E-11</v>
      </c>
      <c r="AY16" s="5">
        <v>1.1800000000000001E-10</v>
      </c>
      <c r="AZ16" s="5">
        <v>6.1299999999999999E-12</v>
      </c>
      <c r="BA16" s="5">
        <v>2.36E-8</v>
      </c>
      <c r="BB16" s="5">
        <v>4.34E-10</v>
      </c>
      <c r="BC16" s="5">
        <v>4.42E-11</v>
      </c>
      <c r="BD16" s="5">
        <v>4.34E-11</v>
      </c>
      <c r="BE16" s="5">
        <v>6.2200000000000002E-11</v>
      </c>
      <c r="BF16" s="5">
        <v>3.3199999999999999E-11</v>
      </c>
      <c r="BG16" s="5">
        <v>8.0699999999999999E-13</v>
      </c>
      <c r="BH16" s="5">
        <v>1.43E-9</v>
      </c>
      <c r="BI16" s="5">
        <v>3.3299999999999997E-11</v>
      </c>
      <c r="BJ16" s="5">
        <v>2.1199999999999999E-10</v>
      </c>
      <c r="BK16" s="5">
        <v>8.3100000000000003E-10</v>
      </c>
      <c r="BL16" s="5">
        <v>8.2999999999999998E-11</v>
      </c>
      <c r="BM16" s="5">
        <v>5.9800000000000003E-11</v>
      </c>
      <c r="BN16" s="5">
        <v>1.72E-10</v>
      </c>
      <c r="BO16" s="5">
        <v>4.42E-11</v>
      </c>
      <c r="BP16" s="5">
        <v>4.9299999999999995E-10</v>
      </c>
      <c r="BQ16" s="5">
        <v>1.4900000000000002E-11</v>
      </c>
      <c r="BR16" s="5">
        <v>1.23E-11</v>
      </c>
      <c r="BS16" s="5">
        <v>5.2800000000000001E-12</v>
      </c>
      <c r="BT16" s="5">
        <v>1.2400000000000001E-9</v>
      </c>
      <c r="BU16" s="5">
        <v>1.9200000000000001E-10</v>
      </c>
      <c r="BV16" s="5">
        <v>1.08E-9</v>
      </c>
      <c r="BW16" s="5">
        <v>6.2899999999999997E-11</v>
      </c>
      <c r="BX16" s="5">
        <v>4.4000000000000003E-11</v>
      </c>
      <c r="BY16" s="5">
        <v>1.2199999999999999E-9</v>
      </c>
      <c r="BZ16" s="5">
        <v>2.1199999999999999E-10</v>
      </c>
      <c r="CA16" s="5">
        <v>2.0000000000000001E-9</v>
      </c>
      <c r="CB16" s="5">
        <v>7.4899999999999995E-11</v>
      </c>
      <c r="CC16" s="5">
        <v>8.7899999999999995E-12</v>
      </c>
      <c r="CD16" s="5">
        <v>1.41E-11</v>
      </c>
      <c r="CE16" s="5">
        <v>1.55E-9</v>
      </c>
      <c r="CF16" s="5">
        <v>2.1199999999999999E-10</v>
      </c>
      <c r="CG16" s="5">
        <v>1.9500000000000001E-9</v>
      </c>
      <c r="CH16" s="5">
        <v>8.2199999999999998E-11</v>
      </c>
      <c r="CI16" s="5">
        <v>1.0599999999999999E-11</v>
      </c>
      <c r="CJ16" s="5">
        <v>3.8699999999999999E-11</v>
      </c>
      <c r="CK16" s="5">
        <v>5.6199999999999999E-12</v>
      </c>
      <c r="CL16" s="5">
        <v>6.28E-10</v>
      </c>
      <c r="CM16" s="5">
        <v>1.0600000000000001E-9</v>
      </c>
      <c r="CN16" s="5">
        <v>3.8799999999999996E-12</v>
      </c>
      <c r="CO16" s="5">
        <v>1.09E-7</v>
      </c>
      <c r="CP16" s="5">
        <v>6.5495663812954199E-12</v>
      </c>
      <c r="CQ16" s="5">
        <v>2.2800000000000001E-11</v>
      </c>
      <c r="CR16" s="5">
        <v>1.0500000000000001E-9</v>
      </c>
      <c r="CS16" s="5">
        <v>6.0799999999999999E-11</v>
      </c>
      <c r="CT16" s="5">
        <v>6.5600000000000003E-12</v>
      </c>
      <c r="CU16" s="5">
        <v>2.5499999999999999E-11</v>
      </c>
      <c r="CV16" s="5">
        <v>4.6700000000000004E-10</v>
      </c>
      <c r="CW16" s="5">
        <v>8.0600000000000007E-9</v>
      </c>
      <c r="CX16" s="5">
        <v>8.57E-9</v>
      </c>
      <c r="CY16" s="5">
        <v>2.5200000000000001E-10</v>
      </c>
      <c r="CZ16" s="5">
        <v>1.51E-10</v>
      </c>
      <c r="DA16" s="5">
        <v>1.7900000000000001E-8</v>
      </c>
      <c r="DB16" s="5">
        <v>2.5499999999999999E-11</v>
      </c>
      <c r="DC16" s="5">
        <v>3.7700000000000001E-13</v>
      </c>
      <c r="DD16" s="5">
        <v>2.6099999999999999E-11</v>
      </c>
      <c r="DE16" s="5">
        <v>1.59E-15</v>
      </c>
      <c r="DF16" s="5">
        <v>1.65E-10</v>
      </c>
      <c r="DG16" s="5">
        <v>1.41E-11</v>
      </c>
      <c r="DH16" s="5">
        <v>1.46E-11</v>
      </c>
      <c r="DI16" s="5">
        <v>7.2600000000000002E-8</v>
      </c>
      <c r="DJ16" s="5">
        <v>1.4800000000000001E-10</v>
      </c>
      <c r="DK16" s="5">
        <v>1.0600000000000001E-9</v>
      </c>
      <c r="DL16" s="5">
        <v>7.6600000000000004E-9</v>
      </c>
      <c r="DM16" s="5">
        <v>4.0599999999999999E-10</v>
      </c>
      <c r="DN16" s="5">
        <v>3.4499999999999997E-11</v>
      </c>
      <c r="DO16" s="5">
        <v>4.7099999999999999E-12</v>
      </c>
      <c r="DP16" s="5">
        <v>2.7399999999999998E-10</v>
      </c>
      <c r="DQ16" s="5">
        <v>1.1000000000000001E-11</v>
      </c>
      <c r="DR16" s="5">
        <v>3.5300000000000002E-10</v>
      </c>
      <c r="DS16" s="5">
        <v>3.3799999999999998E-8</v>
      </c>
      <c r="DT16" s="5">
        <v>4.3700000000000002E-12</v>
      </c>
      <c r="DU16" s="5">
        <v>1.5400000000000001E-9</v>
      </c>
      <c r="DV16" s="5">
        <v>1.25E-9</v>
      </c>
      <c r="DW16" s="5">
        <v>1.05E-10</v>
      </c>
      <c r="DX16" s="5">
        <v>3.4499999999999997E-11</v>
      </c>
      <c r="DY16" s="5">
        <v>1.34E-10</v>
      </c>
      <c r="DZ16" s="5">
        <v>1.1700000000000001E-9</v>
      </c>
      <c r="EA16" s="5">
        <v>1.65E-12</v>
      </c>
      <c r="EB16" s="5">
        <v>7.4700000000000001E-8</v>
      </c>
      <c r="EC16" s="5">
        <v>3.1499999999999998E-8</v>
      </c>
      <c r="ED16" s="5">
        <v>2.2699999999999998E-9</v>
      </c>
      <c r="EE16" s="5">
        <v>1.39E-9</v>
      </c>
      <c r="EF16" s="5">
        <v>1.4500000000000001E-8</v>
      </c>
      <c r="EG16" s="5">
        <v>8.4399999999999998E-10</v>
      </c>
      <c r="EH16" s="5">
        <v>6.7099999999999996E-10</v>
      </c>
      <c r="EI16" s="5">
        <v>2.88E-8</v>
      </c>
      <c r="EJ16" s="5">
        <v>1.06E-10</v>
      </c>
      <c r="EK16" s="5">
        <v>2.8000000000000002E-7</v>
      </c>
      <c r="EL16" s="5">
        <v>2.7299999999999999E-11</v>
      </c>
      <c r="EM16" s="5">
        <v>3.6599999999999998E-10</v>
      </c>
      <c r="EN16" s="5">
        <v>1.9300000000000001E-8</v>
      </c>
      <c r="EO16" s="5">
        <v>1.5100000000000001E-11</v>
      </c>
      <c r="EP16" s="5">
        <v>8.7099999999999999E-9</v>
      </c>
      <c r="EQ16" s="5">
        <v>2.7E-10</v>
      </c>
      <c r="ER16" s="5">
        <v>1.69E-9</v>
      </c>
      <c r="ES16" s="5">
        <v>5.1500000000000003E-11</v>
      </c>
      <c r="ET16" s="5">
        <v>7.8499999999999995E-8</v>
      </c>
      <c r="EU16" s="5">
        <v>1.8300000000000001E-9</v>
      </c>
      <c r="EV16" s="5">
        <v>2.8899999999999998E-10</v>
      </c>
      <c r="EW16" s="5">
        <v>3.8700000000000001E-9</v>
      </c>
      <c r="EX16" s="5">
        <v>4.0899999999999998E-10</v>
      </c>
      <c r="EY16" s="5">
        <v>2.6500000000000002E-9</v>
      </c>
      <c r="EZ16" s="5">
        <v>8.2799999999999995E-12</v>
      </c>
      <c r="FA16" s="5">
        <v>5.4499999999999996E-12</v>
      </c>
      <c r="FB16" s="5">
        <v>4.3300000000000002E-11</v>
      </c>
      <c r="FC16" s="5">
        <v>2.67276860526462E-8</v>
      </c>
      <c r="FD16" s="5">
        <v>8.0527050737047204E-9</v>
      </c>
      <c r="FE16" s="5">
        <v>1.5725125339609401E-10</v>
      </c>
      <c r="FF16" s="5">
        <v>2.9766815230515301E-11</v>
      </c>
      <c r="FG16" s="5">
        <v>1.5262198953905099E-11</v>
      </c>
      <c r="FH16" s="5">
        <v>4.5200000000000001E-9</v>
      </c>
      <c r="FI16" s="5">
        <v>5.3200000000000001E-11</v>
      </c>
      <c r="FJ16" s="5">
        <v>3.6E-10</v>
      </c>
      <c r="FK16" s="5">
        <v>3.1500000000000001E-12</v>
      </c>
      <c r="FL16" s="5">
        <v>1.9500000000000001E-11</v>
      </c>
      <c r="FM16" s="5">
        <v>3.3100000000000001E-11</v>
      </c>
      <c r="FN16" s="5">
        <v>2.11E-9</v>
      </c>
      <c r="FO16" s="5">
        <v>1.3799999999999999E-10</v>
      </c>
      <c r="FP16" s="5">
        <v>3.5400000000000002E-10</v>
      </c>
      <c r="FQ16" s="5">
        <v>3.55E-11</v>
      </c>
      <c r="FR16" s="5">
        <v>1.12E-10</v>
      </c>
      <c r="FS16" s="5">
        <v>4.9299999999999995E-10</v>
      </c>
      <c r="FT16" s="5">
        <v>6.9000000000000001E-12</v>
      </c>
      <c r="FU16" s="5">
        <v>5.9099999999999997E-9</v>
      </c>
      <c r="FV16" s="5">
        <v>6.9200000000000004E-12</v>
      </c>
      <c r="FW16" s="5">
        <v>1.59E-15</v>
      </c>
      <c r="FX16" s="5">
        <v>1.1000000000000001E-11</v>
      </c>
      <c r="FY16" s="5">
        <v>1.23E-11</v>
      </c>
      <c r="FZ16" s="5">
        <v>5.1999999999999996E-10</v>
      </c>
      <c r="GA16" s="5">
        <v>4.7900000000000004E-12</v>
      </c>
      <c r="GB16" s="5">
        <v>3.7900000000000002E-8</v>
      </c>
      <c r="GC16" s="5">
        <v>5.5500000000000002E-11</v>
      </c>
      <c r="GD16" s="5">
        <v>1.0700000000000001E-12</v>
      </c>
      <c r="GE16" s="5">
        <v>6.88E-10</v>
      </c>
      <c r="GF16" s="5">
        <v>8.4199999999999999E-10</v>
      </c>
      <c r="GG16" s="5">
        <v>1.41E-11</v>
      </c>
      <c r="GH16" s="5">
        <v>5.8299999999999999E-8</v>
      </c>
      <c r="GI16" s="5">
        <v>5.5500000000000002E-11</v>
      </c>
      <c r="GJ16" s="5">
        <v>1.0700000000000001E-12</v>
      </c>
      <c r="GK16" s="5">
        <v>7.8099999999999999E-10</v>
      </c>
      <c r="GL16" s="5">
        <v>1.0599999999999999E-11</v>
      </c>
      <c r="GM16" s="5">
        <v>4.5800000000000003E-9</v>
      </c>
      <c r="GN16" s="5">
        <v>1.4599999999999999E-9</v>
      </c>
      <c r="GO16" s="5">
        <v>1.4700000000000002E-11</v>
      </c>
      <c r="GP16" s="5">
        <v>8.5299999999999995E-10</v>
      </c>
      <c r="GQ16" s="5">
        <v>2.9500000000000002E-11</v>
      </c>
      <c r="GR16" s="5">
        <v>2.0440731488765902E-12</v>
      </c>
      <c r="GS16" s="5">
        <v>2.8542870100967E-8</v>
      </c>
      <c r="GT16" s="5">
        <v>1.20976521454249E-8</v>
      </c>
      <c r="GU16" s="5">
        <v>2.41093573236265E-11</v>
      </c>
      <c r="GV16" s="5">
        <v>4.3663775875302797E-11</v>
      </c>
      <c r="GW16" s="5">
        <v>2.9899999999999998E-9</v>
      </c>
      <c r="GX16" s="5">
        <v>2.0399999999999999E-10</v>
      </c>
      <c r="GY16" s="5">
        <v>4.0599999999999999E-10</v>
      </c>
      <c r="GZ16" s="5">
        <v>5.9099999999999997E-12</v>
      </c>
      <c r="HA16" s="5">
        <v>1.9500000000000001E-11</v>
      </c>
      <c r="HB16" s="5">
        <v>6.2200000000000002E-11</v>
      </c>
      <c r="HC16" s="5">
        <v>9.4799999999999995E-9</v>
      </c>
      <c r="HD16" s="5">
        <v>1.6999999999999999E-11</v>
      </c>
      <c r="HE16" s="5">
        <v>5.9399999999999999E-13</v>
      </c>
      <c r="HF16" s="5">
        <v>4.92E-12</v>
      </c>
      <c r="HG16" s="5">
        <v>1.1800000000000001E-11</v>
      </c>
      <c r="HH16" s="5">
        <v>1E-8</v>
      </c>
      <c r="HI16" s="5">
        <v>2.5000000000000001E-9</v>
      </c>
      <c r="HJ16" s="5">
        <v>1.4700000000000002E-11</v>
      </c>
      <c r="HK16" s="5">
        <v>4.5200000000000001E-9</v>
      </c>
      <c r="HL16" s="5">
        <v>2.9599999999999999E-12</v>
      </c>
      <c r="HM16" s="5">
        <v>2.23E-11</v>
      </c>
      <c r="HN16" s="5">
        <v>4.8699999999999997E-10</v>
      </c>
      <c r="HO16" s="5">
        <v>7.6699999999999996E-13</v>
      </c>
      <c r="HP16" s="5">
        <v>3.3199999999999999E-11</v>
      </c>
      <c r="HQ16" s="5">
        <v>9.4400000000000002E-13</v>
      </c>
      <c r="HR16" s="5">
        <v>5.7499999999999998E-10</v>
      </c>
      <c r="HS16" s="5">
        <v>9.9999999999999998E-13</v>
      </c>
      <c r="HT16" s="5">
        <v>3.3199999999999999E-11</v>
      </c>
      <c r="HU16" s="5">
        <v>1.0300000000000001E-12</v>
      </c>
      <c r="HV16" s="5">
        <v>4.9200000000000002E-11</v>
      </c>
      <c r="HW16" s="5">
        <v>3.3199999999999999E-11</v>
      </c>
      <c r="HX16" s="5">
        <v>5.6200000000000003E-13</v>
      </c>
      <c r="HY16" s="5">
        <v>7.8399999999999994E-9</v>
      </c>
      <c r="HZ16" s="5">
        <v>3.9099999999999999E-9</v>
      </c>
      <c r="IA16" s="5">
        <v>1.2E-5</v>
      </c>
      <c r="IB16" s="5"/>
      <c r="IC16" s="5">
        <v>5.76E-9</v>
      </c>
      <c r="ID16">
        <f t="shared" si="1"/>
        <v>8.4000000000000009E-5</v>
      </c>
      <c r="IE16">
        <f t="shared" si="3"/>
        <v>0</v>
      </c>
      <c r="IF16">
        <f t="shared" si="2"/>
        <v>4.032E-8</v>
      </c>
      <c r="IG16" s="5">
        <v>1.95E-10</v>
      </c>
      <c r="IH16" s="5">
        <v>1.1700000000000001E-9</v>
      </c>
      <c r="II16" s="5">
        <v>2.8799999999999998E-7</v>
      </c>
      <c r="IJ16" s="5">
        <v>9.5000000000000003E-10</v>
      </c>
      <c r="IK16" s="5">
        <v>1.13E-10</v>
      </c>
      <c r="IL16" s="5">
        <v>-2.9100000000000001E-6</v>
      </c>
      <c r="IM16" s="5">
        <v>-2.8200000000000001E-7</v>
      </c>
      <c r="IN16" s="5">
        <v>-5.7100000000000002E-7</v>
      </c>
      <c r="IO16" s="5">
        <v>-1.2499999999999999E-8</v>
      </c>
      <c r="IP16" s="5">
        <v>-9.8100000000000002E-11</v>
      </c>
      <c r="IQ16" s="5">
        <v>-1.2436391945550301E-9</v>
      </c>
      <c r="IR16" s="5">
        <v>2.9171234107608297E-11</v>
      </c>
      <c r="IS16" s="5">
        <v>1.7587998474417299E-10</v>
      </c>
      <c r="IT16" s="5">
        <v>2.0728334632812701E-7</v>
      </c>
      <c r="IU16" s="5">
        <v>2.4504440410115002E-10</v>
      </c>
      <c r="IV16" s="5">
        <v>1.01585706905705E-10</v>
      </c>
      <c r="IW16" s="5">
        <v>2.8899999999999998E-10</v>
      </c>
      <c r="IX16" s="5">
        <v>1.74E-9</v>
      </c>
      <c r="IY16" s="5">
        <v>2.6500000000000002E-10</v>
      </c>
      <c r="IZ16" s="5">
        <v>1.4499999999999999E-10</v>
      </c>
    </row>
    <row r="17" spans="1:260" x14ac:dyDescent="0.3">
      <c r="A17" t="s">
        <v>132</v>
      </c>
      <c r="B17" s="5">
        <v>2.9E-19</v>
      </c>
      <c r="C17" s="5">
        <v>-9.0499999999999995E-20</v>
      </c>
      <c r="D17" s="5">
        <v>2.7399999999999999E-22</v>
      </c>
      <c r="E17">
        <v>5.33E-20</v>
      </c>
      <c r="F17">
        <v>1.27E-19</v>
      </c>
      <c r="G17">
        <v>-8.2999999999999999E-20</v>
      </c>
      <c r="H17">
        <v>1.1E-20</v>
      </c>
      <c r="I17" s="5"/>
      <c r="J17" s="5">
        <v>-2.32E-19</v>
      </c>
      <c r="K17" s="5">
        <v>2.8100000000000001E-22</v>
      </c>
      <c r="M17">
        <v>-3.48E-19</v>
      </c>
      <c r="N17">
        <v>4.4500000000000003E-20</v>
      </c>
      <c r="O17" s="5"/>
      <c r="P17" s="5">
        <v>-2.32E-19</v>
      </c>
      <c r="Q17" s="5">
        <v>2.89E-22</v>
      </c>
      <c r="R17" s="5">
        <v>-1.58E-19</v>
      </c>
      <c r="S17" s="5"/>
      <c r="T17" s="5">
        <v>1.37E-21</v>
      </c>
      <c r="U17">
        <v>-2.32E-19</v>
      </c>
      <c r="W17">
        <v>2.8700000000000002E-20</v>
      </c>
      <c r="X17" s="5">
        <v>-2.32E-19</v>
      </c>
      <c r="Y17" s="5"/>
      <c r="Z17" s="5">
        <v>1.72E-22</v>
      </c>
      <c r="AA17" s="5">
        <v>-2.32E-19</v>
      </c>
      <c r="AB17" s="5"/>
      <c r="AC17" s="5">
        <v>8.1100000000000002E-21</v>
      </c>
      <c r="AD17" s="5">
        <v>2.51E-19</v>
      </c>
      <c r="AE17" s="5">
        <v>2.6399999999999999E-15</v>
      </c>
      <c r="AF17" s="5">
        <v>-9.2900000000000002E-23</v>
      </c>
      <c r="AG17" s="5">
        <v>-2.32E-19</v>
      </c>
      <c r="AI17" s="5">
        <v>2.8100000000000001E-22</v>
      </c>
      <c r="AJ17" s="5">
        <v>1.4799999999999999E-16</v>
      </c>
      <c r="AK17" s="5">
        <v>7.8399999999999999E-18</v>
      </c>
      <c r="AL17" s="5">
        <v>6.6199999999999995E-20</v>
      </c>
      <c r="AM17" s="5">
        <v>4.9899999999999998E-21</v>
      </c>
      <c r="AO17" s="5">
        <v>5.2868413630281901E-21</v>
      </c>
      <c r="AP17" s="5">
        <v>7.8300000000000007E-18</v>
      </c>
      <c r="AQ17" s="5">
        <v>4.5600000000000002E-19</v>
      </c>
      <c r="AR17" s="5">
        <v>8.47E-19</v>
      </c>
      <c r="AS17" s="5">
        <v>1.3899999999999999E-19</v>
      </c>
      <c r="AT17" s="5">
        <v>2.9900000000000001E-19</v>
      </c>
      <c r="AU17" s="5">
        <v>3.2499999999999998E-17</v>
      </c>
      <c r="AV17" s="5">
        <v>2.1199999999999999E-21</v>
      </c>
      <c r="AW17" s="5">
        <v>-3.7799999999999997E-20</v>
      </c>
      <c r="AX17" s="5">
        <v>1.7500000000000002E-21</v>
      </c>
      <c r="AY17" s="5">
        <v>6.4399999999999995E-20</v>
      </c>
      <c r="AZ17" s="5">
        <v>4.7000000000000003E-21</v>
      </c>
      <c r="BA17" s="5">
        <v>8.92E-17</v>
      </c>
      <c r="BC17" s="5">
        <v>-2.63E-20</v>
      </c>
      <c r="BD17" s="5">
        <v>1.13E-21</v>
      </c>
      <c r="BF17" s="5">
        <v>-1.9700000000000001E-20</v>
      </c>
      <c r="BG17" s="5">
        <v>2.09E-23</v>
      </c>
      <c r="BH17" s="5"/>
      <c r="BI17" s="5"/>
      <c r="BJ17" s="5">
        <v>-1.2599999999999999E-19</v>
      </c>
      <c r="BL17" s="5">
        <v>2.1499999999999999E-21</v>
      </c>
      <c r="BM17" s="5">
        <v>1.2E-20</v>
      </c>
      <c r="BN17" s="5"/>
      <c r="BO17" s="5">
        <v>-2.63E-20</v>
      </c>
      <c r="BP17" s="5"/>
      <c r="BQ17" s="5">
        <v>3.8800000000000001E-22</v>
      </c>
      <c r="BR17" s="5">
        <v>2.4699999999999998E-21</v>
      </c>
      <c r="BS17" s="5">
        <v>1.0599999999999999E-21</v>
      </c>
      <c r="BT17" s="5"/>
      <c r="BU17" s="5">
        <v>-1.14E-19</v>
      </c>
      <c r="BV17" s="5"/>
      <c r="BW17" s="5">
        <v>1.6299999999999999E-21</v>
      </c>
      <c r="BX17" s="5">
        <v>8.8399999999999998E-21</v>
      </c>
      <c r="BY17" s="5"/>
      <c r="BZ17" s="5">
        <v>-1.2599999999999999E-19</v>
      </c>
      <c r="CA17" s="5"/>
      <c r="CB17" s="5">
        <v>1.95E-21</v>
      </c>
      <c r="CC17" s="5">
        <v>1.7699999999999999E-21</v>
      </c>
      <c r="CD17" s="5">
        <v>2.8300000000000001E-21</v>
      </c>
      <c r="CE17" s="5"/>
      <c r="CF17" s="5">
        <v>-1.2599999999999999E-19</v>
      </c>
      <c r="CG17" s="5"/>
      <c r="CH17" s="5">
        <v>2.1300000000000001E-21</v>
      </c>
      <c r="CI17" s="5">
        <v>2.1199999999999999E-21</v>
      </c>
      <c r="CJ17" s="5">
        <v>7.7800000000000004E-21</v>
      </c>
      <c r="CK17" s="5">
        <v>4.3099999999999997E-21</v>
      </c>
      <c r="CL17" s="5">
        <v>3.8600000000000001E-19</v>
      </c>
      <c r="CM17" s="5">
        <v>5.7899999999999996E-19</v>
      </c>
      <c r="CN17" s="5">
        <v>2.9800000000000001E-21</v>
      </c>
      <c r="CO17" s="5"/>
      <c r="CP17" s="5">
        <v>9.7631567529127407E-18</v>
      </c>
      <c r="CQ17" s="5"/>
      <c r="CR17" s="5"/>
      <c r="CS17" s="5">
        <v>1.2299999999999999E-17</v>
      </c>
      <c r="CT17" s="5">
        <v>-3.3600000000000002E-20</v>
      </c>
      <c r="CU17" s="5">
        <v>6.6199999999999996E-22</v>
      </c>
      <c r="CV17" s="5">
        <v>4.1600000000000003E-20</v>
      </c>
      <c r="CW17" s="5">
        <v>8.3099999999999997E-15</v>
      </c>
      <c r="CX17" s="5">
        <v>-1.1099999999999999E-17</v>
      </c>
      <c r="CY17" s="5">
        <v>8.3600000000000002E-19</v>
      </c>
      <c r="CZ17" s="5">
        <v>3.9199999999999998E-21</v>
      </c>
      <c r="DA17" s="5">
        <v>9.7499999999999997E-18</v>
      </c>
      <c r="DB17" s="5">
        <v>1.95E-20</v>
      </c>
      <c r="DC17" s="5">
        <v>5.6300000000000001E-19</v>
      </c>
      <c r="DD17" s="5">
        <v>5.3000000000000003E-18</v>
      </c>
      <c r="DE17" s="5">
        <v>-8.1399999999999997E-24</v>
      </c>
      <c r="DF17" s="5">
        <v>4.2899999999999999E-21</v>
      </c>
      <c r="DG17" s="5">
        <v>2.8300000000000001E-21</v>
      </c>
      <c r="DH17" s="5">
        <v>1.12E-20</v>
      </c>
      <c r="DI17" s="5">
        <v>4.37E-17</v>
      </c>
      <c r="DJ17" s="5">
        <v>1.14E-19</v>
      </c>
      <c r="DK17" s="5">
        <v>5.7699999999999999E-19</v>
      </c>
      <c r="DL17" s="5">
        <v>2.7799999999999999E-21</v>
      </c>
      <c r="DM17" s="5">
        <v>8.2199999999999997E-17</v>
      </c>
      <c r="DN17" s="5">
        <v>-1.77E-19</v>
      </c>
      <c r="DO17" s="5">
        <v>9.5699999999999993E-21</v>
      </c>
      <c r="DP17" s="5">
        <v>7.1200000000000007E-21</v>
      </c>
      <c r="DQ17" s="5">
        <v>8.4299999999999994E-21</v>
      </c>
      <c r="DR17" s="5"/>
      <c r="DS17" s="5">
        <v>1.74E-17</v>
      </c>
      <c r="DT17" s="5">
        <v>6.51E-18</v>
      </c>
      <c r="DU17" s="5">
        <v>5.5799999999999996E-22</v>
      </c>
      <c r="DV17" s="5"/>
      <c r="DW17" s="5">
        <v>2.14E-17</v>
      </c>
      <c r="DX17" s="5">
        <v>-1.77E-19</v>
      </c>
      <c r="DY17" s="5">
        <v>3.4799999999999998E-21</v>
      </c>
      <c r="DZ17" s="5">
        <v>-1.31E-20</v>
      </c>
      <c r="EA17" s="5">
        <v>-1.8500000000000001E-23</v>
      </c>
      <c r="EB17" s="5">
        <v>3.4599999999999998E-17</v>
      </c>
      <c r="EC17" s="5">
        <v>1.4500000000000001E-17</v>
      </c>
      <c r="ED17" s="5">
        <v>1.13E-18</v>
      </c>
      <c r="EE17" s="5">
        <v>-1.56E-20</v>
      </c>
      <c r="EF17" s="5">
        <v>-2.0300000000000001E-22</v>
      </c>
      <c r="EG17" s="5">
        <v>1.6600000000000001E-16</v>
      </c>
      <c r="EH17" s="5">
        <v>-3.9399999999999998E-19</v>
      </c>
      <c r="EI17" s="5">
        <v>3.25E-19</v>
      </c>
      <c r="EJ17" s="5">
        <v>2.12E-20</v>
      </c>
      <c r="EK17" s="5">
        <v>-3.9000000000000001E-21</v>
      </c>
      <c r="EL17" s="5">
        <v>2.4299999999999999E-21</v>
      </c>
      <c r="EM17" s="5">
        <v>2.8099999999999999E-19</v>
      </c>
      <c r="EN17" s="5">
        <v>1.1399999999999999E-17</v>
      </c>
      <c r="EO17" s="5">
        <v>1.23E-21</v>
      </c>
      <c r="EP17" s="5">
        <v>3.1700000000000001E-21</v>
      </c>
      <c r="EQ17" s="5">
        <v>5.4799999999999998E-17</v>
      </c>
      <c r="ER17" s="5">
        <v>-2.2100000000000002E-18</v>
      </c>
      <c r="ES17" s="5">
        <v>1.34E-21</v>
      </c>
      <c r="ET17" s="5">
        <v>4.5299999999999998E-17</v>
      </c>
      <c r="EU17" s="5">
        <v>2.19E-19</v>
      </c>
      <c r="EV17" s="5">
        <v>2.22E-19</v>
      </c>
      <c r="EW17" s="5">
        <v>1.4100000000000001E-21</v>
      </c>
      <c r="EX17" s="5"/>
      <c r="EY17" s="5">
        <v>5.3700000000000005E-16</v>
      </c>
      <c r="EZ17" s="5">
        <v>-3.1099999999999997E-20</v>
      </c>
      <c r="FA17" s="5"/>
      <c r="FB17" s="5">
        <v>1.12E-21</v>
      </c>
      <c r="FC17" s="5">
        <v>1.6934045508747902E-17</v>
      </c>
      <c r="FD17" s="5">
        <v>4.4635720194617999E-18</v>
      </c>
      <c r="FE17" s="5">
        <v>8.3598326273447296E-20</v>
      </c>
      <c r="FF17" s="5">
        <v>2.2811741436769801E-20</v>
      </c>
      <c r="FG17" s="5">
        <v>2.2780324272358899E-17</v>
      </c>
      <c r="FH17" s="5">
        <v>1.64E-21</v>
      </c>
      <c r="FI17" s="5"/>
      <c r="FJ17" s="5">
        <v>7.3000000000000003E-17</v>
      </c>
      <c r="FK17" s="5">
        <v>-1.6099999999999999E-20</v>
      </c>
      <c r="FL17" s="5">
        <v>1.6599999999999999E-21</v>
      </c>
      <c r="FM17" s="5">
        <v>8.6000000000000007E-22</v>
      </c>
      <c r="FN17" s="5">
        <v>1.12E-18</v>
      </c>
      <c r="FO17" s="5">
        <v>7.3499999999999996E-20</v>
      </c>
      <c r="FP17" s="5">
        <v>-1.11E-22</v>
      </c>
      <c r="FQ17" s="5">
        <v>7.2000000000000002E-18</v>
      </c>
      <c r="FR17" s="5">
        <v>-6.8799999999999997E-20</v>
      </c>
      <c r="FS17" s="5"/>
      <c r="FT17" s="5">
        <v>1.79E-22</v>
      </c>
      <c r="FU17" s="5">
        <v>2.9400000000000001E-18</v>
      </c>
      <c r="FV17" s="5">
        <v>5.2999999999999999E-21</v>
      </c>
      <c r="FW17" s="5">
        <v>-8.1399999999999997E-24</v>
      </c>
      <c r="FX17" s="5">
        <v>2.8499999999999998E-22</v>
      </c>
      <c r="FY17" s="5">
        <v>2.4699999999999998E-21</v>
      </c>
      <c r="FZ17" s="5">
        <v>2.6000000000000001E-19</v>
      </c>
      <c r="GA17" s="5">
        <v>2.4100000000000002E-21</v>
      </c>
      <c r="GB17" s="5"/>
      <c r="GC17" s="5"/>
      <c r="GD17" s="5">
        <v>-4.8699999999999998E-21</v>
      </c>
      <c r="GE17" s="5">
        <v>7.9299999999999993E-21</v>
      </c>
      <c r="GF17" s="5">
        <v>4.1999999999999998E-19</v>
      </c>
      <c r="GG17" s="5">
        <v>-9.0300000000000002E-23</v>
      </c>
      <c r="GH17" s="5"/>
      <c r="GI17" s="5"/>
      <c r="GJ17" s="5">
        <v>-4.8699999999999998E-21</v>
      </c>
      <c r="GK17" s="5">
        <v>8.9700000000000005E-21</v>
      </c>
      <c r="GL17" s="5">
        <v>2.1199999999999999E-21</v>
      </c>
      <c r="GM17" s="5">
        <v>2.4899999999999998E-18</v>
      </c>
      <c r="GN17" s="5">
        <v>1.6399999999999999E-18</v>
      </c>
      <c r="GO17" s="5">
        <v>1.12E-20</v>
      </c>
      <c r="GP17" s="5">
        <v>-1.12E-18</v>
      </c>
      <c r="GQ17" s="5">
        <v>7.6599999999999996E-22</v>
      </c>
      <c r="GR17" s="5">
        <v>1.56647151497131E-21</v>
      </c>
      <c r="GS17" s="5">
        <v>2.1039160857362199E-17</v>
      </c>
      <c r="GT17" s="5">
        <v>6.58866054934284E-18</v>
      </c>
      <c r="GU17" s="5">
        <v>1.8476159482101899E-20</v>
      </c>
      <c r="GV17" s="5">
        <v>6.5087711686085002E-17</v>
      </c>
      <c r="GW17" s="5">
        <v>1.09E-21</v>
      </c>
      <c r="GX17" s="5"/>
      <c r="GY17" s="5">
        <v>8.2199999999999997E-17</v>
      </c>
      <c r="GZ17" s="5">
        <v>-3.0300000000000001E-20</v>
      </c>
      <c r="HA17" s="5">
        <v>1.6599999999999999E-21</v>
      </c>
      <c r="HB17" s="5">
        <v>1.62E-21</v>
      </c>
      <c r="HC17" s="5">
        <v>5.1700000000000002E-18</v>
      </c>
      <c r="HD17" s="5">
        <v>1.3E-20</v>
      </c>
      <c r="HE17" s="5">
        <v>8.8699999999999998E-19</v>
      </c>
      <c r="HF17" s="5">
        <v>-2.52E-20</v>
      </c>
      <c r="HG17" s="5">
        <v>3.0499999999999998E-22</v>
      </c>
      <c r="HH17" s="5">
        <v>6.2499999999999999E-18</v>
      </c>
      <c r="HI17" s="5">
        <v>1.3600000000000001E-18</v>
      </c>
      <c r="HJ17" s="5">
        <v>1.12E-20</v>
      </c>
      <c r="HK17" s="5">
        <v>1.64E-21</v>
      </c>
      <c r="HL17" s="5">
        <v>-1.5099999999999999E-20</v>
      </c>
      <c r="HM17" s="5">
        <v>5.78E-22</v>
      </c>
      <c r="HN17" s="5">
        <v>2.6499999999999999E-19</v>
      </c>
      <c r="HO17" s="5">
        <v>5.8700000000000001E-22</v>
      </c>
      <c r="HP17" s="5">
        <v>-1.9700000000000001E-20</v>
      </c>
      <c r="HQ17" s="5">
        <v>2.4499999999999999E-23</v>
      </c>
      <c r="HR17" s="5">
        <v>3.1400000000000002E-19</v>
      </c>
      <c r="HS17" s="5">
        <v>1.2E-21</v>
      </c>
      <c r="HT17" s="5">
        <v>-1.9700000000000001E-20</v>
      </c>
      <c r="HU17" s="5">
        <v>2.6799999999999998E-23</v>
      </c>
      <c r="HV17" s="5">
        <v>2.6799999999999999E-20</v>
      </c>
      <c r="HW17" s="5">
        <v>-1.9700000000000001E-20</v>
      </c>
      <c r="HX17" s="5">
        <v>1.4600000000000001E-23</v>
      </c>
      <c r="HY17" s="5">
        <v>-2.08E-17</v>
      </c>
      <c r="HZ17" s="5">
        <v>1.02E-19</v>
      </c>
      <c r="IA17" s="5">
        <v>1.35E-16</v>
      </c>
      <c r="IB17" s="5"/>
      <c r="ID17">
        <f t="shared" si="1"/>
        <v>9.4499999999999997E-16</v>
      </c>
      <c r="IE17">
        <f t="shared" si="3"/>
        <v>0</v>
      </c>
      <c r="IF17">
        <f t="shared" si="2"/>
        <v>0</v>
      </c>
      <c r="IG17" s="5">
        <v>2.1199999999999999E-21</v>
      </c>
      <c r="IH17" s="5">
        <v>1.3E-20</v>
      </c>
      <c r="II17" s="5">
        <v>5.3000000000000002E-20</v>
      </c>
      <c r="IJ17" s="5">
        <v>3.9400000000000002E-20</v>
      </c>
      <c r="IK17" s="5">
        <v>4.3099999999999997E-21</v>
      </c>
      <c r="IL17" s="5">
        <v>-1.35E-16</v>
      </c>
      <c r="IM17" s="5">
        <v>-1.4300000000000001E-16</v>
      </c>
      <c r="IN17" s="5">
        <v>-1.94E-20</v>
      </c>
      <c r="IO17" s="5">
        <v>-5.5700000000000002E-15</v>
      </c>
      <c r="IP17" s="5">
        <v>-3.8699999999999999E-19</v>
      </c>
      <c r="IQ17" s="5">
        <v>-3.27402143465603E-18</v>
      </c>
      <c r="IR17" s="5">
        <v>3.1748732538605198E-22</v>
      </c>
      <c r="IS17" s="5">
        <v>1.94562978639314E-21</v>
      </c>
      <c r="IT17" s="5">
        <v>3.8101176604265002E-20</v>
      </c>
      <c r="IU17" s="5">
        <v>1.01737991607537E-20</v>
      </c>
      <c r="IV17" s="5">
        <v>3.8590343854460601E-21</v>
      </c>
      <c r="IY17" s="5">
        <v>6.5800000000000006E-20</v>
      </c>
      <c r="IZ17" s="5">
        <v>2.7600000000000001E-19</v>
      </c>
    </row>
    <row r="18" spans="1:260" x14ac:dyDescent="0.3">
      <c r="A18" t="s">
        <v>133</v>
      </c>
      <c r="B18" s="5">
        <v>3.41E-9</v>
      </c>
      <c r="C18" s="5">
        <v>-2.5800000000000001E-13</v>
      </c>
      <c r="D18" s="5">
        <v>1.0299999999999999E-11</v>
      </c>
      <c r="E18">
        <v>6.6500000000000003E-11</v>
      </c>
      <c r="F18">
        <v>2.7900000000000002E-10</v>
      </c>
      <c r="G18">
        <v>-1.9699999999999999E-13</v>
      </c>
      <c r="H18">
        <v>9.5999999999999999E-10</v>
      </c>
      <c r="I18" s="5"/>
      <c r="J18" s="5">
        <v>2.9500000000000002E-12</v>
      </c>
      <c r="K18" s="5">
        <v>1.0499999999999999E-11</v>
      </c>
      <c r="M18">
        <v>4.4300000000000003E-12</v>
      </c>
      <c r="N18">
        <v>3.8700000000000001E-9</v>
      </c>
      <c r="O18" s="5"/>
      <c r="P18" s="5">
        <v>2.9500000000000002E-12</v>
      </c>
      <c r="Q18" s="5">
        <v>1.0799999999999999E-11</v>
      </c>
      <c r="R18" s="5">
        <v>3.5699999999999999E-12</v>
      </c>
      <c r="S18" s="5">
        <v>4.65E-10</v>
      </c>
      <c r="T18" s="5">
        <v>5.1500000000000003E-11</v>
      </c>
      <c r="U18">
        <v>2.9500000000000002E-12</v>
      </c>
      <c r="W18">
        <v>2.4899999999999999E-9</v>
      </c>
      <c r="X18" s="5">
        <v>2.9500000000000002E-12</v>
      </c>
      <c r="Y18" s="5"/>
      <c r="Z18" s="5">
        <v>6.4500000000000002E-12</v>
      </c>
      <c r="AA18" s="5">
        <v>2.9500000000000002E-12</v>
      </c>
      <c r="AB18" s="5"/>
      <c r="AC18" s="5">
        <v>7.0500000000000005E-10</v>
      </c>
      <c r="AD18" s="5">
        <v>1.1700000000000001E-10</v>
      </c>
      <c r="AE18" s="5">
        <v>1.26E-8</v>
      </c>
      <c r="AF18" s="5">
        <v>1.18E-15</v>
      </c>
      <c r="AG18" s="5">
        <v>2.9500000000000002E-12</v>
      </c>
      <c r="AI18" s="5">
        <v>1.0499999999999999E-11</v>
      </c>
      <c r="AJ18" s="5">
        <v>7.65659214587209E-10</v>
      </c>
      <c r="AK18" s="5">
        <v>4.0621539943224702E-11</v>
      </c>
      <c r="AL18" s="5">
        <v>3.1190216232876601E-10</v>
      </c>
      <c r="AM18" s="5">
        <v>2.3518588475154399E-11</v>
      </c>
      <c r="AN18">
        <v>0</v>
      </c>
      <c r="AO18" s="5">
        <v>2.4655187282359199E-12</v>
      </c>
      <c r="AP18" s="5">
        <v>3.1732919720292198E-9</v>
      </c>
      <c r="AQ18" s="5">
        <v>2.12459386755572E-10</v>
      </c>
      <c r="AR18" s="5">
        <v>3.5911034277085402E-10</v>
      </c>
      <c r="AS18" s="5">
        <v>6.4834011001759496E-11</v>
      </c>
      <c r="AT18" s="5">
        <v>1.38474291477468E-10</v>
      </c>
      <c r="AU18" s="5">
        <v>2.06594797708401E-11</v>
      </c>
      <c r="AV18" s="5">
        <v>9.5741889394062597E-11</v>
      </c>
      <c r="AW18" s="5">
        <v>3.5556638429488398E-12</v>
      </c>
      <c r="AX18" s="5">
        <v>6.56812017513806E-11</v>
      </c>
      <c r="AY18" s="5">
        <v>2.74E-11</v>
      </c>
      <c r="AZ18" s="5">
        <v>2.1900000000000002E-12</v>
      </c>
      <c r="BA18" s="5">
        <v>2.36E-8</v>
      </c>
      <c r="BB18" s="5">
        <v>1.06E-10</v>
      </c>
      <c r="BC18" s="5">
        <v>5.9399999999999999E-13</v>
      </c>
      <c r="BD18" s="5">
        <v>4.2299999999999999E-11</v>
      </c>
      <c r="BE18" s="5">
        <v>3.3599999999999999E-11</v>
      </c>
      <c r="BF18" s="5">
        <v>4.4600000000000002E-13</v>
      </c>
      <c r="BG18" s="5">
        <v>7.8599999999999998E-13</v>
      </c>
      <c r="BH18" s="5">
        <v>1.2604905820959801E-9</v>
      </c>
      <c r="BI18" s="5">
        <v>1.80355641402719E-11</v>
      </c>
      <c r="BJ18" s="5">
        <v>2.8524848210412601E-12</v>
      </c>
      <c r="BK18" s="5">
        <v>0</v>
      </c>
      <c r="BL18" s="5">
        <v>8.0781707877464897E-11</v>
      </c>
      <c r="BM18" s="5">
        <v>4.7630478129466399E-11</v>
      </c>
      <c r="BN18" s="5">
        <v>1.5176055764538599E-10</v>
      </c>
      <c r="BO18" s="5">
        <v>5.9426767223879803E-13</v>
      </c>
      <c r="BP18" s="5">
        <v>0</v>
      </c>
      <c r="BQ18" s="5">
        <v>1.4538480074199699E-11</v>
      </c>
      <c r="BR18" s="5">
        <v>9.8062749090077897E-12</v>
      </c>
      <c r="BS18" s="5">
        <v>4.2026892467176202E-12</v>
      </c>
      <c r="BT18" s="5">
        <v>1.09E-9</v>
      </c>
      <c r="BU18" s="5">
        <v>2.5900000000000001E-12</v>
      </c>
      <c r="BV18" s="5"/>
      <c r="BW18" s="5">
        <v>6.1200000000000006E-11</v>
      </c>
      <c r="BX18" s="5">
        <v>3.5000000000000002E-11</v>
      </c>
      <c r="BY18" s="5">
        <v>1.0711034399104099E-9</v>
      </c>
      <c r="BZ18" s="5">
        <v>2.8524848210412601E-12</v>
      </c>
      <c r="CA18" s="5">
        <v>0</v>
      </c>
      <c r="CB18" s="5">
        <v>7.2955631904375502E-11</v>
      </c>
      <c r="CC18" s="5">
        <v>7.0044820778627098E-12</v>
      </c>
      <c r="CD18" s="5">
        <v>1.12071713245803E-11</v>
      </c>
      <c r="CE18" s="5">
        <v>1.3683534577778201E-9</v>
      </c>
      <c r="CF18" s="5">
        <v>2.8524848210412601E-12</v>
      </c>
      <c r="CG18" s="5">
        <v>0</v>
      </c>
      <c r="CH18" s="5">
        <v>8.0002137567079505E-11</v>
      </c>
      <c r="CI18" s="5">
        <v>8.4053784934352501E-12</v>
      </c>
      <c r="CJ18" s="5">
        <v>3.0819721142595899E-11</v>
      </c>
      <c r="CK18" s="5">
        <v>2.0089411859700099E-12</v>
      </c>
      <c r="CL18" s="5">
        <v>1.45163045395429E-10</v>
      </c>
      <c r="CM18" s="5">
        <v>2.4546782923577402E-10</v>
      </c>
      <c r="CN18" s="5">
        <v>1.38784962367485E-12</v>
      </c>
      <c r="CO18" s="5">
        <v>4.1694841579921403E-11</v>
      </c>
      <c r="CP18" s="5">
        <v>6.1994177617989101E-12</v>
      </c>
      <c r="CQ18" s="5">
        <v>2.0067511754761799E-11</v>
      </c>
      <c r="CR18" s="5">
        <v>5.6592675586096396E-10</v>
      </c>
      <c r="CS18" s="5">
        <v>5.8766047075839195E-11</v>
      </c>
      <c r="CT18" s="5">
        <v>3.1564727687570399E-12</v>
      </c>
      <c r="CU18" s="5">
        <v>2.4828708767634999E-11</v>
      </c>
      <c r="CV18" s="5">
        <v>1.0200000000000001E-12</v>
      </c>
      <c r="CW18" s="5">
        <v>6.3700000000000001E-9</v>
      </c>
      <c r="CX18" s="5">
        <v>-9.2500000000000001E-10</v>
      </c>
      <c r="CY18" s="5">
        <v>2.1E-10</v>
      </c>
      <c r="CZ18" s="5">
        <v>1.4700000000000001E-10</v>
      </c>
      <c r="DA18" s="5">
        <v>4.1568410644211696E-9</v>
      </c>
      <c r="DB18" s="5">
        <v>9.0991247082665102E-12</v>
      </c>
      <c r="DC18" s="5">
        <v>3.57409000035534E-13</v>
      </c>
      <c r="DD18" s="5">
        <v>2.5248832126134301E-11</v>
      </c>
      <c r="DE18" s="5">
        <v>7.6557874681001999E-16</v>
      </c>
      <c r="DF18" s="5">
        <v>1.6096163080727201E-10</v>
      </c>
      <c r="DG18" s="5">
        <v>1.12071713245803E-11</v>
      </c>
      <c r="DH18" s="5">
        <v>5.2049839818313997E-12</v>
      </c>
      <c r="DI18" s="5">
        <v>1.6863479863541101E-8</v>
      </c>
      <c r="DJ18" s="5">
        <v>5.2962994902845802E-11</v>
      </c>
      <c r="DK18" s="5">
        <v>2.4258645037925501E-10</v>
      </c>
      <c r="DL18" s="5">
        <v>1.2559114253498501E-10</v>
      </c>
      <c r="DM18" s="5">
        <v>3.9177364717226199E-10</v>
      </c>
      <c r="DN18" s="5">
        <v>1.6593127525624602E-11</v>
      </c>
      <c r="DO18" s="5">
        <v>3.6727288028299799E-12</v>
      </c>
      <c r="DP18" s="5">
        <v>2.6693386886369501E-10</v>
      </c>
      <c r="DQ18" s="5">
        <v>3.93351597368013E-12</v>
      </c>
      <c r="DR18" s="5">
        <v>1.91079490350989E-10</v>
      </c>
      <c r="DS18" s="5">
        <v>8.0643672121454002E-9</v>
      </c>
      <c r="DT18" s="5">
        <v>4.13294517453261E-12</v>
      </c>
      <c r="DU18" s="5">
        <v>2.51742983427747E-11</v>
      </c>
      <c r="DV18" s="5">
        <v>6.7462758838206201E-10</v>
      </c>
      <c r="DW18" s="5">
        <v>1.01861148264788E-10</v>
      </c>
      <c r="DX18" s="5">
        <v>1.6593127525624602E-11</v>
      </c>
      <c r="DY18" s="5">
        <v>1.30458720705556E-10</v>
      </c>
      <c r="DZ18" s="5">
        <v>9.5028475008078206E-11</v>
      </c>
      <c r="EA18" s="5">
        <v>1.3412628794365301E-13</v>
      </c>
      <c r="EB18" s="5">
        <v>1.79930298310587E-8</v>
      </c>
      <c r="EC18" s="5">
        <v>7.42711564477053E-9</v>
      </c>
      <c r="ED18" s="5">
        <v>5.2888486446263504E-10</v>
      </c>
      <c r="EE18" s="5">
        <v>1.13135523880471E-10</v>
      </c>
      <c r="EF18" s="5">
        <v>2.3852001005508998E-10</v>
      </c>
      <c r="EG18" s="5">
        <v>8.0532269054599396E-10</v>
      </c>
      <c r="EH18" s="5">
        <v>8.9140150657539399E-12</v>
      </c>
      <c r="EI18" s="5">
        <v>2.8236147046355098E-8</v>
      </c>
      <c r="EJ18" s="5">
        <v>8.4053784934352495E-11</v>
      </c>
      <c r="EK18" s="5">
        <v>4.59548552706139E-9</v>
      </c>
      <c r="EL18" s="5">
        <v>5.9404497681216502E-14</v>
      </c>
      <c r="EM18" s="5">
        <v>1.3082289837047701E-10</v>
      </c>
      <c r="EN18" s="5">
        <v>4.6135348572922901E-9</v>
      </c>
      <c r="EO18" s="5">
        <v>1.0804176413272899E-11</v>
      </c>
      <c r="EP18" s="5">
        <v>1.4281939301876701E-10</v>
      </c>
      <c r="EQ18" s="5">
        <v>2.6091752716707801E-10</v>
      </c>
      <c r="ER18" s="5">
        <v>-1.8526775806617301E-10</v>
      </c>
      <c r="ES18" s="5">
        <v>5.0107776585989697E-11</v>
      </c>
      <c r="ET18" s="5">
        <v>1.8915856805849702E-8</v>
      </c>
      <c r="EU18" s="5">
        <v>9.98401119236583E-11</v>
      </c>
      <c r="EV18" s="5">
        <v>1.0346047107745599E-10</v>
      </c>
      <c r="EW18" s="5">
        <v>6.3475285786118897E-11</v>
      </c>
      <c r="EX18" s="5">
        <v>2.2130124647793101E-10</v>
      </c>
      <c r="EY18" s="5">
        <v>2.55632304779901E-9</v>
      </c>
      <c r="EZ18" s="5">
        <v>5.5172954145780301E-12</v>
      </c>
      <c r="FA18" s="5">
        <v>0</v>
      </c>
      <c r="FB18" s="5">
        <v>4.2156783177550199E-11</v>
      </c>
      <c r="FC18" s="5">
        <v>6.3564438611828499E-9</v>
      </c>
      <c r="FD18" s="5">
        <v>1.94633760724732E-9</v>
      </c>
      <c r="FE18" s="5">
        <v>3.8725861175901999E-11</v>
      </c>
      <c r="FF18" s="5">
        <v>1.06382567347957E-11</v>
      </c>
      <c r="FG18" s="5">
        <v>1.44616358395881E-11</v>
      </c>
      <c r="FH18" s="5">
        <v>7.4054500083805305E-11</v>
      </c>
      <c r="FI18" s="5">
        <v>2.87594130885416E-11</v>
      </c>
      <c r="FJ18" s="5">
        <v>3.4769911186538199E-10</v>
      </c>
      <c r="FK18" s="5">
        <v>1.5170277833617501E-12</v>
      </c>
      <c r="FL18" s="5">
        <v>1.88821758454477E-11</v>
      </c>
      <c r="FM18" s="5">
        <v>3.2244020217933603E-11</v>
      </c>
      <c r="FN18" s="5">
        <v>5.1927859304050398E-10</v>
      </c>
      <c r="FO18" s="5">
        <v>3.4031817397004701E-11</v>
      </c>
      <c r="FP18" s="5">
        <v>5.7012524155302E-12</v>
      </c>
      <c r="FQ18" s="5">
        <v>3.4282030263210899E-11</v>
      </c>
      <c r="FR18" s="5">
        <v>1.5569812993402199E-12</v>
      </c>
      <c r="FS18" s="5">
        <v>0</v>
      </c>
      <c r="FT18" s="5">
        <v>6.7224946432230896E-12</v>
      </c>
      <c r="FU18" s="5">
        <v>1.8728730040524601E-9</v>
      </c>
      <c r="FV18" s="5">
        <v>2.4738832288102401E-12</v>
      </c>
      <c r="FW18" s="5">
        <v>7.6557874681001999E-16</v>
      </c>
      <c r="FX18" s="5">
        <v>1.06923209014947E-11</v>
      </c>
      <c r="FY18" s="5">
        <v>9.8062749090077897E-12</v>
      </c>
      <c r="FZ18" s="5">
        <v>1.2125660488119699E-10</v>
      </c>
      <c r="GA18" s="5">
        <v>1.1843484637719401E-12</v>
      </c>
      <c r="GB18" s="5">
        <v>1.4518739478722599E-11</v>
      </c>
      <c r="GC18" s="5">
        <v>4.8914559902231999E-11</v>
      </c>
      <c r="GD18" s="5">
        <v>4.0454509435982298E-13</v>
      </c>
      <c r="GE18" s="5">
        <v>6.7422151108819495E-10</v>
      </c>
      <c r="GF18" s="5">
        <v>1.96310975892244E-10</v>
      </c>
      <c r="GG18" s="5">
        <v>1.3120051756613901E-12</v>
      </c>
      <c r="GH18" s="5">
        <v>2.2336522274957901E-11</v>
      </c>
      <c r="GI18" s="5">
        <v>4.8914559902231999E-11</v>
      </c>
      <c r="GJ18" s="5">
        <v>4.0454509435982298E-13</v>
      </c>
      <c r="GK18" s="5">
        <v>7.6517208107723402E-10</v>
      </c>
      <c r="GL18" s="5">
        <v>8.4053784934352501E-12</v>
      </c>
      <c r="GM18" s="5">
        <v>1.0580118010116E-9</v>
      </c>
      <c r="GN18" s="5">
        <v>3.8642434379130199E-10</v>
      </c>
      <c r="GO18" s="5">
        <v>5.2378575648745398E-12</v>
      </c>
      <c r="GP18" s="5">
        <v>-9.2590202984909002E-11</v>
      </c>
      <c r="GQ18" s="5">
        <v>2.8717615357707501E-11</v>
      </c>
      <c r="GR18" s="5">
        <v>7.3052406762545899E-13</v>
      </c>
      <c r="GS18" s="5">
        <v>6.7624357960414498E-9</v>
      </c>
      <c r="GT18" s="5">
        <v>2.8089507955828801E-9</v>
      </c>
      <c r="GU18" s="5">
        <v>8.61635787817623E-12</v>
      </c>
      <c r="GV18" s="5">
        <v>4.1329451745326103E-11</v>
      </c>
      <c r="GW18" s="5">
        <v>4.9087554341265303E-11</v>
      </c>
      <c r="GX18" s="5">
        <v>1.10163175559498E-10</v>
      </c>
      <c r="GY18" s="5">
        <v>3.9177364717226199E-10</v>
      </c>
      <c r="GZ18" s="5">
        <v>2.8443357751488699E-12</v>
      </c>
      <c r="HA18" s="5">
        <v>1.88821758454477E-11</v>
      </c>
      <c r="HB18" s="5">
        <v>6.0596659452507105E-11</v>
      </c>
      <c r="HC18" s="5">
        <v>2.1910276609563502E-9</v>
      </c>
      <c r="HD18" s="5">
        <v>6.0856581400064201E-12</v>
      </c>
      <c r="HE18" s="5">
        <v>5.6297082375539403E-13</v>
      </c>
      <c r="HF18" s="5">
        <v>2.3699649840917899E-12</v>
      </c>
      <c r="HG18" s="5">
        <v>1.14528064194957E-11</v>
      </c>
      <c r="HH18" s="5">
        <v>2.1969033108184098E-9</v>
      </c>
      <c r="HI18" s="5">
        <v>5.7551706571217402E-10</v>
      </c>
      <c r="HJ18" s="5">
        <v>5.2378575648745398E-12</v>
      </c>
      <c r="HK18" s="5">
        <v>7.4054500083805305E-11</v>
      </c>
      <c r="HL18" s="5">
        <v>1.42216788757444E-12</v>
      </c>
      <c r="HM18" s="5">
        <v>2.1665288903352601E-11</v>
      </c>
      <c r="HN18" s="5">
        <v>1.13E-10</v>
      </c>
      <c r="HO18" s="5">
        <v>2.7399999999999999E-13</v>
      </c>
      <c r="HP18" s="5">
        <v>4.4600000000000002E-13</v>
      </c>
      <c r="HQ18" s="5">
        <v>9.1900000000000002E-13</v>
      </c>
      <c r="HR18" s="5">
        <v>1.3300000000000001E-10</v>
      </c>
      <c r="HS18" s="5">
        <v>5.5700000000000005E-13</v>
      </c>
      <c r="HT18" s="5">
        <v>4.4600000000000002E-13</v>
      </c>
      <c r="HU18" s="5">
        <v>9.9999999999999998E-13</v>
      </c>
      <c r="HV18" s="5">
        <v>1.1400000000000001E-11</v>
      </c>
      <c r="HW18" s="5">
        <v>4.4600000000000002E-13</v>
      </c>
      <c r="HX18" s="5">
        <v>5.4699999999999999E-13</v>
      </c>
      <c r="HY18" s="5">
        <v>3.7399999999999999E-9</v>
      </c>
      <c r="HZ18" s="5">
        <v>3.8099999999999999E-9</v>
      </c>
      <c r="IA18" s="5">
        <v>1.1800000000000001E-5</v>
      </c>
      <c r="IB18" s="5"/>
      <c r="ID18">
        <f t="shared" si="1"/>
        <v>8.2600000000000002E-5</v>
      </c>
      <c r="IE18">
        <f t="shared" si="3"/>
        <v>0</v>
      </c>
      <c r="IF18">
        <f t="shared" si="2"/>
        <v>0</v>
      </c>
      <c r="IG18" s="5">
        <v>1.8899999999999999E-10</v>
      </c>
      <c r="IH18" s="5">
        <v>1.14E-9</v>
      </c>
      <c r="II18" s="5">
        <v>2.8700000000000002E-7</v>
      </c>
      <c r="IJ18" s="5">
        <v>8.7499999999999998E-10</v>
      </c>
      <c r="IK18" s="5">
        <v>9.2399999999999999E-11</v>
      </c>
      <c r="IL18" s="5">
        <v>-8.3022210914186402E-8</v>
      </c>
      <c r="IM18" s="5">
        <v>-6.8653195811978904E-8</v>
      </c>
      <c r="IN18" s="5">
        <v>-1.1946645833700501E-9</v>
      </c>
      <c r="IO18" s="5">
        <v>-1.12117033138678E-8</v>
      </c>
      <c r="IP18" s="5">
        <v>2.4251713460976201E-11</v>
      </c>
      <c r="IQ18" s="5">
        <v>-1.9586694741147101E-10</v>
      </c>
      <c r="IR18" s="5">
        <v>2.8318766882850799E-11</v>
      </c>
      <c r="IS18" s="5">
        <v>1.7073348395090999E-10</v>
      </c>
      <c r="IT18" s="5">
        <v>2.06724649934139E-7</v>
      </c>
      <c r="IU18" s="5">
        <v>2.25674675746548E-10</v>
      </c>
      <c r="IV18" s="5">
        <v>8.2692741628841404E-11</v>
      </c>
      <c r="IW18" s="5">
        <v>5.8407942767638003E-11</v>
      </c>
      <c r="IX18" s="5">
        <v>3.5181705791434501E-10</v>
      </c>
      <c r="IY18" s="5">
        <v>5.4734940267851703E-11</v>
      </c>
      <c r="IZ18" s="5">
        <v>3.62850422504286E-11</v>
      </c>
    </row>
    <row r="19" spans="1:260" x14ac:dyDescent="0.3">
      <c r="A19" t="s">
        <v>134</v>
      </c>
      <c r="B19" s="5">
        <v>1.2899225871171401E-9</v>
      </c>
      <c r="C19" s="5">
        <v>9.4310062209464192E-12</v>
      </c>
      <c r="D19" s="5">
        <v>2.7881583171570302E-13</v>
      </c>
      <c r="E19">
        <v>1.1852673063124599E-10</v>
      </c>
      <c r="F19">
        <v>9.8218611522448804E-11</v>
      </c>
      <c r="G19">
        <v>8.4334587313060897E-12</v>
      </c>
      <c r="H19">
        <v>1.9618738583324198E-11</v>
      </c>
      <c r="I19" s="5">
        <v>0</v>
      </c>
      <c r="J19" s="5">
        <v>4.5307881418336898E-12</v>
      </c>
      <c r="K19" s="5">
        <v>2.8563260997045999E-13</v>
      </c>
      <c r="L19">
        <v>0</v>
      </c>
      <c r="M19">
        <v>6.7961822127505399E-12</v>
      </c>
      <c r="N19">
        <v>7.8983139386507306E-11</v>
      </c>
      <c r="O19" s="5">
        <v>0</v>
      </c>
      <c r="P19" s="5">
        <v>4.5307881418336898E-12</v>
      </c>
      <c r="Q19" s="5">
        <v>2.9379354168390198E-13</v>
      </c>
      <c r="R19" s="5">
        <v>-5.4446867545697E-12</v>
      </c>
      <c r="S19" s="5">
        <v>1.2149461704307101E-6</v>
      </c>
      <c r="T19" s="5">
        <v>1.3967308898915699E-12</v>
      </c>
      <c r="U19">
        <v>4.5307881418336898E-12</v>
      </c>
      <c r="V19">
        <v>0</v>
      </c>
      <c r="W19">
        <v>5.0917444163555503E-11</v>
      </c>
      <c r="X19" s="5">
        <v>4.5307881418336898E-12</v>
      </c>
      <c r="Y19" s="5">
        <v>0</v>
      </c>
      <c r="Z19" s="5">
        <v>1.7464393866765301E-13</v>
      </c>
      <c r="AA19" s="5">
        <v>4.5307881418336898E-12</v>
      </c>
      <c r="AB19" s="5">
        <v>0</v>
      </c>
      <c r="AC19" s="5">
        <v>1.44121665126526E-11</v>
      </c>
      <c r="AD19" s="5">
        <v>2.1082462728938701E-10</v>
      </c>
      <c r="AE19" s="5">
        <v>4.4074712352948599E-10</v>
      </c>
      <c r="AF19" s="5">
        <v>1.8123152567334799E-15</v>
      </c>
      <c r="AG19" s="5">
        <v>4.5307881418336898E-12</v>
      </c>
      <c r="AH19">
        <v>0</v>
      </c>
      <c r="AI19" s="5">
        <v>2.8563260997045999E-13</v>
      </c>
      <c r="AJ19" s="5">
        <v>3.5860466416780599E-9</v>
      </c>
      <c r="AK19" s="5">
        <v>1.9025531740217899E-10</v>
      </c>
      <c r="AL19" s="5">
        <v>1.0707854665188601E-9</v>
      </c>
      <c r="AM19" s="5">
        <v>8.0741225210514196E-11</v>
      </c>
      <c r="AN19">
        <v>0</v>
      </c>
      <c r="AO19" s="5">
        <v>4.4332281439357299E-12</v>
      </c>
      <c r="AP19" s="5">
        <v>9.7750304384347003E-9</v>
      </c>
      <c r="AQ19" s="5">
        <v>6.4675979993168397E-10</v>
      </c>
      <c r="AR19" s="5">
        <v>1.1941873135897E-9</v>
      </c>
      <c r="AS19" s="5">
        <v>1.16577480822013E-10</v>
      </c>
      <c r="AT19" s="5">
        <v>4.23818068852061E-10</v>
      </c>
      <c r="AU19" s="5">
        <v>1.1436290485611E-12</v>
      </c>
      <c r="AV19" s="5">
        <v>5.7449969762905603E-9</v>
      </c>
      <c r="AW19" s="5">
        <v>2.6916716693898201E-12</v>
      </c>
      <c r="AX19" s="5">
        <v>1.77962828022778E-12</v>
      </c>
      <c r="AY19" s="5">
        <v>9.0699999999999994E-11</v>
      </c>
      <c r="AZ19" s="5">
        <v>3.9399999999999998E-12</v>
      </c>
      <c r="BA19" s="5">
        <v>1.3100000000000001E-12</v>
      </c>
      <c r="BB19" s="5">
        <v>2.98E-10</v>
      </c>
      <c r="BC19" s="5">
        <v>-9.0699999999999997E-13</v>
      </c>
      <c r="BD19" s="5">
        <v>1.1499999999999999E-12</v>
      </c>
      <c r="BE19" s="5">
        <v>1.5136063477199601E-11</v>
      </c>
      <c r="BF19" s="5">
        <v>-6.80585844321213E-13</v>
      </c>
      <c r="BG19" s="5">
        <v>2.1287001713044601E-14</v>
      </c>
      <c r="BH19" s="5">
        <v>1.7033306399705501E-10</v>
      </c>
      <c r="BI19" s="5">
        <v>8.1164398355997694E-12</v>
      </c>
      <c r="BJ19" s="5">
        <v>-4.3557494036557598E-12</v>
      </c>
      <c r="BK19" s="5">
        <v>0</v>
      </c>
      <c r="BL19" s="5">
        <v>2.1887756013966902E-12</v>
      </c>
      <c r="BM19" s="5">
        <v>1.21574580082478E-11</v>
      </c>
      <c r="BN19" s="5">
        <v>2.05077619339738E-11</v>
      </c>
      <c r="BO19" s="5">
        <v>-9.0744779424317905E-13</v>
      </c>
      <c r="BP19" s="5">
        <v>0</v>
      </c>
      <c r="BQ19" s="5">
        <v>3.9391925850428E-13</v>
      </c>
      <c r="BR19" s="5">
        <v>2.5030060605216102E-12</v>
      </c>
      <c r="BS19" s="5">
        <v>1.07271688308069E-12</v>
      </c>
      <c r="BT19" s="5">
        <v>1.4800000000000001E-10</v>
      </c>
      <c r="BU19" s="5">
        <v>-3.9499999999999999E-12</v>
      </c>
      <c r="BV19" s="5"/>
      <c r="BW19" s="5">
        <v>1.66E-12</v>
      </c>
      <c r="BX19" s="5">
        <v>8.9400000000000003E-12</v>
      </c>
      <c r="BY19" s="5">
        <v>1.4474073298854201E-10</v>
      </c>
      <c r="BZ19" s="5">
        <v>-4.3557494036557598E-12</v>
      </c>
      <c r="CA19" s="5">
        <v>0</v>
      </c>
      <c r="CB19" s="5">
        <v>1.9767285353633999E-12</v>
      </c>
      <c r="CC19" s="5">
        <v>1.7878614718011501E-12</v>
      </c>
      <c r="CD19" s="5">
        <v>2.86057835488184E-12</v>
      </c>
      <c r="CE19" s="5">
        <v>1.849088286774E-10</v>
      </c>
      <c r="CF19" s="5">
        <v>-4.3557494036557598E-12</v>
      </c>
      <c r="CG19" s="5">
        <v>0</v>
      </c>
      <c r="CH19" s="5">
        <v>2.1676531899030798E-12</v>
      </c>
      <c r="CI19" s="5">
        <v>2.1454337661613799E-12</v>
      </c>
      <c r="CJ19" s="5">
        <v>7.8665904759250494E-12</v>
      </c>
      <c r="CK19" s="5">
        <v>3.6122599691328101E-12</v>
      </c>
      <c r="CL19" s="5">
        <v>4.4894297768268602E-10</v>
      </c>
      <c r="CM19" s="5">
        <v>8.1627993587144503E-10</v>
      </c>
      <c r="CN19" s="5">
        <v>2.49548054158491E-12</v>
      </c>
      <c r="CO19" s="5">
        <v>1.08859176870592E-7</v>
      </c>
      <c r="CP19" s="5">
        <v>3.5013885633975198E-13</v>
      </c>
      <c r="CQ19" s="5">
        <v>2.71177017308744E-12</v>
      </c>
      <c r="CR19" s="5">
        <v>2.54680720246793E-10</v>
      </c>
      <c r="CS19" s="5">
        <v>2.0595659978013402E-12</v>
      </c>
      <c r="CT19" s="5">
        <v>2.38918408419223E-12</v>
      </c>
      <c r="CU19" s="5">
        <v>6.7273239688392003E-13</v>
      </c>
      <c r="CV19" s="5">
        <v>4.6578709510251103E-10</v>
      </c>
      <c r="CW19" s="5">
        <v>1.1967139375006699E-9</v>
      </c>
      <c r="CX19" s="5">
        <v>-1.5587909615806E-9</v>
      </c>
      <c r="CY19" s="5">
        <v>4.1491377600268702E-11</v>
      </c>
      <c r="CZ19" s="5">
        <v>3.9806693203393501E-12</v>
      </c>
      <c r="DA19" s="5">
        <v>1.37459351456873E-8</v>
      </c>
      <c r="DB19" s="5">
        <v>1.6361058336283702E-11</v>
      </c>
      <c r="DC19" s="5">
        <v>1.9784782540107E-14</v>
      </c>
      <c r="DD19" s="5">
        <v>8.8489253095534399E-13</v>
      </c>
      <c r="DE19" s="5">
        <v>5.7913112332118705E-16</v>
      </c>
      <c r="DF19" s="5">
        <v>4.3612458751972101E-12</v>
      </c>
      <c r="DG19" s="5">
        <v>2.86057835488184E-12</v>
      </c>
      <c r="DH19" s="5">
        <v>9.3590371927532004E-12</v>
      </c>
      <c r="DI19" s="5">
        <v>5.2079310869005398E-8</v>
      </c>
      <c r="DJ19" s="5">
        <v>9.5232308277137705E-11</v>
      </c>
      <c r="DK19" s="5">
        <v>8.16637975865128E-10</v>
      </c>
      <c r="DL19" s="5">
        <v>7.5361029396721994E-9</v>
      </c>
      <c r="DM19" s="5">
        <v>1.3730439985342201E-11</v>
      </c>
      <c r="DN19" s="5">
        <v>1.25611029975376E-11</v>
      </c>
      <c r="DO19" s="5">
        <v>1.0410886995219599E-12</v>
      </c>
      <c r="DP19" s="5">
        <v>7.2325574032369097E-12</v>
      </c>
      <c r="DQ19" s="5">
        <v>7.0728214389255401E-12</v>
      </c>
      <c r="DR19" s="5">
        <v>8.5990389609597502E-11</v>
      </c>
      <c r="DS19" s="5">
        <v>2.4682014992808201E-8</v>
      </c>
      <c r="DT19" s="5">
        <v>2.33425904226501E-13</v>
      </c>
      <c r="DU19" s="5">
        <v>1.5105850613017701E-9</v>
      </c>
      <c r="DV19" s="5">
        <v>3.0359872249919098E-10</v>
      </c>
      <c r="DW19" s="5">
        <v>3.56991439618898E-12</v>
      </c>
      <c r="DX19" s="5">
        <v>1.25611029975376E-11</v>
      </c>
      <c r="DY19" s="5">
        <v>3.5347713284655902E-12</v>
      </c>
      <c r="DZ19" s="5">
        <v>1.07461180203948E-9</v>
      </c>
      <c r="EA19" s="5">
        <v>1.5167421341418201E-12</v>
      </c>
      <c r="EB19" s="5">
        <v>5.3857829532213697E-8</v>
      </c>
      <c r="EC19" s="5">
        <v>2.2338730439522699E-8</v>
      </c>
      <c r="ED19" s="5">
        <v>1.7387317251092399E-9</v>
      </c>
      <c r="EE19" s="5">
        <v>1.27937199014863E-9</v>
      </c>
      <c r="EF19" s="5">
        <v>1.4283599787926701E-8</v>
      </c>
      <c r="EG19" s="5">
        <v>3.8848462689152801E-11</v>
      </c>
      <c r="EH19" s="5">
        <v>-1.36117168864243E-11</v>
      </c>
      <c r="EI19" s="5">
        <v>5.7695543679850497E-10</v>
      </c>
      <c r="EJ19" s="5">
        <v>2.1454337661613799E-11</v>
      </c>
      <c r="EK19" s="5">
        <v>2.7519735591405402E-7</v>
      </c>
      <c r="EL19" s="5">
        <v>2.72335196733323E-11</v>
      </c>
      <c r="EM19" s="5">
        <v>2.3523153496473702E-10</v>
      </c>
      <c r="EN19" s="5">
        <v>1.4209704534123801E-8</v>
      </c>
      <c r="EO19" s="5">
        <v>4.24898563201723E-12</v>
      </c>
      <c r="EP19" s="5">
        <v>8.5698849922566396E-9</v>
      </c>
      <c r="EQ19" s="5">
        <v>9.1443425910580803E-12</v>
      </c>
      <c r="ER19" s="5">
        <v>-3.11311728002246E-10</v>
      </c>
      <c r="ES19" s="5">
        <v>1.35766724563452E-12</v>
      </c>
      <c r="ET19" s="5">
        <v>5.8182739632546098E-8</v>
      </c>
      <c r="EU19" s="5">
        <v>3.05820171649518E-10</v>
      </c>
      <c r="EV19" s="5">
        <v>1.8603138841034001E-10</v>
      </c>
      <c r="EW19" s="5">
        <v>3.8088377743362798E-9</v>
      </c>
      <c r="EX19" s="5">
        <v>9.9590910415197102E-11</v>
      </c>
      <c r="EY19" s="5">
        <v>8.9591120904358203E-11</v>
      </c>
      <c r="EZ19" s="5">
        <v>2.7604487713481601E-12</v>
      </c>
      <c r="FA19" s="5">
        <v>0</v>
      </c>
      <c r="FB19" s="5">
        <v>1.14223554907203E-12</v>
      </c>
      <c r="FC19" s="5">
        <v>1.9661024644529301E-8</v>
      </c>
      <c r="FD19" s="5">
        <v>5.9738388319938201E-9</v>
      </c>
      <c r="FE19" s="5">
        <v>1.1852539213659399E-10</v>
      </c>
      <c r="FF19" s="5">
        <v>1.91285584729078E-11</v>
      </c>
      <c r="FG19" s="5">
        <v>8.0054033399276999E-13</v>
      </c>
      <c r="FH19" s="5">
        <v>4.4436440700589998E-9</v>
      </c>
      <c r="FI19" s="5">
        <v>1.29424310891996E-11</v>
      </c>
      <c r="FJ19" s="5">
        <v>1.2185765486991201E-11</v>
      </c>
      <c r="FK19" s="5">
        <v>1.1484049704419201E-12</v>
      </c>
      <c r="FL19" s="5">
        <v>6.3712162289236404E-13</v>
      </c>
      <c r="FM19" s="5">
        <v>8.7364982244504398E-13</v>
      </c>
      <c r="FN19" s="5">
        <v>1.58931775819523E-9</v>
      </c>
      <c r="FO19" s="5">
        <v>1.04158677938219E-10</v>
      </c>
      <c r="FP19" s="5">
        <v>3.4838010038313499E-10</v>
      </c>
      <c r="FQ19" s="5">
        <v>1.2096386641174399E-12</v>
      </c>
      <c r="FR19" s="5">
        <v>-2.3775132179770002E-12</v>
      </c>
      <c r="FS19" s="5">
        <v>0</v>
      </c>
      <c r="FT19" s="5">
        <v>1.82145595113264E-13</v>
      </c>
      <c r="FU19" s="5">
        <v>4.0398853432502897E-9</v>
      </c>
      <c r="FV19" s="5">
        <v>4.4482682808981203E-12</v>
      </c>
      <c r="FW19" s="5">
        <v>5.7913112332118705E-16</v>
      </c>
      <c r="FX19" s="5">
        <v>2.8970780299662401E-13</v>
      </c>
      <c r="FY19" s="5">
        <v>2.5030060605216102E-12</v>
      </c>
      <c r="FZ19" s="5">
        <v>3.9861763405637601E-10</v>
      </c>
      <c r="GA19" s="5">
        <v>3.60185930883003E-12</v>
      </c>
      <c r="GB19" s="5">
        <v>3.7906320517438297E-8</v>
      </c>
      <c r="GC19" s="5">
        <v>6.6099397969006499E-12</v>
      </c>
      <c r="GD19" s="5">
        <v>3.2573028146975401E-13</v>
      </c>
      <c r="GE19" s="5">
        <v>1.38522390637355E-11</v>
      </c>
      <c r="GF19" s="5">
        <v>6.4538077132875803E-10</v>
      </c>
      <c r="GG19" s="5">
        <v>1.28304639681934E-11</v>
      </c>
      <c r="GH19" s="5">
        <v>5.8317416180674297E-8</v>
      </c>
      <c r="GI19" s="5">
        <v>6.6099397969006499E-12</v>
      </c>
      <c r="GJ19" s="5">
        <v>3.2573028146975401E-13</v>
      </c>
      <c r="GK19" s="5">
        <v>1.5710652173319902E-11</v>
      </c>
      <c r="GL19" s="5">
        <v>2.1454337661613799E-12</v>
      </c>
      <c r="GM19" s="5">
        <v>3.5183176865570102E-9</v>
      </c>
      <c r="GN19" s="5">
        <v>1.07374684588132E-9</v>
      </c>
      <c r="GO19" s="5">
        <v>9.4181469013390096E-12</v>
      </c>
      <c r="GP19" s="5">
        <v>-1.5444231020703001E-10</v>
      </c>
      <c r="GQ19" s="5">
        <v>7.7810209113912201E-13</v>
      </c>
      <c r="GR19" s="5">
        <v>1.3135490796846599E-12</v>
      </c>
      <c r="GS19" s="5">
        <v>2.1110994793886399E-8</v>
      </c>
      <c r="GT19" s="5">
        <v>9.2887013432533292E-9</v>
      </c>
      <c r="GU19" s="5">
        <v>1.54929994269741E-11</v>
      </c>
      <c r="GV19" s="5">
        <v>2.3342590422650099E-12</v>
      </c>
      <c r="GW19" s="5">
        <v>2.9455012121533898E-9</v>
      </c>
      <c r="GX19" s="5">
        <v>4.9576091968798603E-11</v>
      </c>
      <c r="GY19" s="5">
        <v>1.3730439985342201E-11</v>
      </c>
      <c r="GZ19" s="5">
        <v>2.15314137807959E-12</v>
      </c>
      <c r="HA19" s="5">
        <v>6.3712162289236404E-13</v>
      </c>
      <c r="HB19" s="5">
        <v>1.6418629070949699E-12</v>
      </c>
      <c r="HC19" s="5">
        <v>7.2860542424080799E-9</v>
      </c>
      <c r="HD19" s="5">
        <v>1.0942569866403501E-11</v>
      </c>
      <c r="HE19" s="5">
        <v>3.1163891573289999E-14</v>
      </c>
      <c r="HF19" s="5">
        <v>1.7940788648040699E-12</v>
      </c>
      <c r="HG19" s="5">
        <v>3.1031311316834098E-13</v>
      </c>
      <c r="HH19" s="5">
        <v>6.8205562964305299E-9</v>
      </c>
      <c r="HI19" s="5">
        <v>1.9265176106909502E-9</v>
      </c>
      <c r="HJ19" s="5">
        <v>9.4181469013390096E-12</v>
      </c>
      <c r="HK19" s="5">
        <v>4.4436440700589998E-9</v>
      </c>
      <c r="HL19" s="5">
        <v>1.0765706890398001E-12</v>
      </c>
      <c r="HM19" s="5">
        <v>5.8701972259362396E-13</v>
      </c>
      <c r="HN19" s="5">
        <v>3.7412830394107898E-10</v>
      </c>
      <c r="HO19" s="5">
        <v>4.9258090488174696E-13</v>
      </c>
      <c r="HP19" s="5">
        <v>-6.80585844321213E-13</v>
      </c>
      <c r="HQ19" s="5">
        <v>2.4907986540521299E-14</v>
      </c>
      <c r="HR19" s="5">
        <v>4.42151631930366E-10</v>
      </c>
      <c r="HS19" s="5">
        <v>4.4770623404080198E-13</v>
      </c>
      <c r="HT19" s="5">
        <v>-6.80585844321213E-13</v>
      </c>
      <c r="HU19" s="5">
        <v>2.7212249612551901E-14</v>
      </c>
      <c r="HV19" s="5">
        <v>3.7790737771826098E-11</v>
      </c>
      <c r="HW19" s="5">
        <v>-6.80585844321213E-13</v>
      </c>
      <c r="HX19" s="5">
        <v>1.48131197487682E-14</v>
      </c>
      <c r="HY19" s="5">
        <v>1.39E-9</v>
      </c>
      <c r="HZ19" s="5">
        <v>1.0300000000000001E-10</v>
      </c>
      <c r="IA19" s="5">
        <v>2.40430136501872E-7</v>
      </c>
      <c r="IB19" s="5">
        <v>0</v>
      </c>
      <c r="ID19">
        <f t="shared" si="1"/>
        <v>1.683010955513104E-6</v>
      </c>
      <c r="IE19">
        <f t="shared" si="3"/>
        <v>0</v>
      </c>
      <c r="IF19">
        <f t="shared" si="2"/>
        <v>0</v>
      </c>
      <c r="IG19" s="5">
        <v>5.6900000000000002E-12</v>
      </c>
      <c r="IH19" s="5">
        <v>3.43E-11</v>
      </c>
      <c r="II19" s="5">
        <v>7.7700000000000001E-10</v>
      </c>
      <c r="IJ19" s="5">
        <v>7.5100000000000004E-11</v>
      </c>
      <c r="IK19" s="5">
        <v>2.11E-11</v>
      </c>
      <c r="IL19" s="5">
        <v>-2.83045197296004E-6</v>
      </c>
      <c r="IM19" s="5">
        <v>-2.1299196564171601E-7</v>
      </c>
      <c r="IN19" s="5">
        <v>-4.4932869846395402E-10</v>
      </c>
      <c r="IO19" s="5">
        <v>-1.05320700353332E-9</v>
      </c>
      <c r="IP19" s="5">
        <v>-1.22363310901537E-10</v>
      </c>
      <c r="IQ19" s="5">
        <v>-1.04777224386954E-9</v>
      </c>
      <c r="IR19" s="5">
        <v>8.52467224439984E-13</v>
      </c>
      <c r="IS19" s="5">
        <v>5.14650079131759E-12</v>
      </c>
      <c r="IT19" s="5">
        <v>5.5869639395032198E-10</v>
      </c>
      <c r="IU19" s="5">
        <v>1.9369728344427901E-11</v>
      </c>
      <c r="IV19" s="5">
        <v>1.88929652730045E-11</v>
      </c>
      <c r="IW19" s="5">
        <v>2.30562814743244E-10</v>
      </c>
      <c r="IX19" s="5">
        <v>1.38878254058902E-9</v>
      </c>
      <c r="IY19" s="5">
        <v>2.1040885278806801E-10</v>
      </c>
      <c r="IZ19" s="5">
        <v>1.09187197210715E-10</v>
      </c>
    </row>
    <row r="20" spans="1:260" x14ac:dyDescent="0.3">
      <c r="A20" t="s">
        <v>135</v>
      </c>
      <c r="B20">
        <v>2.90261294882092E-7</v>
      </c>
      <c r="C20" s="5">
        <v>2.3238622658206401E-10</v>
      </c>
      <c r="D20" s="5">
        <v>5.8636497032162896E-10</v>
      </c>
      <c r="E20">
        <v>2.2853623061837901E-8</v>
      </c>
      <c r="F20">
        <v>1.5855327684544702E-8</v>
      </c>
      <c r="G20">
        <v>2.9222176615546399E-10</v>
      </c>
      <c r="H20">
        <v>4.4424789439132298E-8</v>
      </c>
      <c r="I20" s="5">
        <v>1.5051100000000001E-5</v>
      </c>
      <c r="J20" s="5">
        <v>7.70906082742663E-9</v>
      </c>
      <c r="K20" s="5">
        <v>6.0070102848031902E-10</v>
      </c>
      <c r="L20">
        <v>2.7492600000000002E-5</v>
      </c>
      <c r="M20">
        <v>1.1563591241139899E-8</v>
      </c>
      <c r="N20">
        <v>1.7884989504216599E-7</v>
      </c>
      <c r="O20" s="5">
        <v>2.88936E-6</v>
      </c>
      <c r="P20" s="5">
        <v>7.70906082742663E-9</v>
      </c>
      <c r="Q20" s="5">
        <v>6.1786391500832799E-10</v>
      </c>
      <c r="R20" s="5">
        <v>8.3074162231606203E-9</v>
      </c>
      <c r="S20" s="5">
        <v>8.0624556282008198E-8</v>
      </c>
      <c r="T20" s="5">
        <v>2.9374015878469399E-9</v>
      </c>
      <c r="U20">
        <v>7.70906082742663E-9</v>
      </c>
      <c r="V20">
        <v>7.9704E-7</v>
      </c>
      <c r="W20">
        <v>1.1529776627266999E-7</v>
      </c>
      <c r="X20" s="5">
        <v>7.70906082742663E-9</v>
      </c>
      <c r="Y20" s="5">
        <v>2.3066500000000002E-6</v>
      </c>
      <c r="Z20" s="5">
        <v>3.6728577169939501E-10</v>
      </c>
      <c r="AA20" s="5">
        <v>7.70906082742663E-9</v>
      </c>
      <c r="AB20" s="5">
        <v>2.6272649999999998E-7</v>
      </c>
      <c r="AC20" s="5">
        <v>3.2634996382006101E-8</v>
      </c>
      <c r="AD20" s="5">
        <v>4.0723639940324701E-8</v>
      </c>
      <c r="AE20" s="5">
        <v>1.3087687171922E-6</v>
      </c>
      <c r="AF20" s="5">
        <v>3.0836243309706501E-12</v>
      </c>
      <c r="AG20" s="5">
        <v>7.70906082742663E-9</v>
      </c>
      <c r="AH20" s="5">
        <v>3.0102100000000001E-5</v>
      </c>
      <c r="AI20" s="5">
        <v>6.0070102848031902E-10</v>
      </c>
      <c r="AJ20" s="5">
        <v>1.94414866833548E-7</v>
      </c>
      <c r="AK20" s="5">
        <v>1.0314551341086399E-8</v>
      </c>
      <c r="AL20" s="5">
        <v>4.1367728483781302E-8</v>
      </c>
      <c r="AM20" s="5">
        <v>3.1192812999368001E-9</v>
      </c>
      <c r="AN20" s="5">
        <v>2.2181425E-11</v>
      </c>
      <c r="AO20" s="5">
        <v>8.56338223044212E-10</v>
      </c>
      <c r="AP20" s="5">
        <v>3.2333785890585398E-7</v>
      </c>
      <c r="AQ20" s="5">
        <v>2.0377190781038601E-8</v>
      </c>
      <c r="AR20" s="5">
        <v>3.36589327373049E-8</v>
      </c>
      <c r="AS20" s="5">
        <v>2.2518523643014399E-8</v>
      </c>
      <c r="AT20" s="5">
        <v>1.32750439348354E-8</v>
      </c>
      <c r="AU20" s="5">
        <v>1.80696955380624E-9</v>
      </c>
      <c r="AV20" s="5">
        <v>1.26948536185553E-9</v>
      </c>
      <c r="AW20" s="5">
        <v>5.2852684984324903E-10</v>
      </c>
      <c r="AX20" s="5">
        <v>3.7426557785402899E-9</v>
      </c>
      <c r="AY20" s="5">
        <v>2.57E-9</v>
      </c>
      <c r="AZ20" s="5">
        <v>7.6099999999999996E-10</v>
      </c>
      <c r="BA20" s="5">
        <v>3.0199999999999999E-6</v>
      </c>
      <c r="BB20" s="5">
        <v>6.82E-9</v>
      </c>
      <c r="BC20" s="5">
        <v>1.33E-9</v>
      </c>
      <c r="BD20" s="5">
        <v>2.4100000000000002E-9</v>
      </c>
      <c r="BE20" s="5">
        <v>3.1183506953881202E-9</v>
      </c>
      <c r="BF20" s="5">
        <v>9.9714685166603899E-10</v>
      </c>
      <c r="BG20" s="5">
        <v>4.4767730910033898E-11</v>
      </c>
      <c r="BH20" s="5">
        <v>9.7910677162011597E-8</v>
      </c>
      <c r="BI20" s="5">
        <v>1.6721590685414601E-9</v>
      </c>
      <c r="BJ20" s="5">
        <v>6.3817398506626497E-9</v>
      </c>
      <c r="BK20" s="5">
        <v>4.655215E-8</v>
      </c>
      <c r="BL20" s="5">
        <v>4.60311501199949E-9</v>
      </c>
      <c r="BM20" s="5">
        <v>3.1536481238596E-9</v>
      </c>
      <c r="BN20" s="5">
        <v>1.1788250683187499E-8</v>
      </c>
      <c r="BO20" s="5">
        <v>1.32952913722305E-9</v>
      </c>
      <c r="BP20" s="5">
        <v>2.7626030000000002E-8</v>
      </c>
      <c r="BQ20" s="5">
        <v>8.2843378333516296E-10</v>
      </c>
      <c r="BR20" s="5">
        <v>6.49280496088741E-10</v>
      </c>
      <c r="BS20" s="5">
        <v>2.78263069752317E-10</v>
      </c>
      <c r="BT20" s="5">
        <v>8.4899999999999999E-8</v>
      </c>
      <c r="BU20" s="5">
        <v>5.7800000000000003E-9</v>
      </c>
      <c r="BV20" s="5">
        <v>6.0300000000000004E-8</v>
      </c>
      <c r="BW20" s="5">
        <v>3.4900000000000001E-9</v>
      </c>
      <c r="BX20" s="5">
        <v>2.3199999999999998E-9</v>
      </c>
      <c r="BY20" s="5">
        <v>8.3199719697868503E-8</v>
      </c>
      <c r="BZ20" s="5">
        <v>6.3817398506626497E-9</v>
      </c>
      <c r="CA20" s="5">
        <v>1.1218305E-7</v>
      </c>
      <c r="CB20" s="5">
        <v>4.1571684141456698E-9</v>
      </c>
      <c r="CC20" s="5">
        <v>4.6377178292052898E-10</v>
      </c>
      <c r="CD20" s="5">
        <v>7.4203485267284696E-10</v>
      </c>
      <c r="CE20" s="5">
        <v>1.06289103267418E-7</v>
      </c>
      <c r="CF20" s="5">
        <v>6.3817398506626497E-9</v>
      </c>
      <c r="CG20" s="5">
        <v>1.0913045E-7</v>
      </c>
      <c r="CH20" s="5">
        <v>4.5586934233387599E-9</v>
      </c>
      <c r="CI20" s="5">
        <v>5.5652613950463504E-10</v>
      </c>
      <c r="CJ20" s="5">
        <v>2.0405958448503301E-9</v>
      </c>
      <c r="CK20" s="5">
        <v>6.97757070628617E-10</v>
      </c>
      <c r="CL20" s="5">
        <v>1.4982216213932799E-8</v>
      </c>
      <c r="CM20" s="5">
        <v>2.3007371744486901E-8</v>
      </c>
      <c r="CN20" s="5">
        <v>4.8203595737463505E-10</v>
      </c>
      <c r="CO20" s="5">
        <v>7.2239602428679301E-9</v>
      </c>
      <c r="CP20" s="5">
        <v>5.4238885454194997E-10</v>
      </c>
      <c r="CQ20" s="5">
        <v>1.55877694984297E-9</v>
      </c>
      <c r="CR20" s="5">
        <v>5.24696399615305E-8</v>
      </c>
      <c r="CS20" s="5">
        <v>6.1157416691224201E-9</v>
      </c>
      <c r="CT20" s="5">
        <v>4.6918145552029102E-10</v>
      </c>
      <c r="CU20" s="5">
        <v>1.41479308942349E-9</v>
      </c>
      <c r="CV20" s="5">
        <v>1.16926842474474E-8</v>
      </c>
      <c r="CW20" s="5">
        <v>6.8190283566090201E-7</v>
      </c>
      <c r="CX20" s="5">
        <v>2.42166476557553E-8</v>
      </c>
      <c r="CY20" s="5">
        <v>8.4818125326993604E-8</v>
      </c>
      <c r="CZ20" s="5">
        <v>8.3715656801763397E-9</v>
      </c>
      <c r="DA20" s="5">
        <v>3.8985916896211399E-7</v>
      </c>
      <c r="DB20" s="5">
        <v>3.1603606148673401E-9</v>
      </c>
      <c r="DC20" s="5">
        <v>3.1260573280847998E-11</v>
      </c>
      <c r="DD20" s="5">
        <v>2.62762840813845E-9</v>
      </c>
      <c r="DE20" s="5">
        <v>1.1379612323914701E-13</v>
      </c>
      <c r="DF20" s="5">
        <v>9.1719390267009399E-9</v>
      </c>
      <c r="DG20" s="5">
        <v>7.4203485267284696E-10</v>
      </c>
      <c r="DH20" s="5">
        <v>1.8078251375377801E-9</v>
      </c>
      <c r="DI20" s="5">
        <v>1.7297337057173801E-6</v>
      </c>
      <c r="DJ20" s="5">
        <v>1.8395413680209001E-8</v>
      </c>
      <c r="DK20" s="5">
        <v>2.26543147928791E-8</v>
      </c>
      <c r="DL20" s="5">
        <v>1.66527021804065E-9</v>
      </c>
      <c r="DM20" s="5">
        <v>4.0771611127482801E-8</v>
      </c>
      <c r="DN20" s="5">
        <v>2.46651487996345E-9</v>
      </c>
      <c r="DO20" s="5">
        <v>2.2466954835229799E-10</v>
      </c>
      <c r="DP20" s="5">
        <v>1.52104644883393E-8</v>
      </c>
      <c r="DQ20" s="5">
        <v>1.3662115159138799E-9</v>
      </c>
      <c r="DR20" s="5">
        <v>1.77158474288716E-8</v>
      </c>
      <c r="DS20" s="5">
        <v>7.9603008864566703E-7</v>
      </c>
      <c r="DT20" s="5">
        <v>3.61592569694633E-10</v>
      </c>
      <c r="DU20" s="5">
        <v>3.3379749912391301E-10</v>
      </c>
      <c r="DV20" s="5">
        <v>6.2547787861118199E-8</v>
      </c>
      <c r="DW20" s="5">
        <v>1.0600618893145499E-8</v>
      </c>
      <c r="DX20" s="5">
        <v>2.46651487996345E-9</v>
      </c>
      <c r="DY20" s="5">
        <v>7.4338177726682399E-9</v>
      </c>
      <c r="DZ20" s="5">
        <v>4.7567768296694901E-8</v>
      </c>
      <c r="EA20" s="5">
        <v>6.7138699077903798E-11</v>
      </c>
      <c r="EB20" s="5">
        <v>1.80796392636972E-6</v>
      </c>
      <c r="EC20" s="5">
        <v>7.5739892799573696E-7</v>
      </c>
      <c r="ED20" s="5">
        <v>4.954404296548E-8</v>
      </c>
      <c r="EE20" s="5">
        <v>5.6631492672211902E-8</v>
      </c>
      <c r="EF20" s="5">
        <v>3.2002087231617099E-9</v>
      </c>
      <c r="EG20" s="5">
        <v>8.3645408532202901E-8</v>
      </c>
      <c r="EH20" s="5">
        <v>2.07685405579016E-8</v>
      </c>
      <c r="EI20" s="5">
        <v>1.3064613551312899E-6</v>
      </c>
      <c r="EJ20" s="5">
        <v>5.5652613950463498E-9</v>
      </c>
      <c r="EK20" s="5">
        <v>6.1657354732915594E-8</v>
      </c>
      <c r="EL20" s="5">
        <v>6.8364484511285298E-10</v>
      </c>
      <c r="EM20" s="5">
        <v>4.5438165624572002E-8</v>
      </c>
      <c r="EN20" s="5">
        <v>4.59390575944803E-7</v>
      </c>
      <c r="EO20" s="5">
        <v>1.2714758439682101E-9</v>
      </c>
      <c r="EP20" s="5">
        <v>1.8937074458618301E-9</v>
      </c>
      <c r="EQ20" s="5">
        <v>2.71535056805978E-8</v>
      </c>
      <c r="ER20" s="5">
        <v>3.9970006959357403E-9</v>
      </c>
      <c r="ES20" s="5">
        <v>2.85524860369075E-9</v>
      </c>
      <c r="ET20" s="5">
        <v>1.86419222328366E-6</v>
      </c>
      <c r="EU20" s="5">
        <v>4.1685870499594E-8</v>
      </c>
      <c r="EV20" s="5">
        <v>3.5934489137373798E-8</v>
      </c>
      <c r="EW20" s="5">
        <v>8.4164775371636997E-10</v>
      </c>
      <c r="EX20" s="5">
        <v>2.0517843705886998E-8</v>
      </c>
      <c r="EY20" s="5">
        <v>2.6603476260682501E-7</v>
      </c>
      <c r="EZ20" s="5">
        <v>5.60253486555554E-10</v>
      </c>
      <c r="FA20" s="5">
        <v>3.0525999999999999E-10</v>
      </c>
      <c r="FB20" s="5">
        <v>2.4021839423912698E-9</v>
      </c>
      <c r="FC20" s="5">
        <v>6.3872022696450998E-7</v>
      </c>
      <c r="FD20" s="5">
        <v>1.9066011175170399E-7</v>
      </c>
      <c r="FE20" s="5">
        <v>3.7125122868607401E-9</v>
      </c>
      <c r="FF20" s="5">
        <v>3.6949408512833599E-9</v>
      </c>
      <c r="FG20" s="5">
        <v>1.26487868766437E-9</v>
      </c>
      <c r="FH20" s="5">
        <v>9.8192237933576498E-10</v>
      </c>
      <c r="FI20" s="5">
        <v>2.66641581199854E-9</v>
      </c>
      <c r="FJ20" s="5">
        <v>3.6184804875641002E-8</v>
      </c>
      <c r="FK20" s="5">
        <v>2.2549240444594701E-10</v>
      </c>
      <c r="FL20" s="5">
        <v>2.2406333081411701E-9</v>
      </c>
      <c r="FM20" s="5">
        <v>1.8373334435751599E-9</v>
      </c>
      <c r="FN20" s="5">
        <v>4.97814147556326E-8</v>
      </c>
      <c r="FO20" s="5">
        <v>3.2625107975442798E-9</v>
      </c>
      <c r="FP20" s="5">
        <v>6.4065291990855196E-11</v>
      </c>
      <c r="FQ20" s="5">
        <v>3.5678636267881701E-9</v>
      </c>
      <c r="FR20" s="5">
        <v>3.07716940272796E-9</v>
      </c>
      <c r="FS20" s="5">
        <v>2.7626030000000002E-8</v>
      </c>
      <c r="FT20" s="5">
        <v>3.8306216621769102E-10</v>
      </c>
      <c r="FU20" s="5">
        <v>1.82454119699421E-7</v>
      </c>
      <c r="FV20" s="5">
        <v>8.5924342975646603E-10</v>
      </c>
      <c r="FW20" s="5">
        <v>1.1379612323914701E-13</v>
      </c>
      <c r="FX20" s="5">
        <v>6.0927138269276505E-10</v>
      </c>
      <c r="FY20" s="5">
        <v>6.49280496088741E-10</v>
      </c>
      <c r="FZ20" s="5">
        <v>1.135856142647E-8</v>
      </c>
      <c r="GA20" s="5">
        <v>1.13478808923009E-10</v>
      </c>
      <c r="GB20" s="5">
        <v>2.5154861559986501E-9</v>
      </c>
      <c r="GC20" s="5">
        <v>3.7995188152422402E-9</v>
      </c>
      <c r="GD20" s="5">
        <v>6.9807320742784105E-11</v>
      </c>
      <c r="GE20" s="5">
        <v>3.1317400308789001E-8</v>
      </c>
      <c r="GF20" s="5">
        <v>1.83897102710297E-8</v>
      </c>
      <c r="GG20" s="5">
        <v>6.0684537685072605E-10</v>
      </c>
      <c r="GH20" s="5">
        <v>3.8699787015363903E-9</v>
      </c>
      <c r="GI20" s="5">
        <v>3.7995188152422402E-9</v>
      </c>
      <c r="GJ20" s="5">
        <v>6.9807320742784105E-11</v>
      </c>
      <c r="GK20" s="5">
        <v>3.5525602112058199E-8</v>
      </c>
      <c r="GL20" s="5">
        <v>5.5652613950463504E-10</v>
      </c>
      <c r="GM20" s="5">
        <v>9.9166032843135695E-8</v>
      </c>
      <c r="GN20" s="5">
        <v>3.62342903481673E-8</v>
      </c>
      <c r="GO20" s="5">
        <v>1.8192429805117E-9</v>
      </c>
      <c r="GP20" s="5">
        <v>2.2541147474937598E-9</v>
      </c>
      <c r="GQ20" s="5">
        <v>1.63639132961148E-9</v>
      </c>
      <c r="GR20" s="5">
        <v>2.5372984386495201E-10</v>
      </c>
      <c r="GS20" s="5">
        <v>6.90170024359703E-7</v>
      </c>
      <c r="GT20" s="5">
        <v>2.6344409294208402E-7</v>
      </c>
      <c r="GU20" s="5">
        <v>2.9926832475491898E-9</v>
      </c>
      <c r="GV20" s="5">
        <v>3.6159256969463298E-9</v>
      </c>
      <c r="GW20" s="5">
        <v>6.5087426287399303E-10</v>
      </c>
      <c r="GX20" s="5">
        <v>1.02137283646046E-8</v>
      </c>
      <c r="GY20" s="5">
        <v>4.0771611127482801E-8</v>
      </c>
      <c r="GZ20" s="5">
        <v>4.2282358441484901E-10</v>
      </c>
      <c r="HA20" s="5">
        <v>2.2406333081411701E-9</v>
      </c>
      <c r="HB20" s="5">
        <v>3.4529276507245999E-9</v>
      </c>
      <c r="HC20" s="5">
        <v>2.05362095941531E-7</v>
      </c>
      <c r="HD20" s="5">
        <v>2.1137059791861201E-9</v>
      </c>
      <c r="HE20" s="5">
        <v>4.9239920341220199E-11</v>
      </c>
      <c r="HF20" s="5">
        <v>3.5225437489777102E-10</v>
      </c>
      <c r="HG20" s="5">
        <v>6.5260547894174205E-10</v>
      </c>
      <c r="HH20" s="5">
        <v>2.3988022424618199E-7</v>
      </c>
      <c r="HI20" s="5">
        <v>5.3780698203969299E-8</v>
      </c>
      <c r="HJ20" s="5">
        <v>1.8192429805117E-9</v>
      </c>
      <c r="HK20" s="5">
        <v>9.8192237933576498E-10</v>
      </c>
      <c r="HL20" s="5">
        <v>2.11411792207425E-10</v>
      </c>
      <c r="HM20" s="5">
        <v>1.23453463922305E-9</v>
      </c>
      <c r="HN20" s="5">
        <v>1.05450453828898E-8</v>
      </c>
      <c r="HO20" s="5">
        <v>9.5148691449356901E-11</v>
      </c>
      <c r="HP20" s="5">
        <v>9.9714685166603899E-10</v>
      </c>
      <c r="HQ20" s="5">
        <v>5.2382860394730402E-11</v>
      </c>
      <c r="HR20" s="5">
        <v>1.24623263615971E-8</v>
      </c>
      <c r="HS20" s="5">
        <v>1.7900960405334001E-10</v>
      </c>
      <c r="HT20" s="5">
        <v>9.9714685166603899E-10</v>
      </c>
      <c r="HU20" s="5">
        <v>5.7228851884991802E-11</v>
      </c>
      <c r="HV20" s="5">
        <v>1.0651560992818001E-9</v>
      </c>
      <c r="HW20" s="5">
        <v>9.9714685166603899E-10</v>
      </c>
      <c r="HX20" s="5">
        <v>3.1152802437394702E-11</v>
      </c>
      <c r="HY20" s="5">
        <v>4.2100000000000002E-7</v>
      </c>
      <c r="HZ20" s="5">
        <v>2.17E-7</v>
      </c>
      <c r="IA20" s="5">
        <v>4.92476035377116E-4</v>
      </c>
      <c r="IB20" s="5">
        <v>5.1955409262060398E-5</v>
      </c>
      <c r="IC20" s="5">
        <v>1.5200000000000001E-7</v>
      </c>
      <c r="ID20">
        <f t="shared" si="1"/>
        <v>3.4473322476398119E-3</v>
      </c>
      <c r="IE20">
        <f t="shared" si="3"/>
        <v>3.6368786483442279E-4</v>
      </c>
      <c r="IF20">
        <f t="shared" si="2"/>
        <v>1.0640000000000001E-6</v>
      </c>
      <c r="IG20" s="5">
        <v>2.1500000000000001E-8</v>
      </c>
      <c r="IH20" s="5">
        <v>1.29E-7</v>
      </c>
      <c r="II20" s="5">
        <v>3.4E-5</v>
      </c>
      <c r="IJ20" s="5">
        <v>7.9599999999999998E-8</v>
      </c>
      <c r="IK20" s="5">
        <v>1.63E-8</v>
      </c>
      <c r="IL20" s="5">
        <v>-5.2149951835556299E-6</v>
      </c>
      <c r="IM20" s="5">
        <v>-6.5476531391067299E-6</v>
      </c>
      <c r="IN20">
        <v>-2.77196797976047E-5</v>
      </c>
      <c r="IO20" s="5">
        <v>-1.18547652085124E-6</v>
      </c>
      <c r="IP20" s="5">
        <v>2.0094329448578998E-9</v>
      </c>
      <c r="IQ20" s="5">
        <v>-2.1368605938412298E-8</v>
      </c>
      <c r="IR20" s="5">
        <v>3.2194786689943198E-9</v>
      </c>
      <c r="IS20" s="5">
        <v>1.9410325308138199E-8</v>
      </c>
      <c r="IT20" s="5">
        <v>2.44798940269917E-5</v>
      </c>
      <c r="IU20" s="5">
        <v>2.05306546001626E-8</v>
      </c>
      <c r="IV20" s="5">
        <v>1.4632808776349999E-8</v>
      </c>
      <c r="IW20" s="5">
        <v>8.6601254092214704E-9</v>
      </c>
      <c r="IX20" s="5">
        <v>5.21637931122219E-8</v>
      </c>
      <c r="IY20" s="5">
        <v>8.1013968767481896E-9</v>
      </c>
      <c r="IZ20" s="5">
        <v>5.1161302835574902E-9</v>
      </c>
    </row>
    <row r="21" spans="1:260" x14ac:dyDescent="0.3">
      <c r="A21" t="s">
        <v>136</v>
      </c>
      <c r="B21" s="5">
        <v>3.5139071526173301E-8</v>
      </c>
      <c r="C21" s="5">
        <v>2.4355882393302802E-10</v>
      </c>
      <c r="D21" s="5">
        <v>1.3190291205788E-10</v>
      </c>
      <c r="E21">
        <v>1.8508965266753501E-8</v>
      </c>
      <c r="F21">
        <v>3.05294562263245E-9</v>
      </c>
      <c r="G21">
        <v>2.1994033624782601E-10</v>
      </c>
      <c r="H21">
        <v>1.27224967216922E-8</v>
      </c>
      <c r="I21" s="5">
        <v>0</v>
      </c>
      <c r="J21" s="5">
        <v>3.0992434766204999E-10</v>
      </c>
      <c r="K21" s="5">
        <v>1.3512781107857899E-10</v>
      </c>
      <c r="L21">
        <v>0</v>
      </c>
      <c r="M21">
        <v>4.6488652149307501E-10</v>
      </c>
      <c r="N21">
        <v>5.1219538282034499E-8</v>
      </c>
      <c r="O21" s="5">
        <v>0</v>
      </c>
      <c r="P21" s="5">
        <v>3.0992434766204999E-10</v>
      </c>
      <c r="Q21" s="5">
        <v>1.38988605680824E-10</v>
      </c>
      <c r="R21" s="5">
        <v>7.3739470810024395E-11</v>
      </c>
      <c r="S21" s="5">
        <v>2.9176668454386901E-8</v>
      </c>
      <c r="T21" s="5">
        <v>6.6076904817136205E-10</v>
      </c>
      <c r="U21">
        <v>3.0992434766204999E-10</v>
      </c>
      <c r="V21">
        <v>0</v>
      </c>
      <c r="W21">
        <v>3.3019300078671E-8</v>
      </c>
      <c r="X21" s="5">
        <v>3.0992434766204999E-10</v>
      </c>
      <c r="Y21" s="5">
        <v>0</v>
      </c>
      <c r="Z21" s="5">
        <v>8.2621004488045304E-11</v>
      </c>
      <c r="AA21" s="5">
        <v>3.0992434766204999E-10</v>
      </c>
      <c r="AB21" s="5">
        <v>0</v>
      </c>
      <c r="AC21" s="5">
        <v>9.3461024739663904E-9</v>
      </c>
      <c r="AD21" s="5">
        <v>3.3065750336563102E-8</v>
      </c>
      <c r="AE21" s="5">
        <v>1.16072500333981E-8</v>
      </c>
      <c r="AF21" s="5">
        <v>1.2396973906482001E-13</v>
      </c>
      <c r="AG21" s="5">
        <v>3.0992434766204999E-10</v>
      </c>
      <c r="AH21">
        <v>0</v>
      </c>
      <c r="AI21" s="5">
        <v>1.3512781107857899E-10</v>
      </c>
      <c r="AJ21" s="5">
        <v>1.3579282889474E-7</v>
      </c>
      <c r="AK21" s="5">
        <v>7.2043981419659197E-9</v>
      </c>
      <c r="AL21" s="5">
        <v>6.4118925480457E-9</v>
      </c>
      <c r="AM21" s="5">
        <v>4.8348065642919004E-10</v>
      </c>
      <c r="AN21">
        <v>0</v>
      </c>
      <c r="AO21" s="5">
        <v>6.95307834180065E-10</v>
      </c>
      <c r="AP21" s="5">
        <v>4.3006129928806401E-8</v>
      </c>
      <c r="AQ21" s="5">
        <v>2.5518488505599401E-9</v>
      </c>
      <c r="AR21" s="5">
        <v>4.6551680892152101E-9</v>
      </c>
      <c r="AS21" s="5">
        <v>1.8284020824735E-8</v>
      </c>
      <c r="AT21" s="5">
        <v>1.6276153641755201E-9</v>
      </c>
      <c r="AU21" s="5">
        <v>6.0361117995659394E-11</v>
      </c>
      <c r="AV21" s="5">
        <v>3.69930765131114E-10</v>
      </c>
      <c r="AW21" s="5">
        <v>1.6900949490011899E-10</v>
      </c>
      <c r="AX21" s="5">
        <v>8.4191113215533997E-10</v>
      </c>
      <c r="AY21" s="5">
        <v>3.6299999999999999E-10</v>
      </c>
      <c r="AZ21" s="5">
        <v>6.1800000000000004E-10</v>
      </c>
      <c r="BA21" s="5">
        <v>4.3899999999999998E-11</v>
      </c>
      <c r="BB21" s="5">
        <v>1.5199999999999999E-9</v>
      </c>
      <c r="BC21" s="5">
        <v>1.23E-11</v>
      </c>
      <c r="BD21" s="5">
        <v>5.4199999999999999E-10</v>
      </c>
      <c r="BE21" s="5">
        <v>3.9052284371975599E-10</v>
      </c>
      <c r="BF21" s="5">
        <v>9.2174338512530494E-12</v>
      </c>
      <c r="BG21" s="5">
        <v>1.0070509617957E-11</v>
      </c>
      <c r="BH21" s="5">
        <v>6.7575699608750298E-9</v>
      </c>
      <c r="BI21" s="5">
        <v>2.0941080025552201E-10</v>
      </c>
      <c r="BJ21" s="5">
        <v>5.8991576648019599E-11</v>
      </c>
      <c r="BK21" s="5">
        <v>0</v>
      </c>
      <c r="BL21" s="5">
        <v>1.0354716010525601E-9</v>
      </c>
      <c r="BM21" s="5">
        <v>4.02640906815661E-10</v>
      </c>
      <c r="BN21" s="5">
        <v>8.1359797538893395E-10</v>
      </c>
      <c r="BO21" s="5">
        <v>1.22899118262506E-11</v>
      </c>
      <c r="BP21" s="5">
        <v>0</v>
      </c>
      <c r="BQ21" s="5">
        <v>1.8635633777559599E-10</v>
      </c>
      <c r="BR21" s="5">
        <v>8.28966572855772E-11</v>
      </c>
      <c r="BS21" s="5">
        <v>3.5527138836676001E-11</v>
      </c>
      <c r="BT21" s="5">
        <v>5.86E-9</v>
      </c>
      <c r="BU21" s="5">
        <v>5.3500000000000003E-11</v>
      </c>
      <c r="BV21" s="5"/>
      <c r="BW21" s="5">
        <v>7.8499999999999998E-10</v>
      </c>
      <c r="BX21" s="5">
        <v>2.9600000000000001E-10</v>
      </c>
      <c r="BY21" s="5">
        <v>5.7422534791913204E-9</v>
      </c>
      <c r="BZ21" s="5">
        <v>5.8991576648019599E-11</v>
      </c>
      <c r="CA21" s="5">
        <v>0</v>
      </c>
      <c r="CB21" s="5">
        <v>9.3515582869842793E-10</v>
      </c>
      <c r="CC21" s="5">
        <v>5.9211898061126597E-11</v>
      </c>
      <c r="CD21" s="5">
        <v>9.4739036897802605E-11</v>
      </c>
      <c r="CE21" s="5">
        <v>7.3358296789200604E-9</v>
      </c>
      <c r="CF21" s="5">
        <v>5.8991576648019599E-11</v>
      </c>
      <c r="CG21" s="5">
        <v>0</v>
      </c>
      <c r="CH21" s="5">
        <v>1.0254789561996901E-9</v>
      </c>
      <c r="CI21" s="5">
        <v>7.1054277673351899E-11</v>
      </c>
      <c r="CJ21" s="5">
        <v>2.6053235146895702E-10</v>
      </c>
      <c r="CK21" s="5">
        <v>5.6654712414671903E-10</v>
      </c>
      <c r="CL21" s="5">
        <v>2.1293365703582298E-9</v>
      </c>
      <c r="CM21" s="5">
        <v>3.1820136306028001E-9</v>
      </c>
      <c r="CN21" s="5">
        <v>3.9139135507415898E-10</v>
      </c>
      <c r="CO21" s="5">
        <v>2.61422949351306E-9</v>
      </c>
      <c r="CP21" s="5">
        <v>1.82504559473216E-11</v>
      </c>
      <c r="CQ21" s="5">
        <v>1.07583203357214E-10</v>
      </c>
      <c r="CR21" s="5">
        <v>6.5709713269367699E-9</v>
      </c>
      <c r="CS21" s="5">
        <v>5.4239486137374297E-11</v>
      </c>
      <c r="CT21" s="5">
        <v>1.50020770109417E-10</v>
      </c>
      <c r="CU21" s="5">
        <v>3.1825797566311101E-10</v>
      </c>
      <c r="CV21" s="5">
        <v>1.3093763919066199E-8</v>
      </c>
      <c r="CW21" s="5">
        <v>1.3178986580116699E-7</v>
      </c>
      <c r="CX21" s="5">
        <v>-4.97260439301521E-8</v>
      </c>
      <c r="CY21" s="5">
        <v>6.3046518977489197E-8</v>
      </c>
      <c r="CZ21" s="5">
        <v>1.8831852985579601E-9</v>
      </c>
      <c r="DA21" s="5">
        <v>5.4958691030395797E-8</v>
      </c>
      <c r="DB21" s="5">
        <v>2.56606961504034E-9</v>
      </c>
      <c r="DC21" s="5">
        <v>1.04424734132491E-12</v>
      </c>
      <c r="DD21" s="5">
        <v>2.3303995218922899E-11</v>
      </c>
      <c r="DE21" s="5">
        <v>3.63701029295939E-14</v>
      </c>
      <c r="DF21" s="5">
        <v>2.0632294357140299E-9</v>
      </c>
      <c r="DG21" s="5">
        <v>9.4739036897802605E-11</v>
      </c>
      <c r="DH21" s="5">
        <v>1.4678720943801399E-9</v>
      </c>
      <c r="DI21" s="5">
        <v>2.4063003871728199E-7</v>
      </c>
      <c r="DJ21" s="5">
        <v>1.4936242363868099E-8</v>
      </c>
      <c r="DK21" s="5">
        <v>3.1870382757563798E-9</v>
      </c>
      <c r="DL21" s="5">
        <v>4.8526332356397999E-10</v>
      </c>
      <c r="DM21" s="5">
        <v>3.6159657424916202E-10</v>
      </c>
      <c r="DN21" s="5">
        <v>7.8871176470527499E-10</v>
      </c>
      <c r="DO21" s="5">
        <v>4.6581364039722901E-11</v>
      </c>
      <c r="DP21" s="5">
        <v>3.4215968915476602E-9</v>
      </c>
      <c r="DQ21" s="5">
        <v>1.1093018442934799E-9</v>
      </c>
      <c r="DR21" s="5">
        <v>2.2186225324368801E-9</v>
      </c>
      <c r="DS21" s="5">
        <v>9.4787904937408303E-8</v>
      </c>
      <c r="DT21" s="5">
        <v>1.21669706315477E-11</v>
      </c>
      <c r="DU21" s="5">
        <v>9.7269309249281695E-11</v>
      </c>
      <c r="DV21" s="5">
        <v>7.8330958798281508E-9</v>
      </c>
      <c r="DW21" s="5">
        <v>9.4015109304782105E-11</v>
      </c>
      <c r="DX21" s="5">
        <v>7.8871176470527499E-10</v>
      </c>
      <c r="DY21" s="5">
        <v>1.67223872767284E-9</v>
      </c>
      <c r="DZ21" s="5">
        <v>4.23982459713818E-8</v>
      </c>
      <c r="EA21" s="5">
        <v>5.9842266720369494E-11</v>
      </c>
      <c r="EB21" s="5">
        <v>2.5603133834068198E-7</v>
      </c>
      <c r="EC21" s="5">
        <v>1.00430476894552E-7</v>
      </c>
      <c r="ED21" s="5">
        <v>6.9662241248564197E-9</v>
      </c>
      <c r="EE21" s="5">
        <v>5.0476951978631702E-8</v>
      </c>
      <c r="EF21" s="5">
        <v>9.3241208466846908E-10</v>
      </c>
      <c r="EG21" s="5">
        <v>1.04340552498465E-9</v>
      </c>
      <c r="EH21" s="5">
        <v>1.8434867702506101E-10</v>
      </c>
      <c r="EI21" s="5">
        <v>3.7414809428526198E-7</v>
      </c>
      <c r="EJ21" s="5">
        <v>7.1054277673351896E-10</v>
      </c>
      <c r="EK21" s="5">
        <v>1.7964472831279199E-8</v>
      </c>
      <c r="EL21" s="5">
        <v>7.6556280978411196E-10</v>
      </c>
      <c r="EM21" s="5">
        <v>3.6893731564642601E-8</v>
      </c>
      <c r="EN21" s="5">
        <v>6.2355935394918506E-8</v>
      </c>
      <c r="EO21" s="5">
        <v>6.2973542436056605E-10</v>
      </c>
      <c r="EP21" s="5">
        <v>5.5183042312376203E-10</v>
      </c>
      <c r="EQ21" s="5">
        <v>2.4081988328248701E-10</v>
      </c>
      <c r="ER21" s="5">
        <v>-9.9512554226368393E-9</v>
      </c>
      <c r="ES21" s="5">
        <v>6.42288718695843E-10</v>
      </c>
      <c r="ET21" s="5">
        <v>2.48556399022363E-7</v>
      </c>
      <c r="EU21" s="5">
        <v>1.19596190063533E-9</v>
      </c>
      <c r="EV21" s="5">
        <v>2.9177176893556001E-8</v>
      </c>
      <c r="EW21" s="5">
        <v>2.4525796583278303E-10</v>
      </c>
      <c r="EX21" s="5">
        <v>2.5695271166488299E-9</v>
      </c>
      <c r="EY21" s="5">
        <v>2.3594176469757799E-9</v>
      </c>
      <c r="EZ21" s="5">
        <v>1.86282187811044E-10</v>
      </c>
      <c r="FA21" s="5">
        <v>0</v>
      </c>
      <c r="FB21" s="5">
        <v>5.4037173661019996E-10</v>
      </c>
      <c r="FC21" s="5">
        <v>9.3473921443100297E-8</v>
      </c>
      <c r="FD21" s="5">
        <v>2.4407109413220801E-8</v>
      </c>
      <c r="FE21" s="5">
        <v>4.5518056794739198E-10</v>
      </c>
      <c r="FF21" s="5">
        <v>3.0001245437769498E-9</v>
      </c>
      <c r="FG21" s="5">
        <v>4.2252782596961597E-11</v>
      </c>
      <c r="FH21" s="5">
        <v>2.8613429347158E-10</v>
      </c>
      <c r="FI21" s="5">
        <v>3.3392533013718298E-10</v>
      </c>
      <c r="FJ21" s="5">
        <v>3.2091695964613101E-10</v>
      </c>
      <c r="FK21" s="5">
        <v>7.2107946940459095E-11</v>
      </c>
      <c r="FL21" s="5">
        <v>1.5618502798312899E-11</v>
      </c>
      <c r="FM21" s="5">
        <v>4.1330850902632102E-10</v>
      </c>
      <c r="FN21" s="5">
        <v>6.1035576156581998E-9</v>
      </c>
      <c r="FO21" s="5">
        <v>4.0000716577195E-10</v>
      </c>
      <c r="FP21" s="5">
        <v>1.8575299790043799E-11</v>
      </c>
      <c r="FQ21" s="5">
        <v>3.1805507553529403E-11</v>
      </c>
      <c r="FR21" s="5">
        <v>3.2199568944957198E-11</v>
      </c>
      <c r="FS21" s="5">
        <v>0</v>
      </c>
      <c r="FT21" s="5">
        <v>8.6169907447912902E-11</v>
      </c>
      <c r="FU21" s="5">
        <v>5.46830049487257E-8</v>
      </c>
      <c r="FV21" s="5">
        <v>6.9766673038787599E-10</v>
      </c>
      <c r="FW21" s="5">
        <v>3.63701029295939E-14</v>
      </c>
      <c r="FX21" s="5">
        <v>1.37055713895435E-10</v>
      </c>
      <c r="FY21" s="5">
        <v>8.28966572855772E-11</v>
      </c>
      <c r="FZ21" s="5">
        <v>1.5971019802313199E-9</v>
      </c>
      <c r="GA21" s="5">
        <v>1.407545527265E-11</v>
      </c>
      <c r="GB21" s="5">
        <v>9.1031205577687003E-10</v>
      </c>
      <c r="GC21" s="5">
        <v>2.6223405818321E-10</v>
      </c>
      <c r="GD21" s="5">
        <v>2.0498678165602699E-11</v>
      </c>
      <c r="GE21" s="5">
        <v>8.9289757038271701E-9</v>
      </c>
      <c r="GF21" s="5">
        <v>2.5857163782218198E-9</v>
      </c>
      <c r="GG21" s="5">
        <v>5.2959520645146101E-10</v>
      </c>
      <c r="GH21" s="5">
        <v>1.40048008581057E-9</v>
      </c>
      <c r="GI21" s="5">
        <v>2.6223405818321E-10</v>
      </c>
      <c r="GJ21" s="5">
        <v>2.0498678165602699E-11</v>
      </c>
      <c r="GK21" s="5">
        <v>1.0134132426509401E-8</v>
      </c>
      <c r="GL21" s="5">
        <v>7.1054277673351899E-11</v>
      </c>
      <c r="GM21" s="5">
        <v>1.37150680096815E-8</v>
      </c>
      <c r="GN21" s="5">
        <v>5.8361443617761897E-9</v>
      </c>
      <c r="GO21" s="5">
        <v>1.4771428655025399E-9</v>
      </c>
      <c r="GP21" s="5">
        <v>-4.9394644056894901E-9</v>
      </c>
      <c r="GQ21" s="5">
        <v>3.6810654211425E-10</v>
      </c>
      <c r="GR21" s="5">
        <v>2.06017136053353E-10</v>
      </c>
      <c r="GS21" s="5">
        <v>1.17102709012778E-7</v>
      </c>
      <c r="GT21" s="5">
        <v>3.7137879571985199E-8</v>
      </c>
      <c r="GU21" s="5">
        <v>2.4299231906794798E-9</v>
      </c>
      <c r="GV21" s="5">
        <v>1.21669706315477E-10</v>
      </c>
      <c r="GW21" s="5">
        <v>1.8966616024401899E-10</v>
      </c>
      <c r="GX21" s="5">
        <v>1.2791038069661601E-9</v>
      </c>
      <c r="GY21" s="5">
        <v>3.6159657424916202E-10</v>
      </c>
      <c r="GZ21" s="5">
        <v>1.3519720218108101E-10</v>
      </c>
      <c r="HA21" s="5">
        <v>1.5618502798312899E-11</v>
      </c>
      <c r="HB21" s="5">
        <v>7.7673673447090104E-10</v>
      </c>
      <c r="HC21" s="5">
        <v>2.8402417962047199E-8</v>
      </c>
      <c r="HD21" s="5">
        <v>1.7162334775350601E-9</v>
      </c>
      <c r="HE21" s="5">
        <v>1.6448404653817201E-12</v>
      </c>
      <c r="HF21" s="5">
        <v>1.1264899814207099E-10</v>
      </c>
      <c r="HG21" s="5">
        <v>1.46803727122592E-10</v>
      </c>
      <c r="HH21" s="5">
        <v>3.46110081806974E-8</v>
      </c>
      <c r="HI21" s="5">
        <v>7.7097596650600501E-9</v>
      </c>
      <c r="HJ21" s="5">
        <v>1.4771428655025399E-9</v>
      </c>
      <c r="HK21" s="5">
        <v>2.8613429347158E-10</v>
      </c>
      <c r="HL21" s="5">
        <v>6.7598601090540403E-11</v>
      </c>
      <c r="HM21" s="5">
        <v>2.7770880286475098E-10</v>
      </c>
      <c r="HN21" s="5">
        <v>1.4584229140262801E-9</v>
      </c>
      <c r="HO21" s="5">
        <v>7.7256426020007203E-11</v>
      </c>
      <c r="HP21" s="5">
        <v>9.2174338512530494E-12</v>
      </c>
      <c r="HQ21" s="5">
        <v>1.17835344498775E-11</v>
      </c>
      <c r="HR21" s="5">
        <v>1.72359071657652E-9</v>
      </c>
      <c r="HS21" s="5">
        <v>1.40872258948212E-10</v>
      </c>
      <c r="HT21" s="5">
        <v>9.2174338512530494E-12</v>
      </c>
      <c r="HU21" s="5">
        <v>1.2873641161099701E-11</v>
      </c>
      <c r="HV21" s="5">
        <v>1.47315445861241E-10</v>
      </c>
      <c r="HW21" s="5">
        <v>9.2174338512530494E-12</v>
      </c>
      <c r="HX21" s="5">
        <v>7.0078288578566598E-12</v>
      </c>
      <c r="HY21" s="5">
        <v>8.7600000000000004E-8</v>
      </c>
      <c r="HZ21" s="5">
        <v>4.88E-8</v>
      </c>
      <c r="IA21" s="5">
        <v>1.05076034671209E-4</v>
      </c>
      <c r="IB21" s="5">
        <v>5.0839780734023701E-5</v>
      </c>
      <c r="ID21">
        <f t="shared" si="1"/>
        <v>7.35532242698463E-4</v>
      </c>
      <c r="IE21">
        <f t="shared" si="3"/>
        <v>3.558784651381659E-4</v>
      </c>
      <c r="IF21">
        <f t="shared" si="2"/>
        <v>0</v>
      </c>
      <c r="IG21" s="5">
        <v>8.9300000000000002E-10</v>
      </c>
      <c r="IH21" s="5">
        <v>5.38E-9</v>
      </c>
      <c r="II21" s="5">
        <v>9.3399999999999996E-9</v>
      </c>
      <c r="IJ21" s="5">
        <v>3.7900000000000004E-9</v>
      </c>
      <c r="IK21" s="5">
        <v>4.3999999999999997E-9</v>
      </c>
      <c r="IL21" s="5">
        <v>-1.8066998510236601E-7</v>
      </c>
      <c r="IM21" s="5">
        <v>-8.1212914988960195E-7</v>
      </c>
      <c r="IN21" s="5">
        <v>-1.23638731984335E-8</v>
      </c>
      <c r="IO21" s="5">
        <v>-9.5467216977779001E-8</v>
      </c>
      <c r="IP21" s="5">
        <v>-1.4542104746702099E-9</v>
      </c>
      <c r="IQ21" s="5">
        <v>-1.12464158088869E-8</v>
      </c>
      <c r="IR21" s="5">
        <v>1.3386497436461401E-10</v>
      </c>
      <c r="IS21" s="5">
        <v>8.0718495067942199E-10</v>
      </c>
      <c r="IT21" s="5">
        <v>6.72162061261582E-9</v>
      </c>
      <c r="IU21" s="5">
        <v>9.7669268580073103E-10</v>
      </c>
      <c r="IV21" s="5">
        <v>3.9368992984531897E-9</v>
      </c>
      <c r="IW21" s="5">
        <v>5.2948596133834203E-9</v>
      </c>
      <c r="IX21" s="5">
        <v>3.1893298119758E-8</v>
      </c>
      <c r="IY21" s="5">
        <v>4.7104264063530299E-9</v>
      </c>
      <c r="IZ21" s="5">
        <v>1.4135087046293401E-9</v>
      </c>
    </row>
    <row r="22" spans="1:260" x14ac:dyDescent="0.3">
      <c r="A22" t="s">
        <v>137</v>
      </c>
      <c r="B22">
        <v>2.5466744595794401E-7</v>
      </c>
      <c r="C22" s="5">
        <v>-2.82166571520767E-11</v>
      </c>
      <c r="D22" s="5">
        <v>4.53514430075283E-10</v>
      </c>
      <c r="E22">
        <v>4.3314300261211898E-9</v>
      </c>
      <c r="F22">
        <v>1.27220941916164E-8</v>
      </c>
      <c r="G22">
        <v>-2.2042164191814299E-11</v>
      </c>
      <c r="H22">
        <v>3.1560666678546599E-8</v>
      </c>
      <c r="I22" s="5">
        <v>0</v>
      </c>
      <c r="J22" s="5">
        <v>2.7353779490284802E-10</v>
      </c>
      <c r="K22" s="5">
        <v>4.6460242061775699E-10</v>
      </c>
      <c r="L22">
        <v>0</v>
      </c>
      <c r="M22">
        <v>4.1030669235427198E-10</v>
      </c>
      <c r="N22">
        <v>1.2706018405900901E-7</v>
      </c>
      <c r="O22" s="5">
        <v>0</v>
      </c>
      <c r="P22" s="5">
        <v>2.7353779490284802E-10</v>
      </c>
      <c r="Q22" s="5">
        <v>4.7787677549254998E-10</v>
      </c>
      <c r="R22" s="5">
        <v>3.35282724505471E-10</v>
      </c>
      <c r="S22" s="5">
        <v>5.1275821210159702E-8</v>
      </c>
      <c r="T22" s="5">
        <v>2.2718853861340499E-9</v>
      </c>
      <c r="U22">
        <v>2.7353779490284802E-10</v>
      </c>
      <c r="V22">
        <v>0</v>
      </c>
      <c r="W22">
        <v>8.1910897407819003E-8</v>
      </c>
      <c r="X22" s="5">
        <v>2.7353779490284802E-10</v>
      </c>
      <c r="Y22" s="5">
        <v>0</v>
      </c>
      <c r="Z22" s="5">
        <v>2.8407119432057099E-10</v>
      </c>
      <c r="AA22" s="5">
        <v>2.7353779490284802E-10</v>
      </c>
      <c r="AB22" s="5">
        <v>0</v>
      </c>
      <c r="AC22" s="5">
        <v>2.31848536790316E-8</v>
      </c>
      <c r="AD22" s="5">
        <v>7.6343925233018103E-9</v>
      </c>
      <c r="AE22" s="5">
        <v>1.26187286870896E-6</v>
      </c>
      <c r="AF22" s="5">
        <v>1.0941511796113901E-13</v>
      </c>
      <c r="AG22" s="5">
        <v>2.7353779490284802E-10</v>
      </c>
      <c r="AH22">
        <v>0</v>
      </c>
      <c r="AI22" s="5">
        <v>4.6460242061775699E-10</v>
      </c>
      <c r="AJ22" s="5">
        <v>5.83928439891903E-8</v>
      </c>
      <c r="AK22" s="5">
        <v>3.0979934666941999E-9</v>
      </c>
      <c r="AL22" s="5">
        <v>3.4888335010105803E-8</v>
      </c>
      <c r="AM22" s="5">
        <v>2.63071082149508E-9</v>
      </c>
      <c r="AN22">
        <v>0</v>
      </c>
      <c r="AO22" s="5">
        <v>1.60536291377842E-10</v>
      </c>
      <c r="AP22" s="5">
        <v>2.6468941070005701E-7</v>
      </c>
      <c r="AQ22" s="5">
        <v>1.7787161886872299E-8</v>
      </c>
      <c r="AR22" s="5">
        <v>2.8933983181498498E-8</v>
      </c>
      <c r="AS22" s="5">
        <v>4.2215098843802904E-9</v>
      </c>
      <c r="AT22" s="5">
        <v>1.1622744200524899E-8</v>
      </c>
      <c r="AU22" s="5">
        <v>1.7422010701356599E-9</v>
      </c>
      <c r="AV22" s="5">
        <v>8.9895708861470205E-10</v>
      </c>
      <c r="AW22" s="5">
        <v>3.03563641805489E-10</v>
      </c>
      <c r="AX22" s="5">
        <v>2.8946961163823302E-9</v>
      </c>
      <c r="AY22" s="5">
        <v>2.21E-9</v>
      </c>
      <c r="AZ22" s="5">
        <v>1.43E-10</v>
      </c>
      <c r="BA22" s="5">
        <v>3.0199999999999999E-6</v>
      </c>
      <c r="BB22" s="5">
        <v>4.9799999999999998E-9</v>
      </c>
      <c r="BC22" s="5">
        <v>5.5900000000000002E-11</v>
      </c>
      <c r="BD22" s="5">
        <v>1.86E-9</v>
      </c>
      <c r="BE22" s="5">
        <v>2.57536637108686E-9</v>
      </c>
      <c r="BF22" s="5">
        <v>4.19103405631839E-11</v>
      </c>
      <c r="BG22" s="5">
        <v>3.46248718750905E-11</v>
      </c>
      <c r="BH22" s="5">
        <v>9.1019636598249994E-8</v>
      </c>
      <c r="BI22" s="5">
        <v>1.3809935613074501E-9</v>
      </c>
      <c r="BJ22" s="5">
        <v>2.6822617960437699E-10</v>
      </c>
      <c r="BK22" s="5">
        <v>0</v>
      </c>
      <c r="BL22" s="5">
        <v>3.5602042872596202E-9</v>
      </c>
      <c r="BM22" s="5">
        <v>2.7411667620476E-9</v>
      </c>
      <c r="BN22" s="5">
        <v>1.0958583112824101E-8</v>
      </c>
      <c r="BO22" s="5">
        <v>5.58804541960062E-11</v>
      </c>
      <c r="BP22" s="5">
        <v>0</v>
      </c>
      <c r="BQ22" s="5">
        <v>6.4073860841017904E-10</v>
      </c>
      <c r="BR22" s="5">
        <v>5.6435786277450603E-10</v>
      </c>
      <c r="BS22" s="5">
        <v>2.4186765547478798E-10</v>
      </c>
      <c r="BT22" s="5">
        <v>7.8899999999999998E-8</v>
      </c>
      <c r="BU22" s="5">
        <v>2.4299999999999999E-10</v>
      </c>
      <c r="BV22" s="5"/>
      <c r="BW22" s="5">
        <v>2.7000000000000002E-9</v>
      </c>
      <c r="BX22" s="5">
        <v>2.0200000000000001E-9</v>
      </c>
      <c r="BY22" s="5">
        <v>7.7344049407866203E-8</v>
      </c>
      <c r="BZ22" s="5">
        <v>2.6822617960437699E-10</v>
      </c>
      <c r="CA22" s="5">
        <v>0</v>
      </c>
      <c r="CB22" s="5">
        <v>3.2152941589162601E-9</v>
      </c>
      <c r="CC22" s="5">
        <v>4.0311275912464698E-10</v>
      </c>
      <c r="CD22" s="5">
        <v>6.44980414599436E-10</v>
      </c>
      <c r="CE22" s="5">
        <v>9.8808381620587794E-8</v>
      </c>
      <c r="CF22" s="5">
        <v>2.6822617960437699E-10</v>
      </c>
      <c r="CG22" s="5">
        <v>0</v>
      </c>
      <c r="CH22" s="5">
        <v>3.5258471334660398E-9</v>
      </c>
      <c r="CI22" s="5">
        <v>4.83735310949577E-10</v>
      </c>
      <c r="CJ22" s="5">
        <v>1.7736961401484499E-9</v>
      </c>
      <c r="CK22" s="5">
        <v>1.3080734853009299E-10</v>
      </c>
      <c r="CL22" s="5">
        <v>1.20612023220752E-8</v>
      </c>
      <c r="CM22" s="5">
        <v>1.9777659389885101E-8</v>
      </c>
      <c r="CN22" s="5">
        <v>9.0366472995444103E-11</v>
      </c>
      <c r="CO22" s="5">
        <v>4.59431358043031E-9</v>
      </c>
      <c r="CP22" s="5">
        <v>5.2281590356299404E-10</v>
      </c>
      <c r="CQ22" s="5">
        <v>1.44906884136517E-9</v>
      </c>
      <c r="CR22" s="5">
        <v>4.33333385048093E-8</v>
      </c>
      <c r="CS22" s="5">
        <v>5.8966021902287598E-9</v>
      </c>
      <c r="CT22" s="5">
        <v>2.6946206661119099E-10</v>
      </c>
      <c r="CU22" s="5">
        <v>1.0942486575765201E-9</v>
      </c>
      <c r="CV22" s="5">
        <v>-1.4116205594070101E-9</v>
      </c>
      <c r="CW22" s="5">
        <v>5.4024285082178495E-7</v>
      </c>
      <c r="CX22" s="5">
        <v>-8.3844213896184494E-8</v>
      </c>
      <c r="CY22" s="5">
        <v>2.1736989040717699E-8</v>
      </c>
      <c r="CZ22" s="5">
        <v>6.4748510406419202E-9</v>
      </c>
      <c r="DA22" s="5">
        <v>3.3408692477372702E-7</v>
      </c>
      <c r="DB22" s="5">
        <v>5.9246750743392299E-10</v>
      </c>
      <c r="DC22" s="5">
        <v>3.01400785133468E-11</v>
      </c>
      <c r="DD22" s="5">
        <v>2.5334751310317902E-9</v>
      </c>
      <c r="DE22" s="5">
        <v>6.5332324483170699E-14</v>
      </c>
      <c r="DF22" s="5">
        <v>7.0938867615129198E-9</v>
      </c>
      <c r="DG22" s="5">
        <v>6.44980414599436E-10</v>
      </c>
      <c r="DH22" s="5">
        <v>3.3890994846433299E-10</v>
      </c>
      <c r="DI22" s="5">
        <v>1.4030974248428E-6</v>
      </c>
      <c r="DJ22" s="5">
        <v>3.4485573703388198E-9</v>
      </c>
      <c r="DK22" s="5">
        <v>1.9419538282018799E-8</v>
      </c>
      <c r="DL22" s="5">
        <v>1.1792231024850201E-9</v>
      </c>
      <c r="DM22" s="5">
        <v>3.9310681268191802E-8</v>
      </c>
      <c r="DN22" s="5">
        <v>1.4166330899461301E-9</v>
      </c>
      <c r="DO22" s="5">
        <v>1.77650296246577E-10</v>
      </c>
      <c r="DP22" s="5">
        <v>1.17642858675985E-8</v>
      </c>
      <c r="DQ22" s="5">
        <v>2.5612138300078E-10</v>
      </c>
      <c r="DR22" s="5">
        <v>1.4631066919797801E-8</v>
      </c>
      <c r="DS22" s="5">
        <v>6.7687710293226699E-7</v>
      </c>
      <c r="DT22" s="5">
        <v>3.4854393570866302E-10</v>
      </c>
      <c r="DU22" s="5">
        <v>2.3637108155442502E-10</v>
      </c>
      <c r="DV22" s="5">
        <v>5.1656624022959599E-8</v>
      </c>
      <c r="DW22" s="5">
        <v>1.02207771297299E-8</v>
      </c>
      <c r="DX22" s="5">
        <v>1.4166330899461301E-9</v>
      </c>
      <c r="DY22" s="5">
        <v>5.7495652044253598E-9</v>
      </c>
      <c r="DZ22" s="5">
        <v>5.14062382660007E-9</v>
      </c>
      <c r="EA22" s="5">
        <v>7.2556440742414498E-12</v>
      </c>
      <c r="EB22" s="5">
        <v>1.4855184645447299E-6</v>
      </c>
      <c r="EC22" s="5">
        <v>6.1585760366533702E-7</v>
      </c>
      <c r="ED22" s="5">
        <v>4.2474816427720903E-8</v>
      </c>
      <c r="EE22" s="5">
        <v>6.1201357766226697E-9</v>
      </c>
      <c r="EF22" s="5">
        <v>2.2662033550732002E-9</v>
      </c>
      <c r="EG22" s="5">
        <v>8.0373216541101803E-8</v>
      </c>
      <c r="EH22" s="5">
        <v>8.3820681126367896E-10</v>
      </c>
      <c r="EI22" s="5">
        <v>9.2814826762871203E-7</v>
      </c>
      <c r="EJ22" s="5">
        <v>4.8373531094957702E-9</v>
      </c>
      <c r="EK22" s="5">
        <v>4.3662184641077002E-8</v>
      </c>
      <c r="EL22" s="5">
        <v>-8.2534266578232599E-11</v>
      </c>
      <c r="EM22" s="5">
        <v>8.5182167513785207E-9</v>
      </c>
      <c r="EN22" s="5">
        <v>3.8487154699269501E-7</v>
      </c>
      <c r="EO22" s="5">
        <v>6.4028514465045297E-10</v>
      </c>
      <c r="EP22" s="5">
        <v>1.34098571229817E-9</v>
      </c>
      <c r="EQ22" s="5">
        <v>2.6180540273143701E-8</v>
      </c>
      <c r="ER22" s="5">
        <v>-1.6796335962646299E-8</v>
      </c>
      <c r="ES22" s="5">
        <v>2.20834549941786E-9</v>
      </c>
      <c r="ET22" s="5">
        <v>1.58006931474624E-6</v>
      </c>
      <c r="EU22" s="5">
        <v>8.3734869202291796E-9</v>
      </c>
      <c r="EV22" s="5">
        <v>6.7365784492998096E-9</v>
      </c>
      <c r="EW22" s="5">
        <v>5.9599364991029904E-10</v>
      </c>
      <c r="EX22" s="5">
        <v>1.6945164238745401E-8</v>
      </c>
      <c r="EY22" s="5">
        <v>2.5650219527495099E-7</v>
      </c>
      <c r="EZ22" s="5">
        <v>3.5510581957396499E-10</v>
      </c>
      <c r="FA22" s="5">
        <v>0</v>
      </c>
      <c r="FB22" s="5">
        <v>1.85793002090833E-9</v>
      </c>
      <c r="FC22" s="5">
        <v>5.2807165087300705E-7</v>
      </c>
      <c r="FD22" s="5">
        <v>1.62919866387995E-7</v>
      </c>
      <c r="FE22" s="5">
        <v>3.2504284628586701E-9</v>
      </c>
      <c r="FF22" s="5">
        <v>6.9268436835254E-10</v>
      </c>
      <c r="FG22" s="5">
        <v>1.2195407490949599E-9</v>
      </c>
      <c r="FH22" s="5">
        <v>6.95325924895349E-10</v>
      </c>
      <c r="FI22" s="5">
        <v>2.2021248680307901E-9</v>
      </c>
      <c r="FJ22" s="5">
        <v>3.4888229625520198E-8</v>
      </c>
      <c r="FK22" s="5">
        <v>1.29515466371305E-10</v>
      </c>
      <c r="FL22" s="5">
        <v>2.22481923346941E-9</v>
      </c>
      <c r="FM22" s="5">
        <v>1.4210556081892E-9</v>
      </c>
      <c r="FN22" s="5">
        <v>4.3585290751968603E-8</v>
      </c>
      <c r="FO22" s="5">
        <v>2.8564371340273198E-9</v>
      </c>
      <c r="FP22" s="5">
        <v>4.5475735344994003E-11</v>
      </c>
      <c r="FQ22" s="5">
        <v>3.43986612390946E-9</v>
      </c>
      <c r="FR22" s="5">
        <v>1.46406789812483E-10</v>
      </c>
      <c r="FS22" s="5">
        <v>0</v>
      </c>
      <c r="FT22" s="5">
        <v>2.9627318954665601E-10</v>
      </c>
      <c r="FU22" s="5">
        <v>1.2724271957874099E-7</v>
      </c>
      <c r="FV22" s="5">
        <v>1.61080925610813E-10</v>
      </c>
      <c r="FW22" s="5">
        <v>6.5332324483170699E-14</v>
      </c>
      <c r="FX22" s="5">
        <v>4.7123102140894804E-10</v>
      </c>
      <c r="FY22" s="5">
        <v>5.6435786277450603E-10</v>
      </c>
      <c r="FZ22" s="5">
        <v>9.7378456540259498E-9</v>
      </c>
      <c r="GA22" s="5">
        <v>9.9191769272495798E-11</v>
      </c>
      <c r="GB22" s="5">
        <v>1.59980562175698E-9</v>
      </c>
      <c r="GC22" s="5">
        <v>3.5321053008276102E-9</v>
      </c>
      <c r="GD22" s="5">
        <v>3.6591863651858301E-11</v>
      </c>
      <c r="GE22" s="5">
        <v>2.2289602978455299E-8</v>
      </c>
      <c r="GF22" s="5">
        <v>1.5765761556140899E-8</v>
      </c>
      <c r="GG22" s="5">
        <v>7.6890210555734894E-11</v>
      </c>
      <c r="GH22" s="5">
        <v>2.4612394180876701E-9</v>
      </c>
      <c r="GI22" s="5">
        <v>3.5321053008276102E-9</v>
      </c>
      <c r="GJ22" s="5">
        <v>3.6591863651858301E-11</v>
      </c>
      <c r="GK22" s="5">
        <v>2.5279232329676101E-8</v>
      </c>
      <c r="GL22" s="5">
        <v>4.83735310949577E-10</v>
      </c>
      <c r="GM22" s="5">
        <v>8.5245374499921294E-8</v>
      </c>
      <c r="GN22" s="5">
        <v>3.0327311921298401E-8</v>
      </c>
      <c r="GO22" s="5">
        <v>3.4105043234937102E-10</v>
      </c>
      <c r="GP22" s="5">
        <v>-8.39462147987907E-9</v>
      </c>
      <c r="GQ22" s="5">
        <v>1.2656402049764601E-9</v>
      </c>
      <c r="GR22" s="5">
        <v>4.7566308556397603E-11</v>
      </c>
      <c r="GS22" s="5">
        <v>5.5666832670954498E-7</v>
      </c>
      <c r="GT22" s="5">
        <v>2.2575646158108999E-7</v>
      </c>
      <c r="GU22" s="5">
        <v>5.6103331242442702E-10</v>
      </c>
      <c r="GV22" s="5">
        <v>3.4854393570866301E-9</v>
      </c>
      <c r="GW22" s="5">
        <v>4.60901755930632E-10</v>
      </c>
      <c r="GX22" s="5">
        <v>8.4352579690670999E-9</v>
      </c>
      <c r="GY22" s="5">
        <v>3.9310681268191802E-8</v>
      </c>
      <c r="GZ22" s="5">
        <v>2.4283330769083101E-10</v>
      </c>
      <c r="HA22" s="5">
        <v>2.22481923346941E-9</v>
      </c>
      <c r="HB22" s="5">
        <v>2.6706106177362701E-9</v>
      </c>
      <c r="HC22" s="5">
        <v>1.7653392270230701E-7</v>
      </c>
      <c r="HD22" s="5">
        <v>3.96252917165641E-10</v>
      </c>
      <c r="HE22" s="5">
        <v>4.7474979161196599E-11</v>
      </c>
      <c r="HF22" s="5">
        <v>2.0233253940689101E-10</v>
      </c>
      <c r="HG22" s="5">
        <v>5.0474707191995105E-10</v>
      </c>
      <c r="HH22" s="5">
        <v>1.8184145284014799E-7</v>
      </c>
      <c r="HI22" s="5">
        <v>4.5956883953248098E-8</v>
      </c>
      <c r="HJ22" s="5">
        <v>3.4105043234937102E-10</v>
      </c>
      <c r="HK22" s="5">
        <v>6.95325924895349E-10</v>
      </c>
      <c r="HL22" s="5">
        <v>1.2141665384541499E-10</v>
      </c>
      <c r="HM22" s="5">
        <v>9.5483069701168691E-10</v>
      </c>
      <c r="HN22" s="5">
        <v>9.0647605536973098E-9</v>
      </c>
      <c r="HO22" s="5">
        <v>1.7837365708649099E-11</v>
      </c>
      <c r="HP22" s="5">
        <v>4.19103405631839E-11</v>
      </c>
      <c r="HQ22" s="5">
        <v>4.0514669668276003E-11</v>
      </c>
      <c r="HR22" s="5">
        <v>1.07128988361877E-8</v>
      </c>
      <c r="HS22" s="5">
        <v>3.8037122647979602E-11</v>
      </c>
      <c r="HT22" s="5">
        <v>4.19103405631839E-11</v>
      </c>
      <c r="HU22" s="5">
        <v>4.4262722809393998E-11</v>
      </c>
      <c r="HV22" s="5">
        <v>9.1563237916134497E-10</v>
      </c>
      <c r="HW22" s="5">
        <v>4.19103405631839E-11</v>
      </c>
      <c r="HX22" s="5">
        <v>2.4094627335758801E-11</v>
      </c>
      <c r="HY22" s="5">
        <v>2.4400000000000001E-7</v>
      </c>
      <c r="HZ22" s="5">
        <v>1.68E-7</v>
      </c>
      <c r="IA22" s="5">
        <v>3.86779984114929E-4</v>
      </c>
      <c r="IB22" s="5">
        <v>0</v>
      </c>
      <c r="ID22">
        <f t="shared" si="1"/>
        <v>2.7074598888045028E-3</v>
      </c>
      <c r="IE22">
        <f t="shared" si="3"/>
        <v>0</v>
      </c>
      <c r="IF22">
        <f t="shared" si="2"/>
        <v>0</v>
      </c>
      <c r="IG22" s="5">
        <v>2.0599999999999999E-8</v>
      </c>
      <c r="IH22" s="5">
        <v>1.24E-7</v>
      </c>
      <c r="II22" s="5">
        <v>3.4E-5</v>
      </c>
      <c r="IJ22" s="5">
        <v>7.4299999999999997E-8</v>
      </c>
      <c r="IK22" s="5">
        <v>8.1099999999999995E-9</v>
      </c>
      <c r="IL22" s="5">
        <v>-5.0340350911711201E-6</v>
      </c>
      <c r="IM22" s="5">
        <v>-5.7231162080908898E-6</v>
      </c>
      <c r="IN22">
        <v>-8.9111872149626897E-8</v>
      </c>
      <c r="IO22" s="5">
        <v>-1.0639848829561099E-6</v>
      </c>
      <c r="IP22" s="5">
        <v>3.4708857998011599E-9</v>
      </c>
      <c r="IQ22" s="5">
        <v>-1.03493605511292E-8</v>
      </c>
      <c r="IR22" s="5">
        <v>3.0846466247221801E-9</v>
      </c>
      <c r="IS22" s="5">
        <v>1.8597309158307699E-8</v>
      </c>
      <c r="IT22" s="5">
        <v>2.4473132486084499E-5</v>
      </c>
      <c r="IU22" s="5">
        <v>1.91665949142239E-8</v>
      </c>
      <c r="IV22" s="5">
        <v>7.2615274837826897E-9</v>
      </c>
      <c r="IW22" s="5">
        <v>3.3352406193717398E-9</v>
      </c>
      <c r="IX22" s="5">
        <v>2.00896399794777E-8</v>
      </c>
      <c r="IY22" s="5">
        <v>3.3639361127804801E-9</v>
      </c>
      <c r="IZ22" s="5">
        <v>3.69225196942597E-9</v>
      </c>
    </row>
    <row r="23" spans="1:260" x14ac:dyDescent="0.3">
      <c r="A23" t="s">
        <v>138</v>
      </c>
      <c r="B23" s="5">
        <v>1.6152886126787199E-9</v>
      </c>
      <c r="C23" s="5">
        <v>7.5368295912029696E-11</v>
      </c>
      <c r="D23" s="5">
        <v>4.1211238579332303E-12</v>
      </c>
      <c r="E23">
        <v>2.3854251087795198E-10</v>
      </c>
      <c r="F23">
        <v>2.2384336085945999E-10</v>
      </c>
      <c r="G23">
        <v>6.9424998529567394E-11</v>
      </c>
      <c r="H23">
        <v>4.7992898916121597E-10</v>
      </c>
      <c r="I23" s="5">
        <v>0</v>
      </c>
      <c r="J23" s="5">
        <v>2.18786194698692E-10</v>
      </c>
      <c r="K23" s="5">
        <v>4.2218813627243002E-12</v>
      </c>
      <c r="L23">
        <v>0</v>
      </c>
      <c r="M23">
        <v>3.2817929204803803E-10</v>
      </c>
      <c r="N23">
        <v>1.93214757847714E-9</v>
      </c>
      <c r="O23" s="5">
        <v>0</v>
      </c>
      <c r="P23" s="5">
        <v>2.18786194698692E-10</v>
      </c>
      <c r="Q23" s="5">
        <v>4.3425065445164201E-12</v>
      </c>
      <c r="R23" s="5">
        <v>1.59353220874069E-10</v>
      </c>
      <c r="S23" s="5">
        <v>1.7278054829615901E-9</v>
      </c>
      <c r="T23" s="5">
        <v>2.0644814026607001E-11</v>
      </c>
      <c r="U23">
        <v>2.18786194698692E-10</v>
      </c>
      <c r="V23">
        <v>0</v>
      </c>
      <c r="W23">
        <v>1.24558250288625E-9</v>
      </c>
      <c r="X23" s="5">
        <v>2.18786194698692E-10</v>
      </c>
      <c r="Y23" s="5">
        <v>0</v>
      </c>
      <c r="Z23" s="5">
        <v>2.5813788903514299E-12</v>
      </c>
      <c r="AA23" s="5">
        <v>2.18786194698692E-10</v>
      </c>
      <c r="AB23" s="5">
        <v>0</v>
      </c>
      <c r="AC23" s="5">
        <v>3.5256173462241702E-10</v>
      </c>
      <c r="AD23" s="5">
        <v>4.2005632596778298E-10</v>
      </c>
      <c r="AE23" s="5">
        <v>3.6612987244972699E-8</v>
      </c>
      <c r="AF23" s="5">
        <v>8.7514477879476795E-14</v>
      </c>
      <c r="AG23" s="5">
        <v>2.18786194698692E-10</v>
      </c>
      <c r="AH23">
        <v>0</v>
      </c>
      <c r="AI23" s="5">
        <v>4.2218813627243002E-12</v>
      </c>
      <c r="AJ23" s="5">
        <v>1.0013419511734299E-9</v>
      </c>
      <c r="AK23" s="5">
        <v>5.31255306426996E-11</v>
      </c>
      <c r="AL23" s="5">
        <v>9.7847247088873802E-10</v>
      </c>
      <c r="AM23" s="5">
        <v>7.3780480408607004E-11</v>
      </c>
      <c r="AN23">
        <v>0</v>
      </c>
      <c r="AO23" s="5">
        <v>8.8329601254907593E-12</v>
      </c>
      <c r="AP23" s="5">
        <v>2.9114516789123E-9</v>
      </c>
      <c r="AQ23" s="5">
        <v>1.6739323099365701E-10</v>
      </c>
      <c r="AR23" s="5">
        <v>3.3009644818326801E-10</v>
      </c>
      <c r="AS23" s="5">
        <v>2.32274136633275E-10</v>
      </c>
      <c r="AT23" s="5">
        <v>1.09034743725583E-10</v>
      </c>
      <c r="AU23" s="5">
        <v>1.41430225136025E-11</v>
      </c>
      <c r="AV23" s="5">
        <v>8.5127105125996804E-12</v>
      </c>
      <c r="AW23" s="5">
        <v>2.35227942133414E-11</v>
      </c>
      <c r="AX23" s="5">
        <v>2.6304347636104199E-11</v>
      </c>
      <c r="AY23" s="5">
        <v>2.5200000000000001E-11</v>
      </c>
      <c r="AZ23" s="5">
        <v>7.8500000000000007E-12</v>
      </c>
      <c r="BA23" s="5">
        <v>1.19E-12</v>
      </c>
      <c r="BB23" s="5">
        <v>8.9899999999999995E-11</v>
      </c>
      <c r="BC23" s="5">
        <v>2.6600000000000001E-11</v>
      </c>
      <c r="BD23" s="5">
        <v>1.6900000000000001E-11</v>
      </c>
      <c r="BE23" s="5">
        <v>2.5164939088644899E-11</v>
      </c>
      <c r="BF23" s="5">
        <v>1.99191526092586E-11</v>
      </c>
      <c r="BG23" s="5">
        <v>3.1463912964936898E-13</v>
      </c>
      <c r="BH23" s="5">
        <v>5.8317283083288997E-10</v>
      </c>
      <c r="BI23" s="5">
        <v>1.3494242699708101E-11</v>
      </c>
      <c r="BJ23" s="5">
        <v>1.2748257669925501E-10</v>
      </c>
      <c r="BK23" s="5">
        <v>0</v>
      </c>
      <c r="BL23" s="5">
        <v>3.2351876488045299E-11</v>
      </c>
      <c r="BM23" s="5">
        <v>3.1005376907863601E-11</v>
      </c>
      <c r="BN23" s="5">
        <v>7.0212848289333094E-11</v>
      </c>
      <c r="BO23" s="5">
        <v>2.65588701987959E-11</v>
      </c>
      <c r="BP23" s="5">
        <v>0</v>
      </c>
      <c r="BQ23" s="5">
        <v>5.82244574969709E-12</v>
      </c>
      <c r="BR23" s="5">
        <v>6.3834599516189697E-12</v>
      </c>
      <c r="BS23" s="5">
        <v>2.73576855069385E-12</v>
      </c>
      <c r="BT23" s="5">
        <v>5.0500000000000001E-10</v>
      </c>
      <c r="BU23" s="5">
        <v>1.16E-10</v>
      </c>
      <c r="BV23" s="5"/>
      <c r="BW23" s="5">
        <v>2.4499999999999999E-11</v>
      </c>
      <c r="BX23" s="5">
        <v>2.2800000000000001E-11</v>
      </c>
      <c r="BY23" s="5">
        <v>4.9555183833958995E-10</v>
      </c>
      <c r="BZ23" s="5">
        <v>1.2748257669925501E-10</v>
      </c>
      <c r="CA23" s="5">
        <v>0</v>
      </c>
      <c r="CB23" s="5">
        <v>2.9217649075429802E-11</v>
      </c>
      <c r="CC23" s="5">
        <v>4.55961425115641E-12</v>
      </c>
      <c r="CD23" s="5">
        <v>7.2953828018502596E-12</v>
      </c>
      <c r="CE23" s="5">
        <v>6.3307617755092903E-10</v>
      </c>
      <c r="CF23" s="5">
        <v>1.2748257669925501E-10</v>
      </c>
      <c r="CG23" s="5">
        <v>0</v>
      </c>
      <c r="CH23" s="5">
        <v>3.2039670135171597E-11</v>
      </c>
      <c r="CI23" s="5">
        <v>5.4715371013876903E-12</v>
      </c>
      <c r="CJ23" s="5">
        <v>2.0062302705088199E-11</v>
      </c>
      <c r="CK23" s="5">
        <v>7.1972267689183898E-12</v>
      </c>
      <c r="CL23" s="5">
        <v>1.44902580700542E-10</v>
      </c>
      <c r="CM23" s="5">
        <v>2.2563554685944899E-10</v>
      </c>
      <c r="CN23" s="5">
        <v>4.9721059693058801E-12</v>
      </c>
      <c r="CO23" s="5">
        <v>1.5481137127335799E-10</v>
      </c>
      <c r="CP23" s="5">
        <v>4.2473143610578002E-12</v>
      </c>
      <c r="CQ23" s="5">
        <v>9.2843435754490105E-12</v>
      </c>
      <c r="CR23" s="5">
        <v>4.2342745336111201E-10</v>
      </c>
      <c r="CS23" s="5">
        <v>1.7108872544379799E-10</v>
      </c>
      <c r="CT23" s="5">
        <v>2.0879463880220099E-11</v>
      </c>
      <c r="CU23" s="5">
        <v>9.9435297979414694E-12</v>
      </c>
      <c r="CV23" s="5">
        <v>1.13472677109182E-10</v>
      </c>
      <c r="CW23" s="5">
        <v>6.0746582098770602E-9</v>
      </c>
      <c r="CX23" s="5">
        <v>5.7238175142244404E-9</v>
      </c>
      <c r="CY23" s="5">
        <v>2.51900923352137E-9</v>
      </c>
      <c r="CZ23" s="5">
        <v>5.8837517244432099E-11</v>
      </c>
      <c r="DA23" s="5">
        <v>3.8197981083781896E-9</v>
      </c>
      <c r="DB23" s="5">
        <v>3.2598497348463502E-11</v>
      </c>
      <c r="DC23" s="5">
        <v>2.4467428948532299E-13</v>
      </c>
      <c r="DD23" s="5">
        <v>7.3508270886927606E-11</v>
      </c>
      <c r="DE23" s="5">
        <v>5.0615195100680704E-15</v>
      </c>
      <c r="DF23" s="5">
        <v>6.4462747025479805E-11</v>
      </c>
      <c r="DG23" s="5">
        <v>7.2953828018502596E-12</v>
      </c>
      <c r="DH23" s="5">
        <v>1.8647360264924899E-11</v>
      </c>
      <c r="DI23" s="5">
        <v>1.6346227664780801E-8</v>
      </c>
      <c r="DJ23" s="5">
        <v>1.8974506936239401E-10</v>
      </c>
      <c r="DK23" s="5">
        <v>2.27871519622792E-10</v>
      </c>
      <c r="DL23" s="5">
        <v>1.1166700867439499E-11</v>
      </c>
      <c r="DM23" s="5">
        <v>1.1405915029586501E-9</v>
      </c>
      <c r="DN23" s="5">
        <v>1.0977414377588E-10</v>
      </c>
      <c r="DO23" s="5">
        <v>2.2897920472913002E-12</v>
      </c>
      <c r="DP23" s="5">
        <v>1.0690305742302101E-10</v>
      </c>
      <c r="DQ23" s="5">
        <v>1.40922027282093E-11</v>
      </c>
      <c r="DR23" s="5">
        <v>1.4296603076447499E-10</v>
      </c>
      <c r="DS23" s="5">
        <v>6.3498877871373402E-9</v>
      </c>
      <c r="DT23" s="5">
        <v>2.8315429073718699E-12</v>
      </c>
      <c r="DU23" s="5">
        <v>2.2383255177659902E-12</v>
      </c>
      <c r="DV23" s="5">
        <v>5.0475761882151502E-10</v>
      </c>
      <c r="DW23" s="5">
        <v>2.9655379076924902E-10</v>
      </c>
      <c r="DX23" s="5">
        <v>1.0977414377588E-10</v>
      </c>
      <c r="DY23" s="5">
        <v>5.2246783708220303E-11</v>
      </c>
      <c r="DZ23" s="5">
        <v>4.9114925108870201E-10</v>
      </c>
      <c r="EA23" s="5">
        <v>6.9322406646252802E-13</v>
      </c>
      <c r="EB23" s="5">
        <v>1.6587242662141199E-8</v>
      </c>
      <c r="EC23" s="5">
        <v>6.5447352869102904E-9</v>
      </c>
      <c r="ED23" s="5">
        <v>4.8472479410947505E-10</v>
      </c>
      <c r="EE23" s="5">
        <v>5.8473450006114301E-10</v>
      </c>
      <c r="EF23" s="5">
        <v>2.15281743795678E-11</v>
      </c>
      <c r="EG23" s="5">
        <v>2.3185457943228501E-9</v>
      </c>
      <c r="EH23" s="5">
        <v>3.9838305218517302E-10</v>
      </c>
      <c r="EI23" s="5">
        <v>1.41139369586756E-8</v>
      </c>
      <c r="EJ23" s="5">
        <v>5.4715371013876901E-11</v>
      </c>
      <c r="EK23" s="5">
        <v>4.1477615971300699E-10</v>
      </c>
      <c r="EL23" s="5">
        <v>6.6344912019481398E-12</v>
      </c>
      <c r="EM23" s="5">
        <v>4.68685729933332E-10</v>
      </c>
      <c r="EN23" s="5">
        <v>4.2206224597437498E-9</v>
      </c>
      <c r="EO23" s="5">
        <v>5.9476780881676402E-12</v>
      </c>
      <c r="EP23" s="5">
        <v>1.26985184442095E-11</v>
      </c>
      <c r="EQ23" s="5">
        <v>7.5962310535118303E-10</v>
      </c>
      <c r="ER23" s="5">
        <v>1.1316965387332099E-9</v>
      </c>
      <c r="ES23" s="5">
        <v>2.0067421719524299E-11</v>
      </c>
      <c r="ET23" s="5">
        <v>1.67908052957405E-8</v>
      </c>
      <c r="EU23" s="5">
        <v>8.0237838681304705E-11</v>
      </c>
      <c r="EV23" s="5">
        <v>3.7065717859929701E-10</v>
      </c>
      <c r="EW23" s="5">
        <v>5.64378597520421E-12</v>
      </c>
      <c r="EX23" s="5">
        <v>1.6557800501804E-10</v>
      </c>
      <c r="EY23" s="5">
        <v>7.4423595568051903E-9</v>
      </c>
      <c r="EZ23" s="5">
        <v>1.9189047325032401E-11</v>
      </c>
      <c r="FA23" s="5">
        <v>0</v>
      </c>
      <c r="FB23" s="5">
        <v>1.6883166725840799E-11</v>
      </c>
      <c r="FC23" s="5">
        <v>6.3619540587862004E-9</v>
      </c>
      <c r="FD23" s="5">
        <v>1.64320690431031E-9</v>
      </c>
      <c r="FE23" s="5">
        <v>3.0492767313086799E-11</v>
      </c>
      <c r="FF23" s="5">
        <v>3.8112587208135999E-11</v>
      </c>
      <c r="FG23" s="5">
        <v>9.9001157595217293E-12</v>
      </c>
      <c r="FH23" s="5">
        <v>6.58441697107157E-12</v>
      </c>
      <c r="FI23" s="5">
        <v>2.1517846467102201E-11</v>
      </c>
      <c r="FJ23" s="5">
        <v>1.0122749588758E-9</v>
      </c>
      <c r="FK23" s="5">
        <v>1.0035923028212301E-11</v>
      </c>
      <c r="FL23" s="5">
        <v>6.1933068638370001E-13</v>
      </c>
      <c r="FM23" s="5">
        <v>1.2913252108397499E-11</v>
      </c>
      <c r="FN23" s="5">
        <v>4.0888028897093602E-10</v>
      </c>
      <c r="FO23" s="5">
        <v>2.6796674305439898E-11</v>
      </c>
      <c r="FP23" s="5">
        <v>4.1082606803055202E-13</v>
      </c>
      <c r="FQ23" s="5">
        <v>9.9806898717021799E-11</v>
      </c>
      <c r="FR23" s="5">
        <v>6.9584239834794595E-11</v>
      </c>
      <c r="FS23" s="5">
        <v>0</v>
      </c>
      <c r="FT23" s="5">
        <v>2.6922594496144601E-12</v>
      </c>
      <c r="FU23" s="5">
        <v>1.6876789608765999E-9</v>
      </c>
      <c r="FV23" s="5">
        <v>8.8629267605831606E-12</v>
      </c>
      <c r="FW23" s="5">
        <v>5.0615195100680704E-15</v>
      </c>
      <c r="FX23" s="5">
        <v>4.2821160169132703E-12</v>
      </c>
      <c r="FY23" s="5">
        <v>6.3834599516189697E-12</v>
      </c>
      <c r="FZ23" s="5">
        <v>1.11125832391815E-10</v>
      </c>
      <c r="GA23" s="5">
        <v>9.3211162907954299E-13</v>
      </c>
      <c r="GB23" s="5">
        <v>5.3907531068401498E-11</v>
      </c>
      <c r="GC23" s="5">
        <v>2.2630587465156901E-11</v>
      </c>
      <c r="GD23" s="5">
        <v>3.0692748625550599E-12</v>
      </c>
      <c r="GE23" s="5">
        <v>3.3588249201381702E-10</v>
      </c>
      <c r="GF23" s="5">
        <v>1.7991968340308001E-10</v>
      </c>
      <c r="GG23" s="5">
        <v>6.3595690684319804E-12</v>
      </c>
      <c r="GH23" s="5">
        <v>8.2934663182156094E-11</v>
      </c>
      <c r="GI23" s="5">
        <v>2.2630587465156901E-11</v>
      </c>
      <c r="GJ23" s="5">
        <v>3.0692748625550599E-12</v>
      </c>
      <c r="GK23" s="5">
        <v>3.8134445284981699E-10</v>
      </c>
      <c r="GL23" s="5">
        <v>5.4715371013876903E-12</v>
      </c>
      <c r="GM23" s="5">
        <v>9.72530991324755E-10</v>
      </c>
      <c r="GN23" s="5">
        <v>3.8667973184718798E-10</v>
      </c>
      <c r="GO23" s="5">
        <v>1.87651330665981E-11</v>
      </c>
      <c r="GP23" s="5">
        <v>5.80110892341705E-10</v>
      </c>
      <c r="GQ23" s="5">
        <v>1.15009792376886E-11</v>
      </c>
      <c r="GR23" s="5">
        <v>2.6171733705157802E-12</v>
      </c>
      <c r="GS23" s="5">
        <v>8.0454607706650304E-9</v>
      </c>
      <c r="GT23" s="5">
        <v>2.5811968186425598E-9</v>
      </c>
      <c r="GU23" s="5">
        <v>3.0868938326558097E-11</v>
      </c>
      <c r="GV23" s="5">
        <v>2.8315429073718701E-11</v>
      </c>
      <c r="GW23" s="5">
        <v>4.3645278208245899E-12</v>
      </c>
      <c r="GX23" s="5">
        <v>8.2424293246866006E-11</v>
      </c>
      <c r="GY23" s="5">
        <v>1.1405915029586501E-9</v>
      </c>
      <c r="GZ23" s="5">
        <v>1.8817369466226299E-11</v>
      </c>
      <c r="HA23" s="5">
        <v>6.1933068638370001E-13</v>
      </c>
      <c r="HB23" s="5">
        <v>2.4268063819216899E-11</v>
      </c>
      <c r="HC23" s="5">
        <v>2.0140061775232299E-9</v>
      </c>
      <c r="HD23" s="5">
        <v>2.18024609070831E-11</v>
      </c>
      <c r="HE23" s="5">
        <v>3.8539736349566701E-13</v>
      </c>
      <c r="HF23" s="5">
        <v>1.5677990926312801E-11</v>
      </c>
      <c r="HG23" s="5">
        <v>4.5866791933521299E-12</v>
      </c>
      <c r="HH23" s="5">
        <v>2.36549725958905E-9</v>
      </c>
      <c r="HI23" s="5">
        <v>5.4037116021178198E-10</v>
      </c>
      <c r="HJ23" s="5">
        <v>1.87651330665981E-11</v>
      </c>
      <c r="HK23" s="5">
        <v>6.58441697107157E-12</v>
      </c>
      <c r="HL23" s="5">
        <v>9.4086847331131302E-12</v>
      </c>
      <c r="HM23" s="5">
        <v>8.6766270371786899E-12</v>
      </c>
      <c r="HN23" s="5">
        <v>1.03416292310581E-10</v>
      </c>
      <c r="HO23" s="5">
        <v>9.8144001394341695E-13</v>
      </c>
      <c r="HP23" s="5">
        <v>1.99191526092586E-11</v>
      </c>
      <c r="HQ23" s="5">
        <v>3.6816021871343698E-13</v>
      </c>
      <c r="HR23" s="5">
        <v>1.2221925454886801E-10</v>
      </c>
      <c r="HS23" s="5">
        <v>1.8756714738766599E-12</v>
      </c>
      <c r="HT23" s="5">
        <v>1.99191526092586E-11</v>
      </c>
      <c r="HU23" s="5">
        <v>4.0221909357238998E-13</v>
      </c>
      <c r="HV23" s="5">
        <v>1.04460901323819E-11</v>
      </c>
      <c r="HW23" s="5">
        <v>1.99191526092586E-11</v>
      </c>
      <c r="HX23" s="5">
        <v>2.18949909807551E-13</v>
      </c>
      <c r="HY23" s="5">
        <v>1.2299999999999999E-8</v>
      </c>
      <c r="HZ23" s="5">
        <v>1.5300000000000001E-9</v>
      </c>
      <c r="IA23" s="5">
        <v>4.7310222389647702E-6</v>
      </c>
      <c r="IB23" s="5">
        <v>1.1505685618483499E-6</v>
      </c>
      <c r="ID23">
        <f t="shared" si="1"/>
        <v>3.311715567275339E-5</v>
      </c>
      <c r="IE23">
        <f t="shared" si="3"/>
        <v>8.0539799329384498E-6</v>
      </c>
      <c r="IF23">
        <f t="shared" si="2"/>
        <v>0</v>
      </c>
      <c r="IG23" s="5">
        <v>1.7799999999999999E-11</v>
      </c>
      <c r="IH23" s="5">
        <v>1.0700000000000001E-10</v>
      </c>
      <c r="II23" s="5">
        <v>5.4599999999999998E-10</v>
      </c>
      <c r="IJ23" s="5">
        <v>1.8300000000000001E-9</v>
      </c>
      <c r="IK23" s="5">
        <v>3.8700000000000001E-9</v>
      </c>
      <c r="IL23" s="5">
        <v>-4.2851180988191802E-9</v>
      </c>
      <c r="IM23" s="5">
        <v>-5.5374100267744198E-8</v>
      </c>
      <c r="IN23" s="5">
        <v>-6.3900728834858496E-10</v>
      </c>
      <c r="IO23" s="5">
        <v>-2.5983313618799399E-8</v>
      </c>
      <c r="IP23" s="5">
        <v>-8.3388337906763606E-11</v>
      </c>
      <c r="IQ23" s="5">
        <v>-2.5895964247776798E-10</v>
      </c>
      <c r="IR23" s="5">
        <v>2.6715978858983102E-12</v>
      </c>
      <c r="IS23" s="5">
        <v>1.61108677895588E-11</v>
      </c>
      <c r="IT23" s="5">
        <v>3.9278940951731199E-10</v>
      </c>
      <c r="IU23" s="5">
        <v>4.7102327392207996E-10</v>
      </c>
      <c r="IV23" s="5">
        <v>3.4661136949908102E-9</v>
      </c>
      <c r="IW23" s="5">
        <v>4.4384752752549502E-10</v>
      </c>
      <c r="IX23" s="5">
        <v>2.67349137629781E-9</v>
      </c>
      <c r="IY23" s="5">
        <v>3.82335085086007E-10</v>
      </c>
      <c r="IZ23" s="5">
        <v>7.9052670593325995E-11</v>
      </c>
    </row>
    <row r="24" spans="1:260" x14ac:dyDescent="0.3">
      <c r="A24" t="s">
        <v>139</v>
      </c>
      <c r="B24">
        <v>0.55817581318126497</v>
      </c>
      <c r="C24">
        <v>-4.2586680501741497E-2</v>
      </c>
      <c r="D24">
        <v>1.8742391231722701E-4</v>
      </c>
      <c r="E24">
        <v>3.3808558354700098E-2</v>
      </c>
      <c r="F24">
        <v>7.8957004218495996E-2</v>
      </c>
      <c r="G24">
        <v>-3.6606282992636498E-2</v>
      </c>
      <c r="H24">
        <v>8.0684905987800596E-3</v>
      </c>
      <c r="I24">
        <v>38.91221445</v>
      </c>
      <c r="J24">
        <v>0.112368970802029</v>
      </c>
      <c r="K24">
        <v>1.9200624626162201E-4</v>
      </c>
      <c r="L24">
        <v>45.662616069999999</v>
      </c>
      <c r="M24">
        <v>0.16855345620304399</v>
      </c>
      <c r="N24">
        <v>3.2482960863949299E-2</v>
      </c>
      <c r="O24">
        <v>26.380955449999998</v>
      </c>
      <c r="P24" s="5">
        <v>0.112368970802029</v>
      </c>
      <c r="Q24" s="5">
        <v>1.9749213901195401E-4</v>
      </c>
      <c r="R24" s="5">
        <v>0.17217294589307899</v>
      </c>
      <c r="S24" s="5">
        <v>0</v>
      </c>
      <c r="T24" s="5">
        <v>9.3890209256383402E-4</v>
      </c>
      <c r="U24">
        <v>0.112368970802029</v>
      </c>
      <c r="V24">
        <v>10.17351367</v>
      </c>
      <c r="W24">
        <v>2.09405369159033E-2</v>
      </c>
      <c r="X24" s="5">
        <v>0.112368970802029</v>
      </c>
      <c r="Y24" s="5">
        <v>5.9622578639999997</v>
      </c>
      <c r="Z24" s="5">
        <v>1.1739810485710601E-4</v>
      </c>
      <c r="AA24" s="5">
        <v>0.112368970802029</v>
      </c>
      <c r="AB24" s="5">
        <v>0.56934976742999999</v>
      </c>
      <c r="AC24" s="5">
        <v>5.9272123700262799E-3</v>
      </c>
      <c r="AD24" s="5">
        <v>0.12620079483941701</v>
      </c>
      <c r="AE24" s="5">
        <v>2.3816084031529998</v>
      </c>
      <c r="AF24" s="5">
        <v>4.49475883208117E-5</v>
      </c>
      <c r="AG24">
        <v>0.112368970802029</v>
      </c>
      <c r="AH24">
        <v>77.824428909999995</v>
      </c>
      <c r="AI24">
        <v>1.9200624626162201E-4</v>
      </c>
      <c r="AJ24">
        <v>69.546689998074896</v>
      </c>
      <c r="AK24">
        <v>3.6897533417644102</v>
      </c>
      <c r="AL24">
        <v>3.3439462135337002E-2</v>
      </c>
      <c r="AM24">
        <v>2.5214603929629899E-3</v>
      </c>
      <c r="AN24">
        <v>3.0149497750000002E-4</v>
      </c>
      <c r="AO24">
        <v>2.6537550316699898E-3</v>
      </c>
      <c r="AP24">
        <v>4.5218295203172199</v>
      </c>
      <c r="AQ24">
        <v>0.24075669727877499</v>
      </c>
      <c r="AR24">
        <v>0.44731318732125802</v>
      </c>
      <c r="AS24">
        <v>6.9783928610581095E-2</v>
      </c>
      <c r="AT24">
        <v>0.15769768949006999</v>
      </c>
      <c r="AU24">
        <v>1.08015590595959E-2</v>
      </c>
      <c r="AV24">
        <v>4.8366174164256601E-3</v>
      </c>
      <c r="AW24">
        <v>-1.45454086672626E-2</v>
      </c>
      <c r="AX24">
        <v>1.1962910882721001E-3</v>
      </c>
      <c r="AY24">
        <v>3.4000000000000002E-2</v>
      </c>
      <c r="AZ24">
        <v>2.3600000000000001E-3</v>
      </c>
      <c r="BA24" s="5">
        <v>9.9099999999999991E-4</v>
      </c>
      <c r="BB24">
        <v>0.14000000000000001</v>
      </c>
      <c r="BC24">
        <v>2.5600000000000001E-2</v>
      </c>
      <c r="BD24">
        <v>7.6999999999999996E-4</v>
      </c>
      <c r="BE24">
        <v>6.0189243511952803E-2</v>
      </c>
      <c r="BF24">
        <v>1.9198034707776101E-2</v>
      </c>
      <c r="BG24" s="5">
        <v>1.43094210899418E-5</v>
      </c>
      <c r="BH24">
        <v>0.15927449502969501</v>
      </c>
      <c r="BI24">
        <v>3.2275391448438502E-2</v>
      </c>
      <c r="BJ24" s="5">
        <v>0.12286742212976701</v>
      </c>
      <c r="BK24">
        <v>0.13554309220499999</v>
      </c>
      <c r="BL24">
        <v>1.47132565562687E-3</v>
      </c>
      <c r="BM24">
        <v>1.01512458367268E-2</v>
      </c>
      <c r="BN24">
        <v>1.9176332237405998E-2</v>
      </c>
      <c r="BO24">
        <v>2.5597379605796899E-2</v>
      </c>
      <c r="BP24" s="5">
        <v>8.0437048161000002E-2</v>
      </c>
      <c r="BQ24">
        <v>2.6479805006644801E-4</v>
      </c>
      <c r="BR24">
        <v>2.08996237814963E-3</v>
      </c>
      <c r="BS24">
        <v>8.9569816206412503E-4</v>
      </c>
      <c r="BT24">
        <v>0.13800000000000001</v>
      </c>
      <c r="BU24">
        <v>0.111</v>
      </c>
      <c r="BV24" s="5">
        <v>0.17599999999999999</v>
      </c>
      <c r="BW24">
        <v>1.1199999999999999E-3</v>
      </c>
      <c r="BX24">
        <v>7.4599999999999996E-3</v>
      </c>
      <c r="BY24">
        <v>0.13534370025408901</v>
      </c>
      <c r="BZ24">
        <v>0.12286742212976701</v>
      </c>
      <c r="CA24" s="5">
        <v>0.32663663203499999</v>
      </c>
      <c r="CB24">
        <v>1.3287846439964E-3</v>
      </c>
      <c r="CC24">
        <v>1.4928302701068799E-3</v>
      </c>
      <c r="CD24">
        <v>2.3885284321709999E-3</v>
      </c>
      <c r="CE24">
        <v>0.172903954305868</v>
      </c>
      <c r="CF24">
        <v>0.12286742212976701</v>
      </c>
      <c r="CG24" s="5">
        <v>0.31774856041499999</v>
      </c>
      <c r="CH24">
        <v>1.45712687439072E-3</v>
      </c>
      <c r="CI24">
        <v>1.7913963241282501E-3</v>
      </c>
      <c r="CJ24">
        <v>6.56845318847025E-3</v>
      </c>
      <c r="CK24">
        <v>2.1623189146940699E-3</v>
      </c>
      <c r="CL24">
        <v>0.230291441977266</v>
      </c>
      <c r="CM24" s="5">
        <v>0.30575838120693599</v>
      </c>
      <c r="CN24">
        <v>1.4938085360493799E-3</v>
      </c>
      <c r="CO24" s="5">
        <v>0</v>
      </c>
      <c r="CP24">
        <v>3.3159971190966902E-3</v>
      </c>
      <c r="CQ24">
        <v>2.5357133537065799E-3</v>
      </c>
      <c r="CR24">
        <v>1.0127494451793799</v>
      </c>
      <c r="CS24">
        <v>1.1129011229686901E-2</v>
      </c>
      <c r="CT24">
        <v>-1.29096769833595E-2</v>
      </c>
      <c r="CU24">
        <v>4.5222015188540099E-4</v>
      </c>
      <c r="CV24">
        <v>1.5051898746977601E-2</v>
      </c>
      <c r="CW24">
        <v>6.5310646285032297</v>
      </c>
      <c r="CX24" s="5">
        <v>-3.33512555710313</v>
      </c>
      <c r="CY24">
        <v>0.39348768155179897</v>
      </c>
      <c r="CZ24">
        <v>2.6758617438191099E-3</v>
      </c>
      <c r="DA24">
        <v>5.1509977199287302</v>
      </c>
      <c r="DB24">
        <v>9.7938205464908404E-3</v>
      </c>
      <c r="DC24" s="5">
        <v>1.86866971731009E-4</v>
      </c>
      <c r="DD24">
        <v>4.7815796748349798E-3</v>
      </c>
      <c r="DE24" s="5">
        <v>-3.1278091069191101E-6</v>
      </c>
      <c r="DF24">
        <v>2.9316906413703902E-3</v>
      </c>
      <c r="DG24">
        <v>2.3885284321709999E-3</v>
      </c>
      <c r="DH24">
        <v>5.6023717335255303E-3</v>
      </c>
      <c r="DI24">
        <v>25.7600408812235</v>
      </c>
      <c r="DJ24" s="5">
        <v>5.7006589569207101E-2</v>
      </c>
      <c r="DK24">
        <v>0.30488006990602001</v>
      </c>
      <c r="DL24" s="5">
        <v>6.3445197413367202E-3</v>
      </c>
      <c r="DM24">
        <v>7.41934081979128E-2</v>
      </c>
      <c r="DN24">
        <v>-6.7877453932388199E-2</v>
      </c>
      <c r="DO24">
        <v>4.6919773864515096E-3</v>
      </c>
      <c r="DP24">
        <v>4.8618265190758202E-3</v>
      </c>
      <c r="DQ24">
        <v>4.2338302636933198E-3</v>
      </c>
      <c r="DR24">
        <v>0.34194468777805098</v>
      </c>
      <c r="DS24" s="5">
        <v>9.3360505310505406</v>
      </c>
      <c r="DT24">
        <v>2.21066474606446E-3</v>
      </c>
      <c r="DU24" s="5">
        <v>1.27173644244492E-3</v>
      </c>
      <c r="DV24">
        <v>1.2072741017469999</v>
      </c>
      <c r="DW24">
        <v>1.92902861314573E-2</v>
      </c>
      <c r="DX24">
        <v>-6.7877453932388199E-2</v>
      </c>
      <c r="DY24">
        <v>2.3761228602086899E-3</v>
      </c>
      <c r="DZ24">
        <v>-8.6767925635574295E-4</v>
      </c>
      <c r="EA24" s="5">
        <v>-1.2246707923157801E-6</v>
      </c>
      <c r="EB24" s="5">
        <v>20.905979824011599</v>
      </c>
      <c r="EC24">
        <v>8.58924046647323</v>
      </c>
      <c r="ED24" s="5">
        <v>0.60376513195179005</v>
      </c>
      <c r="EE24">
        <v>-1.0330098133183899E-3</v>
      </c>
      <c r="EF24">
        <v>9.4467555133687393E-3</v>
      </c>
      <c r="EG24">
        <v>8.7033221738201993E-2</v>
      </c>
      <c r="EH24">
        <v>0.43043236473269603</v>
      </c>
      <c r="EI24">
        <v>0.23728128584580099</v>
      </c>
      <c r="EJ24">
        <v>1.7913963241282499E-2</v>
      </c>
      <c r="EK24">
        <v>0.18200748955757101</v>
      </c>
      <c r="EL24">
        <v>8.8005053157731901E-4</v>
      </c>
      <c r="EM24" s="5">
        <v>0.14081090556416401</v>
      </c>
      <c r="EN24" s="5">
        <v>6.4799750175206503</v>
      </c>
      <c r="EO24">
        <v>2.2994336982241799E-3</v>
      </c>
      <c r="EP24" s="5">
        <v>7.2148436598614904E-3</v>
      </c>
      <c r="EQ24">
        <v>4.9412105022431999E-2</v>
      </c>
      <c r="ER24">
        <v>-0.69043762709929402</v>
      </c>
      <c r="ES24">
        <v>9.1264296304823097E-4</v>
      </c>
      <c r="ET24">
        <v>25.467299842432801</v>
      </c>
      <c r="EU24" s="5">
        <v>0.32990932938929501</v>
      </c>
      <c r="EV24" s="5">
        <v>0.111359424106744</v>
      </c>
      <c r="EW24">
        <v>3.2065971821606601E-3</v>
      </c>
      <c r="EX24" s="5">
        <v>0.39602777615111001</v>
      </c>
      <c r="EY24">
        <v>0.48411198849138098</v>
      </c>
      <c r="EZ24">
        <v>-1.2581934625109901E-2</v>
      </c>
      <c r="FA24">
        <v>8.8880716200000003E-4</v>
      </c>
      <c r="FB24">
        <v>7.6782675530845097E-4</v>
      </c>
      <c r="FC24">
        <v>10.0010925830454</v>
      </c>
      <c r="FD24" s="5">
        <v>2.4529405449644899</v>
      </c>
      <c r="FE24" s="5">
        <v>4.4101896213324797E-2</v>
      </c>
      <c r="FF24">
        <v>1.1450461525539E-2</v>
      </c>
      <c r="FG24" s="5">
        <v>7.5610913417171396E-3</v>
      </c>
      <c r="FH24">
        <v>3.7410300458540998E-3</v>
      </c>
      <c r="FI24">
        <v>5.1466164742104602E-2</v>
      </c>
      <c r="FJ24">
        <v>6.5846649775647595E-2</v>
      </c>
      <c r="FK24">
        <v>-6.2058755194228004E-3</v>
      </c>
      <c r="FL24">
        <v>9.1945162141661397E-4</v>
      </c>
      <c r="FM24">
        <v>5.8727966310343003E-4</v>
      </c>
      <c r="FN24">
        <v>0.59136633558776397</v>
      </c>
      <c r="FO24" s="5">
        <v>3.8756211823830898E-2</v>
      </c>
      <c r="FP24" s="5">
        <v>1.71453300600176E-4</v>
      </c>
      <c r="FQ24">
        <v>6.58004085207161E-3</v>
      </c>
      <c r="FR24" s="5">
        <v>4.4201072650623799E-2</v>
      </c>
      <c r="FS24">
        <v>8.0437048161000002E-2</v>
      </c>
      <c r="FT24">
        <v>1.2244082352643099E-4</v>
      </c>
      <c r="FU24">
        <v>1.5729738052528099</v>
      </c>
      <c r="FV24" s="5">
        <v>2.6627581413329799E-3</v>
      </c>
      <c r="FW24" s="5">
        <v>-3.1278091069191101E-6</v>
      </c>
      <c r="FX24">
        <v>1.94745648166139E-4</v>
      </c>
      <c r="FY24" s="5">
        <v>2.08996237814963E-3</v>
      </c>
      <c r="FZ24">
        <v>0.13841992527348601</v>
      </c>
      <c r="GA24" s="5">
        <v>1.2791325658238399E-3</v>
      </c>
      <c r="GB24" s="5">
        <v>0</v>
      </c>
      <c r="GC24">
        <v>6.1808012996597897E-3</v>
      </c>
      <c r="GD24" s="5">
        <v>-1.70726287386776E-3</v>
      </c>
      <c r="GE24">
        <v>5.7773014067351502E-3</v>
      </c>
      <c r="GF24">
        <v>0.22410496164149399</v>
      </c>
      <c r="GG24" s="5">
        <v>1.13206600678831E-4</v>
      </c>
      <c r="GH24" s="5">
        <v>0</v>
      </c>
      <c r="GI24">
        <v>6.1808012996597897E-3</v>
      </c>
      <c r="GJ24" s="5">
        <v>-1.70726287386776E-3</v>
      </c>
      <c r="GK24">
        <v>6.5416007341178401E-3</v>
      </c>
      <c r="GL24">
        <v>1.7913963241282501E-3</v>
      </c>
      <c r="GM24">
        <v>1.3178752449243401</v>
      </c>
      <c r="GN24" s="5">
        <v>0.82506288785058801</v>
      </c>
      <c r="GO24" s="5">
        <v>5.6377551339478003E-3</v>
      </c>
      <c r="GP24">
        <v>-0.345364263150373</v>
      </c>
      <c r="GQ24" s="5">
        <v>5.2305113811546998E-4</v>
      </c>
      <c r="GR24">
        <v>7.8629778716147699E-4</v>
      </c>
      <c r="GS24" s="5">
        <v>13.127169743804</v>
      </c>
      <c r="GT24" s="5">
        <v>3.48074386783754</v>
      </c>
      <c r="GU24">
        <v>9.2741956538451801E-3</v>
      </c>
      <c r="GV24" s="5">
        <v>2.2106647460644599E-2</v>
      </c>
      <c r="GW24">
        <v>2.47976848753758E-3</v>
      </c>
      <c r="GX24">
        <v>0.19714158019857</v>
      </c>
      <c r="GY24">
        <v>7.41934081979128E-2</v>
      </c>
      <c r="GZ24">
        <v>-1.1634631269146699E-2</v>
      </c>
      <c r="HA24">
        <v>9.1945162141661397E-4</v>
      </c>
      <c r="HB24">
        <v>1.10368327236902E-3</v>
      </c>
      <c r="HC24">
        <v>2.72917666188413</v>
      </c>
      <c r="HD24" s="5">
        <v>6.5502832021157101E-3</v>
      </c>
      <c r="HE24" s="5">
        <v>2.9434248437398798E-4</v>
      </c>
      <c r="HF24">
        <v>-9.69527530381749E-3</v>
      </c>
      <c r="HG24" s="5">
        <v>2.0859682664165299E-4</v>
      </c>
      <c r="HH24">
        <v>3.8989032345995902</v>
      </c>
      <c r="HI24" s="5">
        <v>0.71953204469311904</v>
      </c>
      <c r="HJ24" s="5">
        <v>5.6377551339478003E-3</v>
      </c>
      <c r="HK24">
        <v>3.7410300458540998E-3</v>
      </c>
      <c r="HL24" s="5">
        <v>-5.8173156345733704E-3</v>
      </c>
      <c r="HM24">
        <v>3.9460289015458299E-4</v>
      </c>
      <c r="HN24">
        <v>0.14013925805317901</v>
      </c>
      <c r="HO24" s="5">
        <v>2.9486167018555402E-4</v>
      </c>
      <c r="HP24" s="5">
        <v>1.9198034707776101E-2</v>
      </c>
      <c r="HQ24" s="5">
        <v>1.6743497873282398E-5</v>
      </c>
      <c r="HR24">
        <v>0.16561912315375699</v>
      </c>
      <c r="HS24" s="5">
        <v>6.2938947860824803E-4</v>
      </c>
      <c r="HT24" s="5">
        <v>1.9198034707776101E-2</v>
      </c>
      <c r="HU24" s="5">
        <v>1.8292455826317301E-5</v>
      </c>
      <c r="HV24">
        <v>1.41554806114322E-2</v>
      </c>
      <c r="HW24" s="5">
        <v>1.9198034707776101E-2</v>
      </c>
      <c r="HX24" s="5">
        <v>9.9575868409388597E-6</v>
      </c>
      <c r="HY24">
        <v>-6.26</v>
      </c>
      <c r="HZ24">
        <v>6.9400000000000003E-2</v>
      </c>
      <c r="IA24">
        <v>98.880378460095102</v>
      </c>
      <c r="IB24">
        <v>0</v>
      </c>
      <c r="IC24">
        <v>5.13</v>
      </c>
      <c r="ID24">
        <f t="shared" si="1"/>
        <v>692.16264922066568</v>
      </c>
      <c r="IE24">
        <f t="shared" si="3"/>
        <v>0</v>
      </c>
      <c r="IF24">
        <f t="shared" si="2"/>
        <v>35.909999999999997</v>
      </c>
      <c r="IG24">
        <v>2.5500000000000002E-3</v>
      </c>
      <c r="IH24">
        <v>1.55E-2</v>
      </c>
      <c r="II24">
        <v>9.8100000000000007E-2</v>
      </c>
      <c r="IJ24">
        <v>3.7199999999999997E-2</v>
      </c>
      <c r="IK24">
        <v>4.0600000000000002E-3</v>
      </c>
      <c r="IL24">
        <v>-1.9395425205786501</v>
      </c>
      <c r="IM24">
        <v>-75.8102663735189</v>
      </c>
      <c r="IN24">
        <v>-72.153322046376204</v>
      </c>
      <c r="IO24">
        <v>-4.0889892935747598</v>
      </c>
      <c r="IP24">
        <v>-0.238567381981902</v>
      </c>
      <c r="IQ24">
        <v>-2.0124483419618802</v>
      </c>
      <c r="IR24">
        <v>3.8222800765452803E-4</v>
      </c>
      <c r="IS24">
        <v>2.32387222291023E-3</v>
      </c>
      <c r="IT24">
        <v>7.0605148043987695E-2</v>
      </c>
      <c r="IU24">
        <v>9.5868257096740992E-3</v>
      </c>
      <c r="IV24">
        <v>3.63639490617957E-3</v>
      </c>
      <c r="IW24">
        <v>0.34568979183049803</v>
      </c>
      <c r="IX24">
        <v>2.0822436084876799</v>
      </c>
      <c r="IY24">
        <v>0.32989140024004798</v>
      </c>
      <c r="IZ24">
        <v>0.17041223713284501</v>
      </c>
    </row>
    <row r="25" spans="1:260" x14ac:dyDescent="0.3">
      <c r="A25" t="s">
        <v>140</v>
      </c>
      <c r="B25">
        <v>24.638644875866301</v>
      </c>
      <c r="C25">
        <v>-4.5693773659616299E-2</v>
      </c>
      <c r="D25">
        <v>0.24195421394858099</v>
      </c>
      <c r="E25">
        <v>1.1570115668585099</v>
      </c>
      <c r="F25">
        <v>1.0867078315161101</v>
      </c>
      <c r="G25">
        <v>0.70279310019836205</v>
      </c>
      <c r="H25">
        <v>0.14756565500166899</v>
      </c>
      <c r="I25" s="5">
        <v>1749.4682250000001</v>
      </c>
      <c r="J25">
        <v>66.906880910621894</v>
      </c>
      <c r="K25">
        <v>0.24786976119043699</v>
      </c>
      <c r="L25">
        <v>237.73774415</v>
      </c>
      <c r="M25">
        <v>100.360321365933</v>
      </c>
      <c r="N25">
        <v>0.594085019694644</v>
      </c>
      <c r="O25" s="5">
        <v>1135.253792</v>
      </c>
      <c r="P25" s="5">
        <v>66.906880910621894</v>
      </c>
      <c r="Q25" s="5">
        <v>0.25495175436730599</v>
      </c>
      <c r="R25" s="5">
        <v>74.391749649201699</v>
      </c>
      <c r="S25" s="5">
        <v>0</v>
      </c>
      <c r="T25" s="5">
        <v>1.21207222158748</v>
      </c>
      <c r="U25">
        <v>66.906880910621894</v>
      </c>
      <c r="V25">
        <v>34.542314670000003</v>
      </c>
      <c r="W25">
        <v>0.382984154006343</v>
      </c>
      <c r="X25" s="5">
        <v>66.906880910621894</v>
      </c>
      <c r="Y25" s="5">
        <v>268.91742590000001</v>
      </c>
      <c r="Z25" s="5">
        <v>0.15155465398501</v>
      </c>
      <c r="AA25" s="5">
        <v>66.906880910621894</v>
      </c>
      <c r="AB25" s="5">
        <v>56.109609947000003</v>
      </c>
      <c r="AC25" s="5">
        <v>0.108403544009728</v>
      </c>
      <c r="AD25" s="5">
        <v>2.0492864108421598</v>
      </c>
      <c r="AE25" s="5">
        <v>1.13186983706141</v>
      </c>
      <c r="AF25" s="5">
        <v>2.6762752364248701E-2</v>
      </c>
      <c r="AG25">
        <v>66.906880910621894</v>
      </c>
      <c r="AH25">
        <v>3498.9364500000001</v>
      </c>
      <c r="AI25">
        <v>0.24786976119043699</v>
      </c>
      <c r="AJ25">
        <v>78.164998624396901</v>
      </c>
      <c r="AK25">
        <v>4.1469919688681802</v>
      </c>
      <c r="AL25">
        <v>0.38996581681056303</v>
      </c>
      <c r="AM25">
        <v>2.9404879711214301E-2</v>
      </c>
      <c r="AN25">
        <v>2.9230716449999998</v>
      </c>
      <c r="AO25">
        <v>4.3092471256026603E-2</v>
      </c>
      <c r="AP25">
        <v>53.836862952016503</v>
      </c>
      <c r="AQ25">
        <v>2.4084909419490699</v>
      </c>
      <c r="AR25">
        <v>3.1553010057821802</v>
      </c>
      <c r="AS25">
        <v>1.1331723922881101</v>
      </c>
      <c r="AT25">
        <v>1.5758314069357799</v>
      </c>
      <c r="AU25">
        <v>8.8151856468957502E-3</v>
      </c>
      <c r="AV25">
        <v>0.25941795184253402</v>
      </c>
      <c r="AW25">
        <v>23.100616347741202</v>
      </c>
      <c r="AX25">
        <v>1.5443476039848001</v>
      </c>
      <c r="AY25">
        <v>0.24</v>
      </c>
      <c r="AZ25">
        <v>3.8300000000000001E-2</v>
      </c>
      <c r="BA25">
        <v>6.8100000000000001E-3</v>
      </c>
      <c r="BB25">
        <v>0.91600000000000004</v>
      </c>
      <c r="BC25">
        <v>20.9</v>
      </c>
      <c r="BD25">
        <v>0.99399999999999999</v>
      </c>
      <c r="BE25">
        <v>0.26089084390400502</v>
      </c>
      <c r="BF25">
        <v>15.6762497662101</v>
      </c>
      <c r="BG25">
        <v>1.84726948075657E-2</v>
      </c>
      <c r="BH25">
        <v>3.2114745167360499</v>
      </c>
      <c r="BI25">
        <v>0.139897988760119</v>
      </c>
      <c r="BJ25">
        <v>100.32799850374499</v>
      </c>
      <c r="BK25">
        <v>838.1831148</v>
      </c>
      <c r="BL25">
        <v>1.8994024725459699</v>
      </c>
      <c r="BM25">
        <v>0.15695696695779501</v>
      </c>
      <c r="BN25">
        <v>0.38665514082095698</v>
      </c>
      <c r="BO25">
        <v>20.901666549804901</v>
      </c>
      <c r="BP25">
        <v>497.41358616000002</v>
      </c>
      <c r="BQ25">
        <v>0.34184007401629701</v>
      </c>
      <c r="BR25">
        <v>3.2314669667781099E-2</v>
      </c>
      <c r="BS25">
        <v>1.38491441433349E-2</v>
      </c>
      <c r="BT25">
        <v>2.78</v>
      </c>
      <c r="BU25">
        <v>90.9</v>
      </c>
      <c r="BV25" s="5">
        <v>1090</v>
      </c>
      <c r="BW25">
        <v>1.44</v>
      </c>
      <c r="BX25">
        <v>0.115</v>
      </c>
      <c r="BY25">
        <v>2.72895446496775</v>
      </c>
      <c r="BZ25">
        <v>100.32799850374499</v>
      </c>
      <c r="CA25" s="5">
        <v>2019.8838995999999</v>
      </c>
      <c r="CB25">
        <v>1.71538967504276</v>
      </c>
      <c r="CC25">
        <v>2.3081906905557999E-2</v>
      </c>
      <c r="CD25">
        <v>3.6931051048892799E-2</v>
      </c>
      <c r="CE25">
        <v>3.4862872614517699</v>
      </c>
      <c r="CF25">
        <v>100.32799850374499</v>
      </c>
      <c r="CG25" s="5">
        <v>1964.9210724</v>
      </c>
      <c r="CH25">
        <v>1.8810726078528901</v>
      </c>
      <c r="CI25">
        <v>2.76982882866698E-2</v>
      </c>
      <c r="CJ25">
        <v>0.101560390384455</v>
      </c>
      <c r="CK25">
        <v>3.5112383986392201E-2</v>
      </c>
      <c r="CL25">
        <v>2.6599608858265</v>
      </c>
      <c r="CM25" s="5">
        <v>2.1567880292688502</v>
      </c>
      <c r="CN25">
        <v>2.4256911671762801E-2</v>
      </c>
      <c r="CO25">
        <v>0</v>
      </c>
      <c r="CP25">
        <v>2.7187447348349099E-3</v>
      </c>
      <c r="CQ25">
        <v>5.1127952505250603E-2</v>
      </c>
      <c r="CR25">
        <v>4.3897720256891297</v>
      </c>
      <c r="CS25">
        <v>5.2891113881374397E-3</v>
      </c>
      <c r="CT25">
        <v>20.5042101763243</v>
      </c>
      <c r="CU25">
        <v>0.58379195070875101</v>
      </c>
      <c r="CV25">
        <v>-1.5217905949228399E-2</v>
      </c>
      <c r="CW25">
        <v>1205.23558177564</v>
      </c>
      <c r="CX25" s="5">
        <v>-6288.9630337298404</v>
      </c>
      <c r="CY25">
        <v>0.44224914353314598</v>
      </c>
      <c r="CZ25">
        <v>3.4543939290148198</v>
      </c>
      <c r="DA25">
        <v>36.400522242880101</v>
      </c>
      <c r="DB25">
        <v>0.159034999594801</v>
      </c>
      <c r="DC25" s="5">
        <v>1.5250271169129701E-4</v>
      </c>
      <c r="DD25">
        <v>2.27246670791326E-3</v>
      </c>
      <c r="DE25">
        <v>4.9698660376901998E-3</v>
      </c>
      <c r="DF25">
        <v>3.78465530840367</v>
      </c>
      <c r="DG25">
        <v>3.6931051048892799E-2</v>
      </c>
      <c r="DH25">
        <v>9.0972994873834395E-2</v>
      </c>
      <c r="DI25">
        <v>298.37677654194101</v>
      </c>
      <c r="DJ25" s="5">
        <v>0.92569012327760702</v>
      </c>
      <c r="DK25">
        <v>2.0319741237581401</v>
      </c>
      <c r="DL25">
        <v>0.340296156386588</v>
      </c>
      <c r="DM25">
        <v>3.5260742587583098E-2</v>
      </c>
      <c r="DN25">
        <v>107.803414104786</v>
      </c>
      <c r="DO25">
        <v>1.96017744194487E-2</v>
      </c>
      <c r="DP25">
        <v>6.2763571586656699</v>
      </c>
      <c r="DQ25">
        <v>6.87502074471011E-2</v>
      </c>
      <c r="DR25">
        <v>1.4821624755126099</v>
      </c>
      <c r="DS25" s="5">
        <v>111.709176349836</v>
      </c>
      <c r="DT25">
        <v>1.8124964898899301E-3</v>
      </c>
      <c r="DU25">
        <v>6.8211155602706602E-2</v>
      </c>
      <c r="DV25">
        <v>5.2329409849730899</v>
      </c>
      <c r="DW25">
        <v>9.1677930727716694E-3</v>
      </c>
      <c r="DX25">
        <v>107.803414104786</v>
      </c>
      <c r="DY25">
        <v>3.0674471137598101</v>
      </c>
      <c r="DZ25">
        <v>4.0569879245530398</v>
      </c>
      <c r="EA25">
        <v>5.7261650311263802E-3</v>
      </c>
      <c r="EB25" s="5">
        <v>361.32025266124998</v>
      </c>
      <c r="EC25">
        <v>150.44106321746099</v>
      </c>
      <c r="ED25">
        <v>5.5064752477579004</v>
      </c>
      <c r="EE25">
        <v>4.8300202037551196</v>
      </c>
      <c r="EF25">
        <v>0.69897252419503397</v>
      </c>
      <c r="EG25">
        <v>1.3957588075573899</v>
      </c>
      <c r="EH25">
        <v>185.97937412300399</v>
      </c>
      <c r="EI25">
        <v>4.3396677404281903</v>
      </c>
      <c r="EJ25">
        <v>0.27698288286669598</v>
      </c>
      <c r="EK25">
        <v>13.4668706328243</v>
      </c>
      <c r="EL25">
        <v>-8.8975659783796502E-4</v>
      </c>
      <c r="EM25">
        <v>2.2865297769177699</v>
      </c>
      <c r="EN25" s="5">
        <v>68.935829399457504</v>
      </c>
      <c r="EO25">
        <v>0.158509161329175</v>
      </c>
      <c r="EP25">
        <v>0.38697705523471898</v>
      </c>
      <c r="EQ25">
        <v>2.3483319586275801E-2</v>
      </c>
      <c r="ER25">
        <v>-1238.3836059769701</v>
      </c>
      <c r="ES25">
        <v>1.1781730944037101</v>
      </c>
      <c r="ET25">
        <v>264.45778990183697</v>
      </c>
      <c r="EU25">
        <v>29.066239128266901</v>
      </c>
      <c r="EV25" s="5">
        <v>1.8082877752991799</v>
      </c>
      <c r="EW25">
        <v>0.17198980232654201</v>
      </c>
      <c r="EX25">
        <v>1.71658613235389</v>
      </c>
      <c r="EY25">
        <v>0.230076345383977</v>
      </c>
      <c r="EZ25">
        <v>18.243004962262098</v>
      </c>
      <c r="FA25">
        <v>5.49628272</v>
      </c>
      <c r="FB25">
        <v>0.991223140806614</v>
      </c>
      <c r="FC25">
        <v>101.454201344908</v>
      </c>
      <c r="FD25">
        <v>25.983010548645201</v>
      </c>
      <c r="FE25" s="5">
        <v>0.44069861380407099</v>
      </c>
      <c r="FF25">
        <v>0.18593603338248499</v>
      </c>
      <c r="FG25">
        <v>6.170629952827E-3</v>
      </c>
      <c r="FH25">
        <v>0.20065476938096599</v>
      </c>
      <c r="FI25">
        <v>0.22308057667154099</v>
      </c>
      <c r="FJ25">
        <v>3.1293909046480002E-2</v>
      </c>
      <c r="FK25">
        <v>9.8558380924117603</v>
      </c>
      <c r="FL25">
        <v>0.12699012450546501</v>
      </c>
      <c r="FM25">
        <v>0.75814653262425502</v>
      </c>
      <c r="FN25">
        <v>5.9093677760091898</v>
      </c>
      <c r="FO25">
        <v>0.38728060000964099</v>
      </c>
      <c r="FP25" s="5">
        <v>1.45372735210867E-2</v>
      </c>
      <c r="FQ25">
        <v>3.1718688573073601E-3</v>
      </c>
      <c r="FR25">
        <v>117.51481167580801</v>
      </c>
      <c r="FS25">
        <v>497.41358616000002</v>
      </c>
      <c r="FT25">
        <v>0.15806453320327599</v>
      </c>
      <c r="FU25">
        <v>12.9628674556346</v>
      </c>
      <c r="FV25">
        <v>4.3238666454806299E-2</v>
      </c>
      <c r="FW25" s="5">
        <v>4.9698660376901998E-3</v>
      </c>
      <c r="FX25">
        <v>0.25140618205745302</v>
      </c>
      <c r="FY25">
        <v>3.2314669667781099E-2</v>
      </c>
      <c r="FZ25">
        <v>1.26240097062878</v>
      </c>
      <c r="GA25">
        <v>1.4554742681286001E-2</v>
      </c>
      <c r="GB25" s="5">
        <v>0</v>
      </c>
      <c r="GC25">
        <v>0.12462438423154799</v>
      </c>
      <c r="GD25">
        <v>2.97073738361523</v>
      </c>
      <c r="GE25">
        <v>0.36913834602875201</v>
      </c>
      <c r="GF25">
        <v>2.04388819239922</v>
      </c>
      <c r="GG25">
        <v>5.6243951661479101E-2</v>
      </c>
      <c r="GH25" s="5">
        <v>0</v>
      </c>
      <c r="GI25">
        <v>0.12462438423154799</v>
      </c>
      <c r="GJ25">
        <v>2.97073738361523</v>
      </c>
      <c r="GK25">
        <v>0.38311671403721698</v>
      </c>
      <c r="GL25">
        <v>2.76982882866698E-2</v>
      </c>
      <c r="GM25">
        <v>9.2961558113392808</v>
      </c>
      <c r="GN25">
        <v>4.4064981293177103</v>
      </c>
      <c r="GO25" s="5">
        <v>9.1547561157247603E-2</v>
      </c>
      <c r="GP25">
        <v>-623.05143865478897</v>
      </c>
      <c r="GQ25">
        <v>0.675230953259778</v>
      </c>
      <c r="GR25">
        <v>1.27681396314153E-2</v>
      </c>
      <c r="GS25">
        <v>120.58348879776401</v>
      </c>
      <c r="GT25" s="5">
        <v>24.5973502173076</v>
      </c>
      <c r="GU25">
        <v>0.15059717451938101</v>
      </c>
      <c r="GV25">
        <v>1.8124964898899299E-2</v>
      </c>
      <c r="GW25">
        <v>0.13300544713252699</v>
      </c>
      <c r="GX25">
        <v>0.85451203945369802</v>
      </c>
      <c r="GY25">
        <v>3.5260742587583098E-2</v>
      </c>
      <c r="GZ25">
        <v>18.4792833133559</v>
      </c>
      <c r="HA25">
        <v>0.12699012450546501</v>
      </c>
      <c r="HB25">
        <v>1.4247958828341001</v>
      </c>
      <c r="HC25">
        <v>19.251330187177398</v>
      </c>
      <c r="HD25">
        <v>0.106365466004741</v>
      </c>
      <c r="HE25" s="5">
        <v>2.4021380887790999E-4</v>
      </c>
      <c r="HF25">
        <v>15.3968132996935</v>
      </c>
      <c r="HG25">
        <v>0.26928731023832198</v>
      </c>
      <c r="HH25">
        <v>52.138260698862197</v>
      </c>
      <c r="HI25">
        <v>4.8049523653167396</v>
      </c>
      <c r="HJ25" s="5">
        <v>9.1547561157247603E-2</v>
      </c>
      <c r="HK25">
        <v>0.20065476938096599</v>
      </c>
      <c r="HL25">
        <v>9.23964165667795</v>
      </c>
      <c r="HM25">
        <v>0.50941115745994203</v>
      </c>
      <c r="HN25">
        <v>0.98852784674821403</v>
      </c>
      <c r="HO25">
        <v>4.7880523617807296E-3</v>
      </c>
      <c r="HP25" s="5">
        <v>15.6762497662101</v>
      </c>
      <c r="HQ25">
        <v>2.1614957326378501E-2</v>
      </c>
      <c r="HR25">
        <v>1.16826018252062</v>
      </c>
      <c r="HS25">
        <v>1.0019357654863901E-2</v>
      </c>
      <c r="HT25" s="5">
        <v>15.6762497662101</v>
      </c>
      <c r="HU25">
        <v>2.36145789292595E-2</v>
      </c>
      <c r="HV25">
        <v>9.9851297651335005E-2</v>
      </c>
      <c r="HW25">
        <v>15.6762497662101</v>
      </c>
      <c r="HX25" s="5">
        <v>1.28547103042338E-2</v>
      </c>
      <c r="HY25" s="5">
        <v>11000</v>
      </c>
      <c r="HZ25">
        <v>89.6</v>
      </c>
      <c r="IA25" s="5">
        <v>1808.43586983707</v>
      </c>
      <c r="IB25">
        <v>0</v>
      </c>
      <c r="IC25">
        <v>163</v>
      </c>
      <c r="ID25">
        <f t="shared" si="1"/>
        <v>12659.051088859489</v>
      </c>
      <c r="IE25">
        <f t="shared" si="3"/>
        <v>0</v>
      </c>
      <c r="IF25">
        <f t="shared" si="2"/>
        <v>1141</v>
      </c>
      <c r="IG25">
        <v>0.46700000000000003</v>
      </c>
      <c r="IH25">
        <v>2.82</v>
      </c>
      <c r="II25">
        <v>7.46</v>
      </c>
      <c r="IJ25">
        <v>1.52</v>
      </c>
      <c r="IK25">
        <v>0.16600000000000001</v>
      </c>
      <c r="IL25">
        <v>-128.87020085022601</v>
      </c>
      <c r="IM25">
        <v>-744.98149355002795</v>
      </c>
      <c r="IN25">
        <v>-2475.3844824800999</v>
      </c>
      <c r="IO25">
        <v>-576.26414572247404</v>
      </c>
      <c r="IP25">
        <v>-2.9775219407858402</v>
      </c>
      <c r="IQ25">
        <v>-24.816704455148599</v>
      </c>
      <c r="IR25">
        <v>7.0073478504230804E-2</v>
      </c>
      <c r="IS25">
        <v>0.42271728070193998</v>
      </c>
      <c r="IT25">
        <v>5.3654372202597997</v>
      </c>
      <c r="IU25">
        <v>0.391505248125114</v>
      </c>
      <c r="IV25">
        <v>0.14850286541698399</v>
      </c>
      <c r="IW25">
        <v>4.6517188037199002</v>
      </c>
      <c r="IX25">
        <v>28.0193745271974</v>
      </c>
      <c r="IY25">
        <v>4.4216478817992702</v>
      </c>
      <c r="IZ25">
        <v>2.2211189643207399</v>
      </c>
    </row>
    <row r="26" spans="1:260" x14ac:dyDescent="0.3">
      <c r="A26" t="s">
        <v>141</v>
      </c>
      <c r="B26" s="5">
        <v>1.09074954469114E-7</v>
      </c>
      <c r="C26" s="5">
        <v>-2.9444901187064299E-16</v>
      </c>
      <c r="D26" s="5">
        <v>1.0434183939443699E-17</v>
      </c>
      <c r="E26">
        <v>1.6843149417121599E-15</v>
      </c>
      <c r="F26">
        <v>4.6305935475858004E-15</v>
      </c>
      <c r="G26">
        <v>6.9005445906024003E-10</v>
      </c>
      <c r="H26">
        <v>4.24821132789729E-16</v>
      </c>
      <c r="I26" s="5">
        <v>3.7265999999999999E-5</v>
      </c>
      <c r="J26" s="5">
        <v>6.2104924871342596E-8</v>
      </c>
      <c r="K26" s="5">
        <v>1.06892896762552E-17</v>
      </c>
      <c r="L26">
        <v>1.0663650000000001E-5</v>
      </c>
      <c r="M26">
        <v>9.3157387307013794E-8</v>
      </c>
      <c r="N26">
        <v>1.71028869175033E-15</v>
      </c>
      <c r="O26" s="5">
        <v>2.2375300000000001E-7</v>
      </c>
      <c r="P26" s="5">
        <v>6.2104924871342596E-8</v>
      </c>
      <c r="Q26" s="5">
        <v>1.09946979527196E-17</v>
      </c>
      <c r="R26" s="5">
        <v>6.9005472406435094E-8</v>
      </c>
      <c r="S26" s="5">
        <v>0</v>
      </c>
      <c r="T26" s="5">
        <v>5.2270155999935401E-17</v>
      </c>
      <c r="U26">
        <v>6.2104924871342596E-8</v>
      </c>
      <c r="V26">
        <v>1.69782E-6</v>
      </c>
      <c r="W26">
        <v>1.1025584655430201E-15</v>
      </c>
      <c r="X26" s="5">
        <v>6.2104924871342596E-8</v>
      </c>
      <c r="Y26" s="5">
        <v>5.7563000000000003E-6</v>
      </c>
      <c r="Z26" s="5">
        <v>6.5357371163389001E-18</v>
      </c>
      <c r="AA26" s="5">
        <v>6.2104924871342596E-8</v>
      </c>
      <c r="AB26" s="5">
        <v>4.3268739999999998E-7</v>
      </c>
      <c r="AC26" s="5">
        <v>3.12078825957928E-16</v>
      </c>
      <c r="AD26" s="5">
        <v>3.1971624656382299E-15</v>
      </c>
      <c r="AE26" s="5">
        <v>3.7589490162587699E-13</v>
      </c>
      <c r="AF26" s="5">
        <v>2.4841969948536998E-11</v>
      </c>
      <c r="AG26" s="5">
        <v>6.2104924871342596E-8</v>
      </c>
      <c r="AH26">
        <v>7.4532100000000004E-5</v>
      </c>
      <c r="AI26" s="5">
        <v>1.06892896762552E-17</v>
      </c>
      <c r="AJ26" s="5">
        <v>4.8187492422168298E-13</v>
      </c>
      <c r="AK26" s="5">
        <v>2.5565553328399199E-14</v>
      </c>
      <c r="AL26" s="5">
        <v>9.4658978520675108E-16</v>
      </c>
      <c r="AM26" s="5">
        <v>7.1376406777187294E-17</v>
      </c>
      <c r="AN26" s="5">
        <v>1.686705E-10</v>
      </c>
      <c r="AO26" s="5">
        <v>6.7230051847532899E-17</v>
      </c>
      <c r="AP26" s="5">
        <v>2.8032938544672101E-7</v>
      </c>
      <c r="AQ26" s="5">
        <v>3.8344328172346198E-14</v>
      </c>
      <c r="AR26" s="5">
        <v>1.00126103225625E-13</v>
      </c>
      <c r="AS26" s="5">
        <v>1.7679013633980901E-15</v>
      </c>
      <c r="AT26" s="5">
        <v>2.5125453935250301E-14</v>
      </c>
      <c r="AU26" s="5">
        <v>9.4385843831546998E-16</v>
      </c>
      <c r="AV26" s="5">
        <v>2.7463883349291499E-16</v>
      </c>
      <c r="AW26" s="5">
        <v>2.9120301273804698E-10</v>
      </c>
      <c r="AX26" s="5">
        <v>6.6599406158064001E-17</v>
      </c>
      <c r="AY26" s="5">
        <v>7.6100000000000002E-15</v>
      </c>
      <c r="AZ26" s="5">
        <v>5.9800000000000005E-17</v>
      </c>
      <c r="BA26" s="5">
        <v>3.2299999999999999E-13</v>
      </c>
      <c r="BB26" s="5">
        <v>1.5399999999999999E-8</v>
      </c>
      <c r="BC26" s="5">
        <v>1.09E-8</v>
      </c>
      <c r="BD26" s="5">
        <v>4.2899999999999998E-17</v>
      </c>
      <c r="BE26" s="5">
        <v>2.0008842731999999E-9</v>
      </c>
      <c r="BF26" s="5">
        <v>8.1847918900406396E-9</v>
      </c>
      <c r="BG26" s="5">
        <v>7.9662797491227299E-19</v>
      </c>
      <c r="BH26" s="5">
        <v>1.9182306377512199E-8</v>
      </c>
      <c r="BI26" s="5">
        <v>1.0729379436E-9</v>
      </c>
      <c r="BJ26" s="5">
        <v>5.23826680962601E-8</v>
      </c>
      <c r="BK26" s="5">
        <v>9.1996235000000004E-8</v>
      </c>
      <c r="BL26" s="5">
        <v>8.1911013038982298E-17</v>
      </c>
      <c r="BM26" s="5">
        <v>3.2447726163006201E-10</v>
      </c>
      <c r="BN26" s="5">
        <v>2.30951151410843E-9</v>
      </c>
      <c r="BO26" s="5">
        <v>1.09130558646322E-8</v>
      </c>
      <c r="BP26" s="5">
        <v>5.4594486999999999E-8</v>
      </c>
      <c r="BQ26" s="5">
        <v>1.47417238656446E-17</v>
      </c>
      <c r="BR26" s="5">
        <v>6.6804142100306795E-11</v>
      </c>
      <c r="BS26" s="5">
        <v>2.8630346614417201E-11</v>
      </c>
      <c r="BT26" s="5">
        <v>1.66E-8</v>
      </c>
      <c r="BU26" s="5">
        <v>4.7500000000000002E-8</v>
      </c>
      <c r="BV26" s="5">
        <v>1.1899999999999999E-7</v>
      </c>
      <c r="BW26" s="5">
        <v>6.2100000000000001E-17</v>
      </c>
      <c r="BX26" s="5">
        <v>2.39E-10</v>
      </c>
      <c r="BY26" s="5">
        <v>1.6300188702881E-8</v>
      </c>
      <c r="BZ26" s="5">
        <v>5.23826680962601E-8</v>
      </c>
      <c r="CA26" s="5">
        <v>2.21695845E-7</v>
      </c>
      <c r="CB26" s="5">
        <v>7.3975530763116503E-17</v>
      </c>
      <c r="CC26" s="5">
        <v>4.7717244357362003E-11</v>
      </c>
      <c r="CD26" s="5">
        <v>7.6347590971779194E-11</v>
      </c>
      <c r="CE26" s="5">
        <v>2.0823777371010801E-8</v>
      </c>
      <c r="CF26" s="5">
        <v>5.23826680962601E-8</v>
      </c>
      <c r="CG26" s="5">
        <v>2.1566330500000001E-7</v>
      </c>
      <c r="CH26" s="5">
        <v>8.1120544558721403E-17</v>
      </c>
      <c r="CI26" s="5">
        <v>5.7260693228834402E-11</v>
      </c>
      <c r="CJ26" s="5">
        <v>2.0995587517239299E-10</v>
      </c>
      <c r="CK26" s="5">
        <v>5.4780042246137903E-17</v>
      </c>
      <c r="CL26" s="5">
        <v>1.4230370379891001E-8</v>
      </c>
      <c r="CM26" s="5">
        <v>6.8440627521313394E-14</v>
      </c>
      <c r="CN26" s="5">
        <v>3.7844045185168298E-17</v>
      </c>
      <c r="CO26" s="5">
        <v>0</v>
      </c>
      <c r="CP26" s="5">
        <v>2.8365022794657598E-16</v>
      </c>
      <c r="CQ26" s="5">
        <v>3.0538995227880101E-10</v>
      </c>
      <c r="CR26" s="5">
        <v>3.3667052770799998E-8</v>
      </c>
      <c r="CS26" s="5">
        <v>1.7565182318966199E-15</v>
      </c>
      <c r="CT26" s="5">
        <v>2.5877044980304102E-10</v>
      </c>
      <c r="CU26" s="5">
        <v>2.5175807011802301E-17</v>
      </c>
      <c r="CV26" s="5">
        <v>2.28588294316968E-15</v>
      </c>
      <c r="CW26" s="5">
        <v>5.5883835081518402E-7</v>
      </c>
      <c r="CX26" s="5">
        <v>7.2042525429421397E-7</v>
      </c>
      <c r="CY26" s="5">
        <v>2.72639642138523E-15</v>
      </c>
      <c r="CZ26" s="5">
        <v>1.48969431308595E-16</v>
      </c>
      <c r="DA26" s="5">
        <v>1.15243618126614E-12</v>
      </c>
      <c r="DB26" s="5">
        <v>2.4811599234600899E-16</v>
      </c>
      <c r="DC26" s="5">
        <v>1.6328750982857599E-17</v>
      </c>
      <c r="DD26" s="5">
        <v>7.5468805833438399E-16</v>
      </c>
      <c r="DE26" s="5">
        <v>6.3139989882552102E-14</v>
      </c>
      <c r="DF26" s="5">
        <v>1.6321182834893201E-16</v>
      </c>
      <c r="DG26" s="5">
        <v>7.6347590971779194E-11</v>
      </c>
      <c r="DH26" s="5">
        <v>1.4193010945590301E-16</v>
      </c>
      <c r="DI26" s="5">
        <v>1.5425605920550199E-6</v>
      </c>
      <c r="DJ26" s="5">
        <v>1.44420111376182E-15</v>
      </c>
      <c r="DK26" s="5">
        <v>6.8050691400197095E-14</v>
      </c>
      <c r="DL26" s="5">
        <v>3.6026242119460201E-16</v>
      </c>
      <c r="DM26" s="5">
        <v>1.17101215459775E-14</v>
      </c>
      <c r="DN26" s="5">
        <v>1.3594074292601001E-9</v>
      </c>
      <c r="DO26" s="5">
        <v>7.9946076842210899E-17</v>
      </c>
      <c r="DP26" s="5">
        <v>2.7066552797083901E-16</v>
      </c>
      <c r="DQ26" s="5">
        <v>1.0725957171813E-16</v>
      </c>
      <c r="DR26" s="5">
        <v>1.1367342537599999E-8</v>
      </c>
      <c r="DS26" s="5">
        <v>4.2686846323830001E-7</v>
      </c>
      <c r="DT26" s="5">
        <v>1.8910015196438401E-16</v>
      </c>
      <c r="DU26" s="5">
        <v>7.2213322450800101E-17</v>
      </c>
      <c r="DV26" s="5">
        <v>4.0133678755200001E-8</v>
      </c>
      <c r="DW26" s="5">
        <v>3.0446316019541501E-15</v>
      </c>
      <c r="DX26" s="5">
        <v>1.3594074292601001E-9</v>
      </c>
      <c r="DY26" s="5">
        <v>1.32282496291994E-16</v>
      </c>
      <c r="DZ26" s="5">
        <v>3.54768617517468E-15</v>
      </c>
      <c r="EA26" s="5">
        <v>5.0073199367320802E-18</v>
      </c>
      <c r="EB26" s="5">
        <v>1.17400297561216E-6</v>
      </c>
      <c r="EC26" s="5">
        <v>7.3993742643854297E-7</v>
      </c>
      <c r="ED26" s="5">
        <v>1.4482014090742701E-13</v>
      </c>
      <c r="EE26" s="5">
        <v>4.2236743666335103E-15</v>
      </c>
      <c r="EF26" s="5">
        <v>6.6548315052359602E-16</v>
      </c>
      <c r="EG26" s="5">
        <v>2.3288364214911401E-14</v>
      </c>
      <c r="EH26" s="5">
        <v>1.72513681016088E-7</v>
      </c>
      <c r="EI26" s="5">
        <v>1.24933038476934E-14</v>
      </c>
      <c r="EJ26" s="5">
        <v>5.7260693228834401E-10</v>
      </c>
      <c r="EK26" s="5">
        <v>1.2821642033421299E-14</v>
      </c>
      <c r="EL26" s="5">
        <v>1.33650414015969E-16</v>
      </c>
      <c r="EM26" s="5">
        <v>3.5672940300821398E-15</v>
      </c>
      <c r="EN26" s="5">
        <v>2.1061630066259601E-7</v>
      </c>
      <c r="EO26" s="5">
        <v>4.7919194306961698E-15</v>
      </c>
      <c r="EP26" s="5">
        <v>4.0968223780711102E-16</v>
      </c>
      <c r="EQ26" s="5">
        <v>7.7988297034663193E-15</v>
      </c>
      <c r="ER26" s="5">
        <v>1.3666303347846001E-7</v>
      </c>
      <c r="ES26" s="5">
        <v>5.0808268964988999E-17</v>
      </c>
      <c r="ET26" s="5">
        <v>5.9770672397857202E-7</v>
      </c>
      <c r="EU26" s="5">
        <v>5.9761389473521296E-7</v>
      </c>
      <c r="EV26" s="5">
        <v>2.8211721756761E-15</v>
      </c>
      <c r="EW26" s="5">
        <v>1.8208099458093799E-16</v>
      </c>
      <c r="EX26" s="5">
        <v>1.3165238551200001E-8</v>
      </c>
      <c r="EY26" s="5">
        <v>7.6408543087503105E-14</v>
      </c>
      <c r="EZ26" s="5">
        <v>-1.53577972972192E-18</v>
      </c>
      <c r="FA26" s="5">
        <v>6.0325399999999999E-10</v>
      </c>
      <c r="FB26" s="5">
        <v>4.2746122943770399E-17</v>
      </c>
      <c r="FC26" s="5">
        <v>2.9744919367330902E-7</v>
      </c>
      <c r="FD26" s="5">
        <v>5.5498285080541398E-8</v>
      </c>
      <c r="FE26" s="5">
        <v>7.0266099988411602E-15</v>
      </c>
      <c r="FF26" s="5">
        <v>2.9008522371250299E-16</v>
      </c>
      <c r="FG26" s="5">
        <v>6.6070090682082902E-16</v>
      </c>
      <c r="FH26" s="5">
        <v>2.12427827011095E-16</v>
      </c>
      <c r="FI26" s="5">
        <v>1.7109010452E-9</v>
      </c>
      <c r="FJ26" s="5">
        <v>1.0392732872055001E-14</v>
      </c>
      <c r="FK26" s="5">
        <v>1.2420981585113099E-10</v>
      </c>
      <c r="FL26" s="5">
        <v>5.9363835167050706E-17</v>
      </c>
      <c r="FM26" s="5">
        <v>3.2694782394383397E-17</v>
      </c>
      <c r="FN26" s="5">
        <v>9.4220452257188404E-14</v>
      </c>
      <c r="FO26" s="5">
        <v>6.1748996959513302E-15</v>
      </c>
      <c r="FP26" s="5">
        <v>2.0063411008175601E-16</v>
      </c>
      <c r="FQ26" s="5">
        <v>1.02521044780029E-15</v>
      </c>
      <c r="FR26" s="5">
        <v>2.42538274852047E-8</v>
      </c>
      <c r="FS26" s="5">
        <v>5.4594486999999999E-8</v>
      </c>
      <c r="FT26" s="5">
        <v>6.8164731947830703E-18</v>
      </c>
      <c r="FU26" s="5">
        <v>3.3629677673917601E-13</v>
      </c>
      <c r="FV26" s="5">
        <v>6.7458136023430501E-17</v>
      </c>
      <c r="FW26" s="5">
        <v>6.3139989882552102E-14</v>
      </c>
      <c r="FX26" s="5">
        <v>1.08417964882324E-17</v>
      </c>
      <c r="FY26" s="5">
        <v>6.6804142100306795E-11</v>
      </c>
      <c r="FZ26" s="5">
        <v>3.3201134432779301E-14</v>
      </c>
      <c r="GA26" s="5">
        <v>2.1254267396346099E-16</v>
      </c>
      <c r="GB26" s="5">
        <v>0</v>
      </c>
      <c r="GC26" s="5">
        <v>7.4438800867957798E-10</v>
      </c>
      <c r="GD26" s="5">
        <v>8.6256829193534898E-11</v>
      </c>
      <c r="GE26" s="5">
        <v>3.04810897797607E-16</v>
      </c>
      <c r="GF26" s="5">
        <v>5.3754200773499101E-14</v>
      </c>
      <c r="GG26" s="5">
        <v>3.6196906045605699E-15</v>
      </c>
      <c r="GH26" s="5">
        <v>0</v>
      </c>
      <c r="GI26" s="5">
        <v>7.4438800867957798E-10</v>
      </c>
      <c r="GJ26" s="5">
        <v>8.6256829193534898E-11</v>
      </c>
      <c r="GK26" s="5">
        <v>3.4505268801525201E-16</v>
      </c>
      <c r="GL26" s="5">
        <v>5.7260693228834402E-11</v>
      </c>
      <c r="GM26" s="5">
        <v>2.9499177880714199E-13</v>
      </c>
      <c r="GN26" s="5">
        <v>1.2195601032929901E-13</v>
      </c>
      <c r="GO26" s="5">
        <v>1.4282651014720301E-16</v>
      </c>
      <c r="GP26" s="5">
        <v>7.0266246354232693E-8</v>
      </c>
      <c r="GQ26" s="5">
        <v>2.91190794032452E-17</v>
      </c>
      <c r="GR26" s="5">
        <v>1.9920015362232E-17</v>
      </c>
      <c r="GS26" s="5">
        <v>2.8043894526513399E-7</v>
      </c>
      <c r="GT26" s="5">
        <v>7.7874916405738299E-13</v>
      </c>
      <c r="GU26" s="5">
        <v>2.3495185019387801E-16</v>
      </c>
      <c r="GV26" s="5">
        <v>1.8910015196438398E-15</v>
      </c>
      <c r="GW26" s="5">
        <v>1.40809302475926E-16</v>
      </c>
      <c r="GX26" s="5">
        <v>6.5536209528E-9</v>
      </c>
      <c r="GY26" s="5">
        <v>1.17101215459775E-14</v>
      </c>
      <c r="GZ26" s="5">
        <v>2.3323843208599001E-10</v>
      </c>
      <c r="HA26" s="5">
        <v>5.9363835167050706E-17</v>
      </c>
      <c r="HB26" s="5">
        <v>6.1443783412726196E-17</v>
      </c>
      <c r="HC26" s="5">
        <v>6.1089597157913202E-13</v>
      </c>
      <c r="HD26" s="5">
        <v>1.6594443497564999E-16</v>
      </c>
      <c r="HE26" s="5">
        <v>2.5720142444096599E-17</v>
      </c>
      <c r="HF26" s="5">
        <v>1.9390532359717999E-10</v>
      </c>
      <c r="HG26" s="5">
        <v>1.16129133761723E-17</v>
      </c>
      <c r="HH26" s="5">
        <v>4.2832028461003401E-7</v>
      </c>
      <c r="HI26" s="5">
        <v>1.6052575598264499E-13</v>
      </c>
      <c r="HJ26" s="5">
        <v>1.4282651014720301E-16</v>
      </c>
      <c r="HK26" s="5">
        <v>2.12427827011095E-16</v>
      </c>
      <c r="HL26" s="5">
        <v>1.1661921604299501E-10</v>
      </c>
      <c r="HM26" s="5">
        <v>2.1968163442987699E-17</v>
      </c>
      <c r="HN26" s="5">
        <v>3.13686209472688E-14</v>
      </c>
      <c r="HO26" s="5">
        <v>7.47000576083699E-18</v>
      </c>
      <c r="HP26" s="5">
        <v>8.1847918900406396E-9</v>
      </c>
      <c r="HQ26" s="5">
        <v>9.3213685724271092E-19</v>
      </c>
      <c r="HR26" s="5">
        <v>3.7072006574044701E-14</v>
      </c>
      <c r="HS26" s="5">
        <v>1.1340493828411599E-15</v>
      </c>
      <c r="HT26" s="5">
        <v>8.1847918900406396E-9</v>
      </c>
      <c r="HU26" s="5">
        <v>1.01836978236208E-18</v>
      </c>
      <c r="HV26" s="5">
        <v>3.1685475704311802E-15</v>
      </c>
      <c r="HW26" s="5">
        <v>8.1847918900406396E-9</v>
      </c>
      <c r="HX26" s="5">
        <v>5.5435451862452004E-19</v>
      </c>
      <c r="HY26" s="5">
        <v>6.8999999999999996E-7</v>
      </c>
      <c r="HZ26" s="5">
        <v>3.8599999999999996E-15</v>
      </c>
      <c r="IA26" s="5">
        <v>5.2062370122171302E-12</v>
      </c>
      <c r="IB26" s="5">
        <v>0</v>
      </c>
      <c r="IC26" s="5">
        <v>9.0500000000000002E-7</v>
      </c>
      <c r="ID26">
        <f t="shared" si="1"/>
        <v>3.6443659085519914E-11</v>
      </c>
      <c r="IE26">
        <f t="shared" si="3"/>
        <v>0</v>
      </c>
      <c r="IF26">
        <f t="shared" si="2"/>
        <v>6.3350000000000003E-6</v>
      </c>
      <c r="IG26" s="5">
        <v>6.7799999999999997E-16</v>
      </c>
      <c r="IH26" s="5">
        <v>4.0899999999999998E-15</v>
      </c>
      <c r="II26" s="5">
        <v>3.4599999999999999E-14</v>
      </c>
      <c r="IJ26" s="5">
        <v>3.6899999999999996E-15</v>
      </c>
      <c r="IK26" s="5">
        <v>4.0400000000000001E-16</v>
      </c>
      <c r="IL26" s="5">
        <v>-6.1998251119163098E-13</v>
      </c>
      <c r="IM26" s="5">
        <v>-1.52603691328206E-12</v>
      </c>
      <c r="IN26" s="5">
        <v>-4.5760229934286897E-5</v>
      </c>
      <c r="IO26" s="5">
        <v>-2.6959176992497902E-7</v>
      </c>
      <c r="IP26" s="5">
        <v>-1.30176101271122E-14</v>
      </c>
      <c r="IQ26" s="5">
        <v>-1.0739183604482E-13</v>
      </c>
      <c r="IR26" s="5">
        <v>1.0160195307716801E-16</v>
      </c>
      <c r="IS26" s="5">
        <v>6.1361944318076902E-16</v>
      </c>
      <c r="IT26" s="5">
        <v>2.4866805227219302E-14</v>
      </c>
      <c r="IU26" s="5">
        <v>9.5230082338252193E-16</v>
      </c>
      <c r="IV26" s="5">
        <v>3.61222023429254E-16</v>
      </c>
      <c r="IW26" s="5">
        <v>1.89209976356095E-11</v>
      </c>
      <c r="IX26" s="5">
        <v>1.13969597379018E-10</v>
      </c>
      <c r="IY26" s="5">
        <v>1.5832437603659699E-11</v>
      </c>
      <c r="IZ26" s="5">
        <v>9.4285468261991896E-15</v>
      </c>
    </row>
    <row r="27" spans="1:260" x14ac:dyDescent="0.3">
      <c r="A27" t="s">
        <v>142</v>
      </c>
      <c r="B27" s="5">
        <v>6.1428240273271505E-7</v>
      </c>
      <c r="C27" s="5">
        <v>7.5246933854234194E-9</v>
      </c>
      <c r="D27" s="5">
        <v>1.17485872856472E-9</v>
      </c>
      <c r="E27">
        <v>6.9311011607423504E-8</v>
      </c>
      <c r="F27">
        <v>1.7136983211983999E-8</v>
      </c>
      <c r="G27">
        <v>7.5960094371926397E-9</v>
      </c>
      <c r="H27">
        <v>6.8568119195938206E-8</v>
      </c>
      <c r="I27" s="5">
        <v>1.48885E-5</v>
      </c>
      <c r="J27" s="5">
        <v>8.1665378513464098E-8</v>
      </c>
      <c r="K27" s="5">
        <v>1.20358289169423E-9</v>
      </c>
      <c r="L27">
        <v>1.2018000000000001E-5</v>
      </c>
      <c r="M27">
        <v>1.2249806777019599E-7</v>
      </c>
      <c r="N27">
        <v>2.76048599807879E-7</v>
      </c>
      <c r="O27" s="5">
        <v>1.0798000000000001E-5</v>
      </c>
      <c r="P27" s="5">
        <v>8.1665378513464098E-8</v>
      </c>
      <c r="Q27" s="5">
        <v>1.2379709743140699E-9</v>
      </c>
      <c r="R27" s="5">
        <v>8.2378539031156196E-8</v>
      </c>
      <c r="S27" s="5">
        <v>2.7224874299873698E-7</v>
      </c>
      <c r="T27" s="5">
        <v>5.8854673615460396E-9</v>
      </c>
      <c r="U27">
        <v>8.1665378513464098E-8</v>
      </c>
      <c r="V27">
        <v>9.5555299999999998E-7</v>
      </c>
      <c r="W27">
        <v>1.7795809683334099E-7</v>
      </c>
      <c r="X27" s="5">
        <v>8.1665378513464098E-8</v>
      </c>
      <c r="Y27" s="5">
        <v>2.22571E-6</v>
      </c>
      <c r="Z27" s="5">
        <v>7.3590496806447504E-10</v>
      </c>
      <c r="AA27" s="5">
        <v>8.1665378513464098E-8</v>
      </c>
      <c r="AB27" s="5">
        <v>2.7446840000000001E-7</v>
      </c>
      <c r="AC27" s="5">
        <v>5.0370983186006403E-8</v>
      </c>
      <c r="AD27" s="5">
        <v>1.2294384346396101E-7</v>
      </c>
      <c r="AE27" s="5">
        <v>1.6756013401982299E-7</v>
      </c>
      <c r="AF27" s="5">
        <v>3.2666151405385602E-11</v>
      </c>
      <c r="AG27" s="5">
        <v>8.1665378513464098E-8</v>
      </c>
      <c r="AH27" s="5">
        <v>2.9777E-5</v>
      </c>
      <c r="AI27" s="5">
        <v>1.20358289169423E-9</v>
      </c>
      <c r="AJ27" s="5">
        <v>2.15112585345716E-7</v>
      </c>
      <c r="AK27" s="5">
        <v>1.141265501862E-8</v>
      </c>
      <c r="AL27" s="5">
        <v>8.6301882001246696E-8</v>
      </c>
      <c r="AM27" s="5">
        <v>6.5074843735107301E-9</v>
      </c>
      <c r="AN27" s="5">
        <v>1.2844549999999999E-10</v>
      </c>
      <c r="AO27" s="5">
        <v>2.5852677363917E-9</v>
      </c>
      <c r="AP27" s="5">
        <v>1.3897910901833101E-6</v>
      </c>
      <c r="AQ27" s="5">
        <v>8.5099923206183198E-8</v>
      </c>
      <c r="AR27" s="5">
        <v>1.6105808492938001E-7</v>
      </c>
      <c r="AS27" s="5">
        <v>6.7982966401411299E-8</v>
      </c>
      <c r="AT27" s="5">
        <v>5.5737021235678799E-8</v>
      </c>
      <c r="AU27" s="5">
        <v>8.9429303513315405E-10</v>
      </c>
      <c r="AV27" s="5">
        <v>8.9745531781274297E-9</v>
      </c>
      <c r="AW27" s="5">
        <v>1.3859912670369801E-9</v>
      </c>
      <c r="AX27" s="5">
        <v>7.4988992043972102E-9</v>
      </c>
      <c r="AY27" s="5">
        <v>1.22E-8</v>
      </c>
      <c r="AZ27" s="5">
        <v>2.2999999999999999E-9</v>
      </c>
      <c r="BA27" s="5">
        <v>2.3400000000000002E-9</v>
      </c>
      <c r="BB27" s="5">
        <v>8.8300000000000003E-9</v>
      </c>
      <c r="BC27" s="5">
        <v>1.28E-8</v>
      </c>
      <c r="BD27" s="5">
        <v>4.8300000000000001E-9</v>
      </c>
      <c r="BE27" s="5">
        <v>3.7075360599767699E-9</v>
      </c>
      <c r="BF27" s="5">
        <v>9.5976971188528594E-9</v>
      </c>
      <c r="BG27" s="5">
        <v>8.9697990295772E-11</v>
      </c>
      <c r="BH27" s="5">
        <v>1.2228571000681501E-7</v>
      </c>
      <c r="BI27" s="5">
        <v>1.9880990466542098E-9</v>
      </c>
      <c r="BJ27" s="5">
        <v>6.1425261560658297E-8</v>
      </c>
      <c r="BK27" s="5">
        <v>1.2269662000000001E-6</v>
      </c>
      <c r="BL27" s="5">
        <v>9.2229415537366607E-9</v>
      </c>
      <c r="BM27" s="5">
        <v>3.6870073565373201E-9</v>
      </c>
      <c r="BN27" s="5">
        <v>1.47229561301738E-8</v>
      </c>
      <c r="BO27" s="5">
        <v>1.2796929500606799E-8</v>
      </c>
      <c r="BP27" s="5">
        <v>7.2813403999999999E-7</v>
      </c>
      <c r="BQ27" s="5">
        <v>1.6598751812465001E-9</v>
      </c>
      <c r="BR27" s="5">
        <v>7.5908974987532996E-10</v>
      </c>
      <c r="BS27" s="5">
        <v>3.25324178517999E-10</v>
      </c>
      <c r="BT27" s="5">
        <v>1.06E-7</v>
      </c>
      <c r="BU27" s="5">
        <v>5.5700000000000002E-8</v>
      </c>
      <c r="BV27" s="5">
        <v>1.59E-6</v>
      </c>
      <c r="BW27" s="5">
        <v>6.9900000000000001E-9</v>
      </c>
      <c r="BX27" s="5">
        <v>2.7099999999999999E-9</v>
      </c>
      <c r="BY27" s="5">
        <v>1.03912434174945E-7</v>
      </c>
      <c r="BZ27" s="5">
        <v>6.1425261560658297E-8</v>
      </c>
      <c r="CA27" s="5">
        <v>2.9567873999999998E-6</v>
      </c>
      <c r="CB27" s="5">
        <v>8.3294293565893407E-9</v>
      </c>
      <c r="CC27" s="5">
        <v>5.4220696419666396E-10</v>
      </c>
      <c r="CD27" s="5">
        <v>8.6753114271466296E-10</v>
      </c>
      <c r="CE27" s="5">
        <v>1.32749959818344E-7</v>
      </c>
      <c r="CF27" s="5">
        <v>6.1425261560658297E-8</v>
      </c>
      <c r="CG27" s="5">
        <v>2.8763305999999999E-6</v>
      </c>
      <c r="CH27" s="5">
        <v>9.1339371046029697E-9</v>
      </c>
      <c r="CI27" s="5">
        <v>6.5064835703599696E-10</v>
      </c>
      <c r="CJ27" s="5">
        <v>2.38571064246532E-9</v>
      </c>
      <c r="CK27" s="5">
        <v>2.1065144518747198E-9</v>
      </c>
      <c r="CL27" s="5">
        <v>6.4729524959871095E-8</v>
      </c>
      <c r="CM27" s="5">
        <v>1.10090336534007E-7</v>
      </c>
      <c r="CN27" s="5">
        <v>1.45525678388058E-9</v>
      </c>
      <c r="CO27" s="5">
        <v>2.4393487372686799E-8</v>
      </c>
      <c r="CP27" s="5">
        <v>2.6800222951555E-10</v>
      </c>
      <c r="CQ27" s="5">
        <v>1.9468371742378501E-9</v>
      </c>
      <c r="CR27" s="5">
        <v>6.2383324139609103E-8</v>
      </c>
      <c r="CS27" s="5">
        <v>7.8299128046646298E-10</v>
      </c>
      <c r="CT27" s="5">
        <v>1.2305463011448601E-9</v>
      </c>
      <c r="CU27" s="5">
        <v>2.8347225607807102E-9</v>
      </c>
      <c r="CV27" s="5">
        <v>3.3004477932326001E-8</v>
      </c>
      <c r="CW27" s="5">
        <v>7.4140243349033302E-7</v>
      </c>
      <c r="CX27" s="5">
        <v>5.0348154933523702E-7</v>
      </c>
      <c r="CY27" s="5">
        <v>2.98122815342171E-7</v>
      </c>
      <c r="CZ27" s="5">
        <v>1.67735241853094E-8</v>
      </c>
      <c r="DA27" s="5">
        <v>1.85475221659355E-6</v>
      </c>
      <c r="DB27" s="5">
        <v>9.5410646320732201E-9</v>
      </c>
      <c r="DC27" s="5">
        <v>1.5471269507803601E-11</v>
      </c>
      <c r="DD27" s="5">
        <v>3.36412203652416E-10</v>
      </c>
      <c r="DE27" s="5">
        <v>2.98735225531032E-13</v>
      </c>
      <c r="DF27" s="5">
        <v>1.8377176620002402E-8</v>
      </c>
      <c r="DG27" s="5">
        <v>8.6753114271466296E-10</v>
      </c>
      <c r="DH27" s="5">
        <v>5.4577874434935802E-9</v>
      </c>
      <c r="DI27" s="5">
        <v>7.4554189014960899E-6</v>
      </c>
      <c r="DJ27" s="5">
        <v>5.5535381003969798E-8</v>
      </c>
      <c r="DK27" s="5">
        <v>1.10526680943493E-7</v>
      </c>
      <c r="DL27" s="5">
        <v>1.1772531276700499E-8</v>
      </c>
      <c r="DM27" s="5">
        <v>5.2199418697764196E-9</v>
      </c>
      <c r="DN27" s="5">
        <v>6.4685103530383098E-9</v>
      </c>
      <c r="DO27" s="5">
        <v>2.00239631400775E-10</v>
      </c>
      <c r="DP27" s="5">
        <v>3.0476150305921602E-8</v>
      </c>
      <c r="DQ27" s="5">
        <v>4.1245648718363803E-9</v>
      </c>
      <c r="DR27" s="5">
        <v>2.10631034132014E-8</v>
      </c>
      <c r="DS27" s="5">
        <v>3.3789485655219102E-6</v>
      </c>
      <c r="DT27" s="5">
        <v>1.78668153010367E-10</v>
      </c>
      <c r="DU27" s="5">
        <v>2.3597620710134899E-9</v>
      </c>
      <c r="DV27" s="5">
        <v>7.4365650826200695E-8</v>
      </c>
      <c r="DW27" s="5">
        <v>1.3571848861418699E-9</v>
      </c>
      <c r="DX27" s="5">
        <v>6.4685103530383098E-9</v>
      </c>
      <c r="DY27" s="5">
        <v>1.48946238926727E-8</v>
      </c>
      <c r="DZ27" s="5">
        <v>5.3922384829253497E-7</v>
      </c>
      <c r="EA27" s="5">
        <v>7.6107812038466403E-10</v>
      </c>
      <c r="EB27" s="5">
        <v>8.1308060409344798E-6</v>
      </c>
      <c r="EC27" s="5">
        <v>3.3809073051977901E-6</v>
      </c>
      <c r="ED27" s="5">
        <v>2.4103808612992801E-7</v>
      </c>
      <c r="EE27" s="5">
        <v>6.4196939454446399E-7</v>
      </c>
      <c r="EF27" s="5">
        <v>2.27523769460807E-8</v>
      </c>
      <c r="EG27" s="5">
        <v>2.1344676388899299E-8</v>
      </c>
      <c r="EH27" s="5">
        <v>2.0594634757789101E-7</v>
      </c>
      <c r="EI27" s="5">
        <v>2.0164777155841701E-6</v>
      </c>
      <c r="EJ27" s="5">
        <v>6.5064835703599696E-9</v>
      </c>
      <c r="EK27" s="5">
        <v>4.3836246249448799E-7</v>
      </c>
      <c r="EL27" s="5">
        <v>1.9296972984626001E-9</v>
      </c>
      <c r="EM27" s="5">
        <v>1.3717690093574601E-7</v>
      </c>
      <c r="EN27" s="5">
        <v>1.9584695655567501E-6</v>
      </c>
      <c r="EO27" s="5">
        <v>8.8105283117061695E-9</v>
      </c>
      <c r="EP27" s="5">
        <v>1.3387455017096201E-8</v>
      </c>
      <c r="EQ27" s="5">
        <v>3.47643169582333E-9</v>
      </c>
      <c r="ER27" s="5">
        <v>9.1142788626325896E-8</v>
      </c>
      <c r="ES27" s="5">
        <v>5.7208631382401997E-9</v>
      </c>
      <c r="ET27" s="5">
        <v>7.9156987349536398E-6</v>
      </c>
      <c r="EU27" s="5">
        <v>2.26451390896587E-7</v>
      </c>
      <c r="EV27" s="5">
        <v>1.08485494271548E-7</v>
      </c>
      <c r="EW27" s="5">
        <v>5.9499800075982997E-9</v>
      </c>
      <c r="EX27" s="5">
        <v>2.43945126265138E-8</v>
      </c>
      <c r="EY27" s="5">
        <v>3.40601207002911E-8</v>
      </c>
      <c r="EZ27" s="5">
        <v>7.9745522256331201E-10</v>
      </c>
      <c r="FA27" s="5">
        <v>8.0456800000000003E-9</v>
      </c>
      <c r="FB27" s="5">
        <v>4.8130889721948796E-9</v>
      </c>
      <c r="FC27" s="5">
        <v>2.7339757959806202E-6</v>
      </c>
      <c r="FD27" s="5">
        <v>8.0745742460916305E-7</v>
      </c>
      <c r="FE27" s="5">
        <v>1.5587472040486501E-8</v>
      </c>
      <c r="FF27" s="5">
        <v>1.1154951529245699E-8</v>
      </c>
      <c r="FG27" s="5">
        <v>6.2600512459320797E-10</v>
      </c>
      <c r="FH27" s="5">
        <v>6.94164334219801E-9</v>
      </c>
      <c r="FI27" s="5">
        <v>3.17021199331347E-9</v>
      </c>
      <c r="FJ27" s="5">
        <v>4.63269840942657E-9</v>
      </c>
      <c r="FK27" s="5">
        <v>5.9129470594414902E-10</v>
      </c>
      <c r="FL27" s="5">
        <v>1.42723604750188E-10</v>
      </c>
      <c r="FM27" s="5">
        <v>3.6813372945592799E-9</v>
      </c>
      <c r="FN27" s="5">
        <v>2.0901382963379601E-7</v>
      </c>
      <c r="FO27" s="5">
        <v>1.36980814901245E-8</v>
      </c>
      <c r="FP27" s="5">
        <v>4.9351364124782901E-10</v>
      </c>
      <c r="FQ27" s="5">
        <v>4.5641161907697398E-10</v>
      </c>
      <c r="FR27" s="5">
        <v>2.6643691918518899E-8</v>
      </c>
      <c r="FS27" s="5">
        <v>7.2813403999999999E-7</v>
      </c>
      <c r="FT27" s="5">
        <v>7.6751503302953104E-10</v>
      </c>
      <c r="FU27" s="5">
        <v>5.6922830463362698E-7</v>
      </c>
      <c r="FV27" s="5">
        <v>2.5940384965640499E-9</v>
      </c>
      <c r="FW27" s="5">
        <v>2.98735225531032E-13</v>
      </c>
      <c r="FX27" s="5">
        <v>1.2207547146424199E-9</v>
      </c>
      <c r="FY27" s="5">
        <v>7.5908974987532996E-10</v>
      </c>
      <c r="FZ27" s="5">
        <v>5.5258994730057198E-8</v>
      </c>
      <c r="GA27" s="5">
        <v>4.8212434687021101E-10</v>
      </c>
      <c r="GB27" s="5">
        <v>8.4941607815605905E-9</v>
      </c>
      <c r="GC27" s="5">
        <v>4.7454156122047701E-9</v>
      </c>
      <c r="GD27" s="5">
        <v>2.3470147139517799E-10</v>
      </c>
      <c r="GE27" s="5">
        <v>4.8635368183157101E-8</v>
      </c>
      <c r="GF27" s="5">
        <v>8.9468285244732997E-8</v>
      </c>
      <c r="GG27" s="5">
        <v>7.2019973428108597E-9</v>
      </c>
      <c r="GH27" s="5">
        <v>1.3067939663939399E-8</v>
      </c>
      <c r="GI27" s="5">
        <v>4.7454156122047701E-9</v>
      </c>
      <c r="GJ27" s="5">
        <v>2.3470147139517799E-10</v>
      </c>
      <c r="GK27" s="5">
        <v>5.5130581474881797E-8</v>
      </c>
      <c r="GL27" s="5">
        <v>6.5064835703599696E-10</v>
      </c>
      <c r="GM27" s="5">
        <v>4.74509737560926E-7</v>
      </c>
      <c r="GN27" s="5">
        <v>1.4171319940411E-7</v>
      </c>
      <c r="GO27" s="5">
        <v>5.4922576799787996E-9</v>
      </c>
      <c r="GP27" s="5">
        <v>4.9097247236094197E-8</v>
      </c>
      <c r="GQ27" s="5">
        <v>3.2787235497494701E-9</v>
      </c>
      <c r="GR27" s="5">
        <v>7.6600525522716901E-10</v>
      </c>
      <c r="GS27" s="5">
        <v>2.97531162924959E-6</v>
      </c>
      <c r="GT27" s="5">
        <v>1.25333338427887E-6</v>
      </c>
      <c r="GU27" s="5">
        <v>9.0348500591563506E-9</v>
      </c>
      <c r="GV27" s="5">
        <v>1.78668153010367E-9</v>
      </c>
      <c r="GW27" s="5">
        <v>4.6013178725426798E-9</v>
      </c>
      <c r="GX27" s="5">
        <v>1.2143523906590599E-8</v>
      </c>
      <c r="GY27" s="5">
        <v>5.2199418697764196E-9</v>
      </c>
      <c r="GZ27" s="5">
        <v>1.1090535299868799E-9</v>
      </c>
      <c r="HA27" s="5">
        <v>1.42723604750188E-10</v>
      </c>
      <c r="HB27" s="5">
        <v>6.9183910957899303E-9</v>
      </c>
      <c r="HC27" s="5">
        <v>9.82658189062799E-7</v>
      </c>
      <c r="HD27" s="5">
        <v>6.3812355038669999E-9</v>
      </c>
      <c r="HE27" s="5">
        <v>2.4369485207378499E-11</v>
      </c>
      <c r="HF27" s="5">
        <v>9.2356625445269803E-10</v>
      </c>
      <c r="HG27" s="5">
        <v>1.3075802308301499E-9</v>
      </c>
      <c r="HH27" s="5">
        <v>1.0564866684984301E-6</v>
      </c>
      <c r="HI27" s="5">
        <v>2.6086113225235801E-7</v>
      </c>
      <c r="HJ27" s="5">
        <v>5.4922576799787996E-9</v>
      </c>
      <c r="HK27" s="5">
        <v>6.94164334219801E-9</v>
      </c>
      <c r="HL27" s="5">
        <v>5.5452676499343799E-10</v>
      </c>
      <c r="HM27" s="5">
        <v>2.4735512351823199E-9</v>
      </c>
      <c r="HN27" s="5">
        <v>5.0458070911419598E-8</v>
      </c>
      <c r="HO27" s="5">
        <v>2.8725197071018802E-10</v>
      </c>
      <c r="HP27" s="5">
        <v>9.5976971188528594E-9</v>
      </c>
      <c r="HQ27" s="5">
        <v>1.04955895861548E-10</v>
      </c>
      <c r="HR27" s="5">
        <v>5.9632265622586894E-8</v>
      </c>
      <c r="HS27" s="5">
        <v>5.4438054638469102E-10</v>
      </c>
      <c r="HT27" s="5">
        <v>9.5976971188528594E-9</v>
      </c>
      <c r="HU27" s="5">
        <v>1.1466547213067801E-10</v>
      </c>
      <c r="HV27" s="5">
        <v>5.0967748395373401E-9</v>
      </c>
      <c r="HW27" s="5">
        <v>9.5976971188528594E-9</v>
      </c>
      <c r="HX27" s="5">
        <v>6.2418704587264002E-11</v>
      </c>
      <c r="HY27" s="5">
        <v>1.2300000000000001E-6</v>
      </c>
      <c r="HZ27" s="5">
        <v>4.3500000000000002E-7</v>
      </c>
      <c r="IA27" s="5">
        <v>1.8201094355473299E-4</v>
      </c>
      <c r="IB27" s="5">
        <v>6.5830007786684601E-4</v>
      </c>
      <c r="IC27" s="5">
        <v>3.2099999999999998E-7</v>
      </c>
      <c r="ID27">
        <f t="shared" si="1"/>
        <v>1.2740766048831309E-3</v>
      </c>
      <c r="IE27">
        <f t="shared" si="3"/>
        <v>4.6081005450679217E-3</v>
      </c>
      <c r="IF27">
        <f t="shared" si="2"/>
        <v>2.2469999999999998E-6</v>
      </c>
      <c r="IG27" s="5">
        <v>1.5399999999999999E-8</v>
      </c>
      <c r="IH27" s="5">
        <v>9.2999999999999999E-8</v>
      </c>
      <c r="II27" s="5">
        <v>1.02E-7</v>
      </c>
      <c r="IJ27" s="5">
        <v>4.4899999999999998E-8</v>
      </c>
      <c r="IK27" s="5">
        <v>8.2399999999999997E-9</v>
      </c>
      <c r="IL27" s="5">
        <v>-4.4531391674848197E-6</v>
      </c>
      <c r="IM27" s="5">
        <v>-2.8142594694917899E-5</v>
      </c>
      <c r="IN27" s="5">
        <v>-2.5070566555199201E-5</v>
      </c>
      <c r="IO27" s="5">
        <v>-5.9638910132253001E-7</v>
      </c>
      <c r="IP27" s="5">
        <v>-6.3200998318404301E-9</v>
      </c>
      <c r="IQ27" s="5">
        <v>-8.0528012636055498E-8</v>
      </c>
      <c r="IR27" s="5">
        <v>2.3140178311643902E-9</v>
      </c>
      <c r="IS27" s="5">
        <v>1.39517712824119E-8</v>
      </c>
      <c r="IT27" s="5">
        <v>7.3639844267454405E-8</v>
      </c>
      <c r="IU27" s="5">
        <v>1.15913028659327E-8</v>
      </c>
      <c r="IV27" s="5">
        <v>7.3749412607968702E-9</v>
      </c>
      <c r="IW27" s="5">
        <v>4.8656384908334699E-8</v>
      </c>
      <c r="IX27" s="5">
        <v>2.9307908096162001E-7</v>
      </c>
      <c r="IY27" s="5">
        <v>4.25704939867336E-8</v>
      </c>
      <c r="IZ27" s="5">
        <v>1.0756691342984699E-8</v>
      </c>
    </row>
    <row r="28" spans="1:260" x14ac:dyDescent="0.3">
      <c r="A28" t="s">
        <v>143</v>
      </c>
      <c r="B28">
        <v>2.56827367247979E-2</v>
      </c>
      <c r="C28">
        <v>4.53954307641259E-4</v>
      </c>
      <c r="D28">
        <v>2.9840815272821799E-4</v>
      </c>
      <c r="E28">
        <v>4.3479724364852397E-3</v>
      </c>
      <c r="F28">
        <v>3.7124255989077698E-3</v>
      </c>
      <c r="G28">
        <v>4.3375616352436499E-4</v>
      </c>
      <c r="H28">
        <v>2.7670378497491401E-2</v>
      </c>
      <c r="I28">
        <v>1.3279900069999999</v>
      </c>
      <c r="J28">
        <v>2.7217101058920798E-3</v>
      </c>
      <c r="K28">
        <v>3.0570394434106303E-4</v>
      </c>
      <c r="L28">
        <v>0.63962269949999995</v>
      </c>
      <c r="M28">
        <v>4.0825651588381204E-3</v>
      </c>
      <c r="N28">
        <v>0.11139826102797699</v>
      </c>
      <c r="O28">
        <v>0.65254858599999999</v>
      </c>
      <c r="P28" s="5">
        <v>2.7217101058920798E-3</v>
      </c>
      <c r="Q28" s="5">
        <v>3.1443834275080799E-4</v>
      </c>
      <c r="R28">
        <v>2.51972866472314E-3</v>
      </c>
      <c r="S28" s="5">
        <v>1.13058130225399E-2</v>
      </c>
      <c r="T28" s="5">
        <v>1.4948788314717099E-3</v>
      </c>
      <c r="U28">
        <v>2.7217101058920798E-3</v>
      </c>
      <c r="V28">
        <v>0.109623208</v>
      </c>
      <c r="W28">
        <v>7.1814247697251504E-2</v>
      </c>
      <c r="X28">
        <v>2.7217101058920798E-3</v>
      </c>
      <c r="Y28" s="5">
        <v>0.20093639699999999</v>
      </c>
      <c r="Z28" s="5">
        <v>1.86916125968536E-4</v>
      </c>
      <c r="AA28">
        <v>2.7217101058920798E-3</v>
      </c>
      <c r="AB28" s="5">
        <v>1.9908688269999999E-2</v>
      </c>
      <c r="AC28" s="5">
        <v>2.0327000162637301E-2</v>
      </c>
      <c r="AD28">
        <v>7.71265499958041E-3</v>
      </c>
      <c r="AE28" s="5">
        <v>1.8668023327402802E-2</v>
      </c>
      <c r="AF28" s="5">
        <v>1.08868404235683E-6</v>
      </c>
      <c r="AG28">
        <v>2.7217101058920798E-3</v>
      </c>
      <c r="AH28">
        <v>2.6559800139999998</v>
      </c>
      <c r="AI28">
        <v>3.0570394434106303E-4</v>
      </c>
      <c r="AJ28">
        <v>1.85794972513194E-2</v>
      </c>
      <c r="AK28">
        <v>9.8572285860414207E-4</v>
      </c>
      <c r="AL28">
        <v>1.2007213406186301E-2</v>
      </c>
      <c r="AM28">
        <v>9.0538875628502302E-4</v>
      </c>
      <c r="AN28" s="5">
        <v>1.123934E-5</v>
      </c>
      <c r="AO28">
        <v>1.6218199765472799E-4</v>
      </c>
      <c r="AP28">
        <v>6.1601262961924898E-2</v>
      </c>
      <c r="AQ28">
        <v>3.3373261676025302E-3</v>
      </c>
      <c r="AR28">
        <v>6.2573411146481196E-3</v>
      </c>
      <c r="AS28">
        <v>4.2647858642539602E-3</v>
      </c>
      <c r="AT28">
        <v>2.1767400819699498E-3</v>
      </c>
      <c r="AU28">
        <v>1.29275761719317E-4</v>
      </c>
      <c r="AV28">
        <v>2.6887102240830699E-4</v>
      </c>
      <c r="AW28">
        <v>1.1257080269851799E-4</v>
      </c>
      <c r="AX28">
        <v>1.9046823287537E-3</v>
      </c>
      <c r="AY28">
        <v>4.7699999999999999E-4</v>
      </c>
      <c r="AZ28">
        <v>1.44E-4</v>
      </c>
      <c r="BA28" s="5">
        <v>3.7700000000000002E-5</v>
      </c>
      <c r="BB28">
        <v>1.0399999999999999E-3</v>
      </c>
      <c r="BC28">
        <v>4.1800000000000002E-4</v>
      </c>
      <c r="BD28">
        <v>1.23E-3</v>
      </c>
      <c r="BE28">
        <v>3.7878371361297898E-4</v>
      </c>
      <c r="BF28">
        <v>3.1333155804818798E-4</v>
      </c>
      <c r="BG28" s="5">
        <v>2.27828341713004E-5</v>
      </c>
      <c r="BH28">
        <v>7.7500629725301799E-3</v>
      </c>
      <c r="BI28">
        <v>2.0311590440116301E-4</v>
      </c>
      <c r="BJ28" s="5">
        <v>2.0053219715084002E-3</v>
      </c>
      <c r="BK28">
        <v>7.2167187650000004E-3</v>
      </c>
      <c r="BL28">
        <v>2.3425803331547099E-3</v>
      </c>
      <c r="BM28">
        <v>4.8171356580034E-4</v>
      </c>
      <c r="BN28">
        <v>9.33092158881743E-4</v>
      </c>
      <c r="BO28">
        <v>4.1777541152723899E-4</v>
      </c>
      <c r="BP28" s="5">
        <v>4.2827085129999998E-3</v>
      </c>
      <c r="BQ28">
        <v>4.2159986945859999E-4</v>
      </c>
      <c r="BR28" s="5">
        <v>9.9176322370658299E-5</v>
      </c>
      <c r="BS28" s="5">
        <v>4.2504138158853598E-5</v>
      </c>
      <c r="BT28">
        <v>6.7200000000000003E-3</v>
      </c>
      <c r="BU28">
        <v>1.82E-3</v>
      </c>
      <c r="BV28" s="5">
        <v>9.3500000000000007E-3</v>
      </c>
      <c r="BW28">
        <v>1.7799999999999999E-3</v>
      </c>
      <c r="BX28" s="5">
        <v>3.5399999999999999E-4</v>
      </c>
      <c r="BY28">
        <v>6.5856256502893201E-3</v>
      </c>
      <c r="BZ28">
        <v>2.0053219715084002E-3</v>
      </c>
      <c r="CA28" s="5">
        <v>1.7391109155000001E-2</v>
      </c>
      <c r="CB28">
        <v>2.1156327711132801E-3</v>
      </c>
      <c r="CC28" s="5">
        <v>7.0840230264755904E-5</v>
      </c>
      <c r="CD28" s="5">
        <v>1.1334436842361E-4</v>
      </c>
      <c r="CE28">
        <v>8.4132524408262899E-3</v>
      </c>
      <c r="CF28">
        <v>2.0053219715084002E-3</v>
      </c>
      <c r="CG28" s="5">
        <v>1.6917881695000001E-2</v>
      </c>
      <c r="CH28">
        <v>2.3199736549177302E-3</v>
      </c>
      <c r="CI28" s="5">
        <v>8.5008276317707102E-5</v>
      </c>
      <c r="CJ28" s="5">
        <v>3.1169701316492601E-4</v>
      </c>
      <c r="CK28">
        <v>1.3214829438533399E-4</v>
      </c>
      <c r="CL28">
        <v>3.03051919914044E-3</v>
      </c>
      <c r="CM28" s="5">
        <v>4.2771698758354302E-3</v>
      </c>
      <c r="CN28" s="5">
        <v>9.12928471539119E-5</v>
      </c>
      <c r="CO28" s="5">
        <v>1.01300084681957E-3</v>
      </c>
      <c r="CP28" s="5">
        <v>3.8376369805971801E-5</v>
      </c>
      <c r="CQ28">
        <v>1.2338408712485801E-4</v>
      </c>
      <c r="CR28" s="5">
        <v>6.3734477029662104E-3</v>
      </c>
      <c r="CS28" s="5">
        <v>8.7233753866368104E-5</v>
      </c>
      <c r="CT28" s="5">
        <v>9.9929740327901994E-5</v>
      </c>
      <c r="CU28">
        <v>7.2000513959068104E-4</v>
      </c>
      <c r="CV28">
        <v>1.58210748004441E-3</v>
      </c>
      <c r="CW28">
        <v>5.1519831994658198E-2</v>
      </c>
      <c r="CX28" s="5">
        <v>2.8379413515083499E-2</v>
      </c>
      <c r="CY28">
        <v>8.0332018431041909E-3</v>
      </c>
      <c r="CZ28" s="5">
        <v>4.2603899900331699E-3</v>
      </c>
      <c r="DA28">
        <v>7.2340000232590199E-2</v>
      </c>
      <c r="DB28">
        <v>5.9854107178169004E-4</v>
      </c>
      <c r="DC28" s="5">
        <v>2.2364706777441899E-6</v>
      </c>
      <c r="DD28" s="5">
        <v>3.7479982348685E-5</v>
      </c>
      <c r="DE28" s="5">
        <v>2.4236753688750701E-8</v>
      </c>
      <c r="DF28" s="5">
        <v>4.6677095672894697E-3</v>
      </c>
      <c r="DG28">
        <v>1.1334436842361E-4</v>
      </c>
      <c r="DH28">
        <v>3.4238421727109298E-4</v>
      </c>
      <c r="DI28">
        <v>0.34226377557708398</v>
      </c>
      <c r="DJ28" s="5">
        <v>3.4839095792497201E-3</v>
      </c>
      <c r="DK28" s="5">
        <v>4.2899455966769404E-3</v>
      </c>
      <c r="DL28" s="5">
        <v>3.5269639143869699E-4</v>
      </c>
      <c r="DM28" s="5">
        <v>5.8155835910912105E-4</v>
      </c>
      <c r="DN28">
        <v>5.2534739530794004E-4</v>
      </c>
      <c r="DO28" s="5">
        <v>2.39050509828415E-5</v>
      </c>
      <c r="DP28">
        <v>7.7407874614573704E-3</v>
      </c>
      <c r="DQ28">
        <v>2.5874696108055002E-4</v>
      </c>
      <c r="DR28">
        <v>2.1519306628447498E-3</v>
      </c>
      <c r="DS28" s="5">
        <v>0.13459306744997901</v>
      </c>
      <c r="DT28" s="5">
        <v>2.55842465373145E-5</v>
      </c>
      <c r="DU28" s="5">
        <v>7.0696738665503494E-5</v>
      </c>
      <c r="DV28" s="5">
        <v>7.5976327484110501E-3</v>
      </c>
      <c r="DW28">
        <v>1.51205173368371E-4</v>
      </c>
      <c r="DX28" s="5">
        <v>5.2534739530794004E-4</v>
      </c>
      <c r="DY28">
        <v>3.7831588541917E-3</v>
      </c>
      <c r="DZ28">
        <v>8.3268107258558099E-3</v>
      </c>
      <c r="EA28" s="5">
        <v>1.17527321465855E-5</v>
      </c>
      <c r="EB28" s="5">
        <v>0.35738183862716899</v>
      </c>
      <c r="EC28" s="5">
        <v>0.14598184037460701</v>
      </c>
      <c r="ED28" s="5">
        <v>9.3592905642057508E-3</v>
      </c>
      <c r="EE28" s="5">
        <v>9.9134295656448396E-3</v>
      </c>
      <c r="EF28">
        <v>6.8524629521382802E-4</v>
      </c>
      <c r="EG28" s="5">
        <v>1.5862841077157199E-3</v>
      </c>
      <c r="EH28" s="5">
        <v>6.2993216618078404E-3</v>
      </c>
      <c r="EI28" s="5">
        <v>0.81374117120709899</v>
      </c>
      <c r="EJ28">
        <v>8.5008276317707096E-4</v>
      </c>
      <c r="EK28">
        <v>1.3202411954453101E-2</v>
      </c>
      <c r="EL28" s="5">
        <v>9.2502251857435003E-5</v>
      </c>
      <c r="EM28" s="5">
        <v>8.6055395782316003E-3</v>
      </c>
      <c r="EN28" s="5">
        <v>8.5754359690205104E-2</v>
      </c>
      <c r="EO28" s="5">
        <v>7.4464962296878098E-5</v>
      </c>
      <c r="EP28" s="5">
        <v>4.0107832071957299E-4</v>
      </c>
      <c r="EQ28" s="5">
        <v>3.87312342362263E-4</v>
      </c>
      <c r="ER28">
        <v>5.4627268523405803E-3</v>
      </c>
      <c r="ES28" s="5">
        <v>1.4530701943873501E-3</v>
      </c>
      <c r="ET28" s="5">
        <v>0.338532152185335</v>
      </c>
      <c r="EU28" s="5">
        <v>1.25511925758912E-2</v>
      </c>
      <c r="EV28" s="5">
        <v>6.8056371608447097E-3</v>
      </c>
      <c r="EW28" s="5">
        <v>1.7825703143092199E-4</v>
      </c>
      <c r="EX28" s="5">
        <v>2.4922870431926402E-3</v>
      </c>
      <c r="EY28" s="5">
        <v>3.79466829318701E-3</v>
      </c>
      <c r="EZ28" s="5">
        <v>9.2525219748587002E-5</v>
      </c>
      <c r="FA28" s="5">
        <v>4.7322745999999999E-5</v>
      </c>
      <c r="FB28" s="5">
        <v>1.2225001646486099E-3</v>
      </c>
      <c r="FC28" s="5">
        <v>0.12700042281336199</v>
      </c>
      <c r="FD28" s="5">
        <v>3.3376604097870098E-2</v>
      </c>
      <c r="FE28" s="5">
        <v>6.0874934495769805E-4</v>
      </c>
      <c r="FF28" s="5">
        <v>6.9978528617688305E-4</v>
      </c>
      <c r="FG28" s="5">
        <v>9.0493033203522101E-5</v>
      </c>
      <c r="FH28" s="5">
        <v>2.0796653666940799E-4</v>
      </c>
      <c r="FI28" s="5">
        <v>3.23887523234286E-4</v>
      </c>
      <c r="FJ28" s="5">
        <v>5.1613304370934398E-4</v>
      </c>
      <c r="FK28" s="5">
        <v>4.8027167677490002E-5</v>
      </c>
      <c r="FL28" s="5">
        <v>1.0607155487539401E-5</v>
      </c>
      <c r="FM28">
        <v>9.3504098401768704E-4</v>
      </c>
      <c r="FN28" s="5">
        <v>8.1627753073873193E-3</v>
      </c>
      <c r="FO28" s="5">
        <v>5.3496154556888697E-4</v>
      </c>
      <c r="FP28" s="5">
        <v>1.4336385699427899E-5</v>
      </c>
      <c r="FQ28" s="5">
        <v>5.0412271260587402E-5</v>
      </c>
      <c r="FR28" s="5">
        <v>1.0784878504960301E-3</v>
      </c>
      <c r="FS28" s="5">
        <v>4.2827085129999998E-3</v>
      </c>
      <c r="FT28" s="5">
        <v>1.94944921996944E-4</v>
      </c>
      <c r="FU28" s="5">
        <v>3.0052125403755701E-2</v>
      </c>
      <c r="FV28" s="5">
        <v>1.6273221509862401E-4</v>
      </c>
      <c r="FW28" s="5">
        <v>2.4236753688750701E-8</v>
      </c>
      <c r="FX28" s="5">
        <v>3.1006550019485103E-4</v>
      </c>
      <c r="FY28" s="5">
        <v>9.9176322370658299E-5</v>
      </c>
      <c r="FZ28" s="5">
        <v>2.1456629820918202E-3</v>
      </c>
      <c r="GA28" s="5">
        <v>1.8819892677155699E-5</v>
      </c>
      <c r="GB28" s="5">
        <v>3.5274136630324398E-4</v>
      </c>
      <c r="GC28" s="5">
        <v>3.0074871236684302E-4</v>
      </c>
      <c r="GD28" s="5">
        <v>1.58319788383884E-5</v>
      </c>
      <c r="GE28" s="5">
        <v>1.9432520224729199E-2</v>
      </c>
      <c r="GF28" s="5">
        <v>3.4739724801637101E-3</v>
      </c>
      <c r="GG28" s="5">
        <v>1.09169898805608E-4</v>
      </c>
      <c r="GH28" s="5">
        <v>5.4267902508191399E-4</v>
      </c>
      <c r="GI28" s="5">
        <v>3.0074871236684302E-4</v>
      </c>
      <c r="GJ28" s="5">
        <v>1.58319788383884E-5</v>
      </c>
      <c r="GK28" s="5">
        <v>2.2053636456463299E-2</v>
      </c>
      <c r="GL28" s="5">
        <v>8.5008276317707102E-5</v>
      </c>
      <c r="GM28" s="5">
        <v>1.8435394233346201E-2</v>
      </c>
      <c r="GN28" s="5">
        <v>7.0179645574388501E-3</v>
      </c>
      <c r="GO28" s="5">
        <v>3.4454664390648899E-4</v>
      </c>
      <c r="GP28" s="5">
        <v>2.8537841045485801E-3</v>
      </c>
      <c r="GQ28" s="5">
        <v>8.3277913675843603E-4</v>
      </c>
      <c r="GR28" s="5">
        <v>4.80539252310306E-5</v>
      </c>
      <c r="GS28" s="5">
        <v>0.154808777297227</v>
      </c>
      <c r="GT28" s="5">
        <v>4.8883153750824797E-2</v>
      </c>
      <c r="GU28" s="5">
        <v>5.6678463529276303E-4</v>
      </c>
      <c r="GV28" s="5">
        <v>2.5584246537314502E-4</v>
      </c>
      <c r="GW28" s="5">
        <v>1.3785210430657899E-4</v>
      </c>
      <c r="GX28" s="5">
        <v>1.2406539025584501E-3</v>
      </c>
      <c r="GY28" s="5">
        <v>5.8155835910912105E-4</v>
      </c>
      <c r="GZ28" s="5">
        <v>9.0060078218122099E-5</v>
      </c>
      <c r="HA28" s="5">
        <v>1.0607155487539401E-5</v>
      </c>
      <c r="HB28">
        <v>1.75723621619439E-3</v>
      </c>
      <c r="HC28" s="5">
        <v>3.8177701484308803E-2</v>
      </c>
      <c r="HD28" s="5">
        <v>4.00315026159297E-4</v>
      </c>
      <c r="HE28" s="5">
        <v>3.5227645068514E-6</v>
      </c>
      <c r="HF28" s="5">
        <v>7.5024040802682798E-5</v>
      </c>
      <c r="HG28" s="5">
        <v>3.32118740525206E-4</v>
      </c>
      <c r="HH28" s="5">
        <v>5.2518151982151998E-2</v>
      </c>
      <c r="HI28" s="5">
        <v>1.01639752640236E-2</v>
      </c>
      <c r="HJ28" s="5">
        <v>3.4454664390648899E-4</v>
      </c>
      <c r="HK28" s="5">
        <v>2.0796653666940799E-4</v>
      </c>
      <c r="HL28" s="5">
        <v>4.5030039109061002E-5</v>
      </c>
      <c r="HM28" s="5">
        <v>6.2826945642315403E-4</v>
      </c>
      <c r="HN28" s="5">
        <v>1.9603695264245702E-3</v>
      </c>
      <c r="HO28" s="5">
        <v>1.80202219616365E-5</v>
      </c>
      <c r="HP28" s="5">
        <v>3.1333155804818798E-4</v>
      </c>
      <c r="HQ28" s="5">
        <v>2.66582647262123E-5</v>
      </c>
      <c r="HR28" s="5">
        <v>2.31680034941086E-3</v>
      </c>
      <c r="HS28" s="5">
        <v>3.4994119806560002E-5</v>
      </c>
      <c r="HT28" s="5">
        <v>3.1333155804818798E-4</v>
      </c>
      <c r="HU28" s="5">
        <v>2.9124447806610801E-5</v>
      </c>
      <c r="HV28" s="5">
        <v>1.9801712388127E-4</v>
      </c>
      <c r="HW28" s="5">
        <v>3.1333155804818798E-4</v>
      </c>
      <c r="HX28" s="5">
        <v>1.5854034088275999E-5</v>
      </c>
      <c r="HY28">
        <v>7.3999999999999996E-2</v>
      </c>
      <c r="HZ28">
        <v>0.11</v>
      </c>
      <c r="IA28">
        <v>26.005101781748401</v>
      </c>
      <c r="IB28">
        <v>313.09890589717401</v>
      </c>
      <c r="IC28">
        <v>2.9899999999999999E-2</v>
      </c>
      <c r="ID28">
        <f t="shared" si="1"/>
        <v>182.0357124722388</v>
      </c>
      <c r="IE28">
        <f t="shared" si="3"/>
        <v>2191.692341280218</v>
      </c>
      <c r="IF28">
        <f t="shared" si="2"/>
        <v>0.20929999999999999</v>
      </c>
      <c r="IG28">
        <v>9.77E-4</v>
      </c>
      <c r="IH28">
        <v>5.8900000000000003E-3</v>
      </c>
      <c r="II28">
        <v>1.72E-2</v>
      </c>
      <c r="IJ28">
        <v>3.3300000000000001E-3</v>
      </c>
      <c r="IK28">
        <v>1.82E-3</v>
      </c>
      <c r="IL28">
        <v>-0.13516809322870099</v>
      </c>
      <c r="IM28">
        <v>-1.09528860331303</v>
      </c>
      <c r="IN28">
        <v>-1.97229476179414</v>
      </c>
      <c r="IO28">
        <v>-4.3544653067111999E-2</v>
      </c>
      <c r="IP28">
        <v>1.53158374380955E-3</v>
      </c>
      <c r="IQ28">
        <v>-9.0669432415121601E-3</v>
      </c>
      <c r="IR28">
        <v>1.4656937472055999E-4</v>
      </c>
      <c r="IS28">
        <v>8.83712375293638E-4</v>
      </c>
      <c r="IT28">
        <v>1.23540412493486E-2</v>
      </c>
      <c r="IU28">
        <v>8.5806720736627997E-4</v>
      </c>
      <c r="IV28">
        <v>1.6307506229469399E-3</v>
      </c>
      <c r="IW28">
        <v>7.2585628645263399E-3</v>
      </c>
      <c r="IX28">
        <v>4.3721557560128597E-2</v>
      </c>
      <c r="IY28">
        <v>6.2289072811448397E-3</v>
      </c>
      <c r="IZ28">
        <v>1.05794295517859E-3</v>
      </c>
    </row>
    <row r="29" spans="1:260" x14ac:dyDescent="0.3">
      <c r="A29" t="s">
        <v>144</v>
      </c>
      <c r="B29">
        <v>241.884681200616</v>
      </c>
      <c r="C29">
        <v>3.7908130669230098</v>
      </c>
      <c r="D29">
        <v>0.70395155164464096</v>
      </c>
      <c r="E29">
        <v>23.498451405779299</v>
      </c>
      <c r="F29">
        <v>30.3223224099258</v>
      </c>
      <c r="G29">
        <v>3.5072775787824999</v>
      </c>
      <c r="H29">
        <v>72.679492972560496</v>
      </c>
      <c r="I29" s="5">
        <v>3761.4610400000001</v>
      </c>
      <c r="J29">
        <v>12.389936736583801</v>
      </c>
      <c r="K29">
        <v>0.72116248834118701</v>
      </c>
      <c r="L29">
        <v>2181.3122665000001</v>
      </c>
      <c r="M29">
        <v>18.584905104875801</v>
      </c>
      <c r="N29">
        <v>292.60059201113899</v>
      </c>
      <c r="O29" s="5">
        <v>2726.2131509999999</v>
      </c>
      <c r="P29">
        <v>12.389936736583801</v>
      </c>
      <c r="Q29" s="5">
        <v>0.74176713086522095</v>
      </c>
      <c r="R29" s="5">
        <v>9.5545818551787001</v>
      </c>
      <c r="S29">
        <v>104.10437988917</v>
      </c>
      <c r="T29" s="5">
        <v>3.5264528241413799</v>
      </c>
      <c r="U29">
        <v>12.389936736583801</v>
      </c>
      <c r="V29">
        <v>356.74481479999997</v>
      </c>
      <c r="W29">
        <v>188.62854049196699</v>
      </c>
      <c r="X29" s="5">
        <v>12.389936736583801</v>
      </c>
      <c r="Y29">
        <v>571.94033290000004</v>
      </c>
      <c r="Z29" s="5">
        <v>0.44093935001432599</v>
      </c>
      <c r="AA29" s="5">
        <v>12.389936736583801</v>
      </c>
      <c r="AB29">
        <v>69.646593241999994</v>
      </c>
      <c r="AC29" s="5">
        <v>53.391248898441098</v>
      </c>
      <c r="AD29" s="5">
        <v>41.764885229696503</v>
      </c>
      <c r="AE29">
        <v>169.11774793404899</v>
      </c>
      <c r="AF29" s="5">
        <v>4.9559746946335401E-3</v>
      </c>
      <c r="AG29">
        <v>12.389936736583801</v>
      </c>
      <c r="AH29">
        <v>7522.9220809999997</v>
      </c>
      <c r="AI29">
        <v>0.72116248834118701</v>
      </c>
      <c r="AJ29">
        <v>821.03811185515303</v>
      </c>
      <c r="AK29">
        <v>43.559630472957799</v>
      </c>
      <c r="AL29">
        <v>228.61041268231401</v>
      </c>
      <c r="AM29">
        <v>17.238079328681401</v>
      </c>
      <c r="AN29">
        <v>2.1023681297499999E-2</v>
      </c>
      <c r="AO29">
        <v>0.87823356791417995</v>
      </c>
      <c r="AP29">
        <v>383.14046214227398</v>
      </c>
      <c r="AQ29">
        <v>20.729829819278098</v>
      </c>
      <c r="AR29">
        <v>39.345928665888898</v>
      </c>
      <c r="AS29">
        <v>23.094290119224699</v>
      </c>
      <c r="AT29">
        <v>13.5128616559769</v>
      </c>
      <c r="AU29">
        <v>1.22235164719505</v>
      </c>
      <c r="AV29">
        <v>1.0231503235080699</v>
      </c>
      <c r="AW29">
        <v>-7.1959343693966296E-2</v>
      </c>
      <c r="AX29">
        <v>4.4931885019155802</v>
      </c>
      <c r="AY29">
        <v>3</v>
      </c>
      <c r="AZ29">
        <v>0.78100000000000003</v>
      </c>
      <c r="BA29">
        <v>0.13700000000000001</v>
      </c>
      <c r="BB29">
        <v>17</v>
      </c>
      <c r="BC29">
        <v>1.48</v>
      </c>
      <c r="BD29">
        <v>2.89</v>
      </c>
      <c r="BE29">
        <v>4.9880227661223504</v>
      </c>
      <c r="BF29">
        <v>1.1070850990160901</v>
      </c>
      <c r="BG29">
        <v>5.3745218818992697E-2</v>
      </c>
      <c r="BH29">
        <v>82.874423952392604</v>
      </c>
      <c r="BI29">
        <v>2.6747368456018399</v>
      </c>
      <c r="BJ29">
        <v>7.0853446337029604</v>
      </c>
      <c r="BK29">
        <v>11.708763620599999</v>
      </c>
      <c r="BL29">
        <v>5.5261997545971999</v>
      </c>
      <c r="BM29">
        <v>4.26563082182368</v>
      </c>
      <c r="BN29">
        <v>9.9779157196413006</v>
      </c>
      <c r="BO29">
        <v>1.47611346621331</v>
      </c>
      <c r="BP29">
        <v>6.9484793945199996</v>
      </c>
      <c r="BQ29">
        <v>0.99456358536177203</v>
      </c>
      <c r="BR29">
        <v>0.87821811037546404</v>
      </c>
      <c r="BS29">
        <v>0.37637919016091298</v>
      </c>
      <c r="BT29">
        <v>71.8</v>
      </c>
      <c r="BU29">
        <v>6.42</v>
      </c>
      <c r="BV29">
        <v>15.2</v>
      </c>
      <c r="BW29">
        <v>4.1900000000000004</v>
      </c>
      <c r="BX29">
        <v>3.14</v>
      </c>
      <c r="BY29">
        <v>70.422644831187299</v>
      </c>
      <c r="BZ29">
        <v>7.0853446337029604</v>
      </c>
      <c r="CA29">
        <v>28.2162008562</v>
      </c>
      <c r="CB29">
        <v>4.9908253454853302</v>
      </c>
      <c r="CC29">
        <v>0.62729865026818898</v>
      </c>
      <c r="CD29">
        <v>1.0036778404291</v>
      </c>
      <c r="CE29">
        <v>89.9661657035426</v>
      </c>
      <c r="CF29">
        <v>7.0853446337029604</v>
      </c>
      <c r="CG29">
        <v>27.448413077800002</v>
      </c>
      <c r="CH29">
        <v>5.47287009159382</v>
      </c>
      <c r="CI29">
        <v>0.75275838032182596</v>
      </c>
      <c r="CJ29">
        <v>2.7601140611800301</v>
      </c>
      <c r="CK29">
        <v>0.71559772200414595</v>
      </c>
      <c r="CL29">
        <v>19.170420412201899</v>
      </c>
      <c r="CM29">
        <v>26.894685417189901</v>
      </c>
      <c r="CN29">
        <v>0.49436092809581</v>
      </c>
      <c r="CO29" s="5">
        <v>9.3277524380696697</v>
      </c>
      <c r="CP29">
        <v>0.36844294408079598</v>
      </c>
      <c r="CQ29">
        <v>1.3193938141674399</v>
      </c>
      <c r="CR29">
        <v>83.928904803884805</v>
      </c>
      <c r="CS29">
        <v>0.790269850159106</v>
      </c>
      <c r="CT29">
        <v>-6.3802227624362801E-2</v>
      </c>
      <c r="CU29">
        <v>1.69850833689722</v>
      </c>
      <c r="CV29">
        <v>10.063520553711699</v>
      </c>
      <c r="CW29">
        <v>455.36754525142999</v>
      </c>
      <c r="CX29">
        <v>-14.549228593506101</v>
      </c>
      <c r="CY29">
        <v>69.4141403416439</v>
      </c>
      <c r="CZ29">
        <v>10.050355919151601</v>
      </c>
      <c r="DA29">
        <v>455.09100028490798</v>
      </c>
      <c r="DB29">
        <v>3.2411665204241298</v>
      </c>
      <c r="DC29">
        <v>2.1146683496474399E-2</v>
      </c>
      <c r="DD29">
        <v>0.33953944112085999</v>
      </c>
      <c r="DE29" s="5">
        <v>-1.5374178254808699E-5</v>
      </c>
      <c r="DF29">
        <v>11.011231973653899</v>
      </c>
      <c r="DG29">
        <v>1.0036778404291</v>
      </c>
      <c r="DH29">
        <v>1.8540486433743799</v>
      </c>
      <c r="DI29">
        <v>2155.1872008195101</v>
      </c>
      <c r="DJ29">
        <v>18.8657581255639</v>
      </c>
      <c r="DK29">
        <v>27.0079875647438</v>
      </c>
      <c r="DL29" s="5">
        <v>1.34213580834542</v>
      </c>
      <c r="DM29">
        <v>5.2684656677273702</v>
      </c>
      <c r="DN29">
        <v>-0.33574681708848497</v>
      </c>
      <c r="DO29">
        <v>0.442159729534913</v>
      </c>
      <c r="DP29">
        <v>18.260691923545501</v>
      </c>
      <c r="DQ29">
        <v>1.40114359240104</v>
      </c>
      <c r="DR29">
        <v>28.3377525263762</v>
      </c>
      <c r="DS29">
        <v>815.76468705453601</v>
      </c>
      <c r="DT29">
        <v>0.24562862938719801</v>
      </c>
      <c r="DU29" s="5">
        <v>0.26902635467622099</v>
      </c>
      <c r="DV29">
        <v>100.049616062512</v>
      </c>
      <c r="DW29">
        <v>1.36980107360912</v>
      </c>
      <c r="DX29">
        <v>-0.33574681708848497</v>
      </c>
      <c r="DY29">
        <v>8.9245569237243494</v>
      </c>
      <c r="DZ29">
        <v>50.478045235255699</v>
      </c>
      <c r="EA29">
        <v>7.1246358835928905E-2</v>
      </c>
      <c r="EB29">
        <v>2110.5998635374499</v>
      </c>
      <c r="EC29">
        <v>852.81008330220004</v>
      </c>
      <c r="ED29" s="5">
        <v>57.304069900980203</v>
      </c>
      <c r="EE29">
        <v>60.096303678106104</v>
      </c>
      <c r="EF29">
        <v>2.5598050474241099</v>
      </c>
      <c r="EG29">
        <v>11.061480555952899</v>
      </c>
      <c r="EH29">
        <v>23.886454637946802</v>
      </c>
      <c r="EI29">
        <v>2137.3865825359599</v>
      </c>
      <c r="EJ29">
        <v>7.5275838032182598</v>
      </c>
      <c r="EK29">
        <v>49.318910580371103</v>
      </c>
      <c r="EL29">
        <v>0.58839132269685301</v>
      </c>
      <c r="EM29">
        <v>46.599954599811198</v>
      </c>
      <c r="EN29">
        <v>542.124287927414</v>
      </c>
      <c r="EO29">
        <v>1.01811695591542</v>
      </c>
      <c r="EP29" s="5">
        <v>1.5262463389346901</v>
      </c>
      <c r="EQ29">
        <v>3.5087480842825798</v>
      </c>
      <c r="ER29">
        <v>-4.0422719623508696</v>
      </c>
      <c r="ES29">
        <v>3.4278253078399401</v>
      </c>
      <c r="ET29">
        <v>2136.8667714663802</v>
      </c>
      <c r="EU29">
        <v>50.294559363178102</v>
      </c>
      <c r="EV29">
        <v>36.8532826832135</v>
      </c>
      <c r="EW29">
        <v>0.67833170619319505</v>
      </c>
      <c r="EX29" s="5">
        <v>32.819743997384698</v>
      </c>
      <c r="EY29">
        <v>34.376738481921102</v>
      </c>
      <c r="EZ29">
        <v>5.6707455179902999E-2</v>
      </c>
      <c r="FA29">
        <v>7.6778777840000006E-2</v>
      </c>
      <c r="FB29">
        <v>2.8839054158617801</v>
      </c>
      <c r="FC29">
        <v>819.69376152235998</v>
      </c>
      <c r="FD29">
        <v>208.302263078463</v>
      </c>
      <c r="FE29">
        <v>3.7790206326037099</v>
      </c>
      <c r="FF29">
        <v>3.7894152097037699</v>
      </c>
      <c r="FG29" s="5">
        <v>0.85564615303653502</v>
      </c>
      <c r="FH29">
        <v>0.79138699055872697</v>
      </c>
      <c r="FI29">
        <v>4.2651209159596899</v>
      </c>
      <c r="FJ29">
        <v>4.6757632801080398</v>
      </c>
      <c r="FK29">
        <v>-3.0705506779515401E-2</v>
      </c>
      <c r="FL29">
        <v>7.5061456304824206E-2</v>
      </c>
      <c r="FM29">
        <v>2.2057827359364302</v>
      </c>
      <c r="FN29">
        <v>50.673231209913403</v>
      </c>
      <c r="FO29">
        <v>3.3209575256214401</v>
      </c>
      <c r="FP29">
        <v>4.9815356903130999E-2</v>
      </c>
      <c r="FQ29">
        <v>0.46301777083547302</v>
      </c>
      <c r="FR29" s="5">
        <v>3.0089989725365598</v>
      </c>
      <c r="FS29">
        <v>6.9484793945199996</v>
      </c>
      <c r="FT29">
        <v>0.45987946063249702</v>
      </c>
      <c r="FU29">
        <v>195.19208614398201</v>
      </c>
      <c r="FV29">
        <v>0.88121305661125104</v>
      </c>
      <c r="FW29" s="5">
        <v>-1.5374178254808699E-5</v>
      </c>
      <c r="FX29">
        <v>0.73145149681092203</v>
      </c>
      <c r="FY29" s="5">
        <v>0.87821811037546404</v>
      </c>
      <c r="FZ29">
        <v>13.137431266477201</v>
      </c>
      <c r="GA29">
        <v>0.114872691172225</v>
      </c>
      <c r="GB29" s="5">
        <v>3.2480566525421199</v>
      </c>
      <c r="GC29">
        <v>3.2160224220331401</v>
      </c>
      <c r="GD29" s="5">
        <v>-4.80826759519494E-3</v>
      </c>
      <c r="GE29">
        <v>50.953587373525501</v>
      </c>
      <c r="GF29">
        <v>21.270069613901001</v>
      </c>
      <c r="GG29">
        <v>0.66203196122512897</v>
      </c>
      <c r="GH29" s="5">
        <v>4.9970102346801797</v>
      </c>
      <c r="GI29">
        <v>3.2160224220331401</v>
      </c>
      <c r="GJ29" s="5">
        <v>-4.80826759519494E-3</v>
      </c>
      <c r="GK29">
        <v>57.838256434408002</v>
      </c>
      <c r="GL29">
        <v>0.75275838032182596</v>
      </c>
      <c r="GM29">
        <v>115.921074645388</v>
      </c>
      <c r="GN29">
        <v>49.682234975904102</v>
      </c>
      <c r="GO29" s="5">
        <v>1.8657584242798999</v>
      </c>
      <c r="GP29">
        <v>-1.1935200794797001</v>
      </c>
      <c r="GQ29" s="5">
        <v>1.96454473558675</v>
      </c>
      <c r="GR29">
        <v>0.26021735345605301</v>
      </c>
      <c r="GS29">
        <v>1038.4116962303301</v>
      </c>
      <c r="GT29" s="5">
        <v>307.52396018982199</v>
      </c>
      <c r="GU29">
        <v>3.0692018823926999</v>
      </c>
      <c r="GV29" s="5">
        <v>2.4562862938719801</v>
      </c>
      <c r="GW29">
        <v>0.52457651945607098</v>
      </c>
      <c r="GX29">
        <v>16.337581813676099</v>
      </c>
      <c r="GY29">
        <v>5.2684656677273702</v>
      </c>
      <c r="GZ29">
        <v>-5.7520482383362499E-2</v>
      </c>
      <c r="HA29">
        <v>7.5061456304824206E-2</v>
      </c>
      <c r="HB29">
        <v>4.1453598022934504</v>
      </c>
      <c r="HC29">
        <v>240.05996983491701</v>
      </c>
      <c r="HD29">
        <v>2.16775042111641</v>
      </c>
      <c r="HE29" s="5">
        <v>3.33090823860651E-2</v>
      </c>
      <c r="HF29">
        <v>-4.7985246081295098E-2</v>
      </c>
      <c r="HG29" s="5">
        <v>0.78347558733060896</v>
      </c>
      <c r="HH29">
        <v>327.30277027126999</v>
      </c>
      <c r="HI29">
        <v>64.0190295423902</v>
      </c>
      <c r="HJ29" s="5">
        <v>1.8657584242798999</v>
      </c>
      <c r="HK29">
        <v>0.79138699055872697</v>
      </c>
      <c r="HL29" s="5">
        <v>-2.8760241191681201E-2</v>
      </c>
      <c r="HM29">
        <v>1.4821017946611601</v>
      </c>
      <c r="HN29">
        <v>12.326730816212001</v>
      </c>
      <c r="HO29">
        <v>9.7581507546019894E-2</v>
      </c>
      <c r="HP29" s="5">
        <v>1.1070850990160901</v>
      </c>
      <c r="HQ29">
        <v>6.2887446762429605E-2</v>
      </c>
      <c r="HR29">
        <v>14.567954600977901</v>
      </c>
      <c r="HS29">
        <v>0.188820166037972</v>
      </c>
      <c r="HT29" s="5">
        <v>1.1070850990160901</v>
      </c>
      <c r="HU29">
        <v>6.8705228180980293E-2</v>
      </c>
      <c r="HV29">
        <v>1.2451243248699</v>
      </c>
      <c r="HW29">
        <v>1.1070850990160901</v>
      </c>
      <c r="HX29" s="5">
        <v>3.7400023404969097E-2</v>
      </c>
      <c r="HY29">
        <v>126</v>
      </c>
      <c r="HZ29">
        <v>261</v>
      </c>
      <c r="IA29">
        <v>890696.42994951399</v>
      </c>
      <c r="IB29">
        <v>0</v>
      </c>
      <c r="IC29">
        <v>226</v>
      </c>
      <c r="ID29">
        <f t="shared" si="1"/>
        <v>6234875.0096465982</v>
      </c>
      <c r="IE29">
        <f t="shared" si="3"/>
        <v>0</v>
      </c>
      <c r="IF29">
        <f t="shared" si="2"/>
        <v>1582</v>
      </c>
      <c r="IG29">
        <v>2.31</v>
      </c>
      <c r="IH29">
        <v>14</v>
      </c>
      <c r="II29">
        <v>32.4</v>
      </c>
      <c r="IJ29">
        <v>22.3</v>
      </c>
      <c r="IK29">
        <v>2.44</v>
      </c>
      <c r="IL29">
        <v>-510.29103276405198</v>
      </c>
      <c r="IM29">
        <v>-6776.8405555653899</v>
      </c>
      <c r="IN29">
        <v>-6105.1233635793196</v>
      </c>
      <c r="IO29">
        <v>-395.93301270822798</v>
      </c>
      <c r="IP29">
        <v>-19.627108079276699</v>
      </c>
      <c r="IQ29">
        <v>-166.73791496134399</v>
      </c>
      <c r="IR29">
        <v>0.34704293668859798</v>
      </c>
      <c r="IS29">
        <v>2.0930837484889802</v>
      </c>
      <c r="IT29">
        <v>23.319436395527699</v>
      </c>
      <c r="IU29">
        <v>5.7568594033837099</v>
      </c>
      <c r="IV29">
        <v>2.1836388804926101</v>
      </c>
      <c r="IW29">
        <v>53.178042991211697</v>
      </c>
      <c r="IX29">
        <v>320.31504182983701</v>
      </c>
      <c r="IY29">
        <v>46.734179458935003</v>
      </c>
      <c r="IZ29">
        <v>17.0724169410556</v>
      </c>
    </row>
    <row r="30" spans="1:260" x14ac:dyDescent="0.3">
      <c r="A30" t="s">
        <v>145</v>
      </c>
      <c r="B30">
        <v>1.89969494399755E-3</v>
      </c>
      <c r="C30" s="5">
        <v>1.3341659136968599E-8</v>
      </c>
      <c r="D30" s="5">
        <v>4.7044363895001503E-9</v>
      </c>
      <c r="E30">
        <v>7.2616855451203395E-7</v>
      </c>
      <c r="F30">
        <v>1.2448238121736199E-7</v>
      </c>
      <c r="G30">
        <v>1.8878902653214301E-8</v>
      </c>
      <c r="H30">
        <v>1.7751232799790201E-7</v>
      </c>
      <c r="I30" s="5">
        <v>0.19582628899999999</v>
      </c>
      <c r="J30" s="5">
        <v>6.3176850783179698E-7</v>
      </c>
      <c r="K30" s="5">
        <v>4.81945532326548E-9</v>
      </c>
      <c r="L30">
        <v>2.69213365E-2</v>
      </c>
      <c r="M30">
        <v>9.4765276174769504E-7</v>
      </c>
      <c r="N30">
        <v>7.1464742167465695E-7</v>
      </c>
      <c r="O30" s="5">
        <v>6.3226109999999997E-3</v>
      </c>
      <c r="P30" s="5">
        <v>6.3176850783179698E-7</v>
      </c>
      <c r="Q30" s="5">
        <v>4.9571540467873501E-9</v>
      </c>
      <c r="R30" s="5">
        <v>6.8714094299425302E-7</v>
      </c>
      <c r="S30" s="5">
        <v>4.2057578640684997E-7</v>
      </c>
      <c r="T30" s="5">
        <v>2.35669243898776E-8</v>
      </c>
      <c r="U30">
        <v>6.3176850783179698E-7</v>
      </c>
      <c r="V30">
        <v>5.6965699999999998E-3</v>
      </c>
      <c r="W30">
        <v>4.6070617694343599E-7</v>
      </c>
      <c r="X30" s="5">
        <v>6.3176850783179698E-7</v>
      </c>
      <c r="Y30" s="5">
        <v>3.0458935999999999E-2</v>
      </c>
      <c r="Z30" s="5">
        <v>2.9467526833680399E-9</v>
      </c>
      <c r="AA30" s="5">
        <v>6.3176850783179698E-7</v>
      </c>
      <c r="AB30" s="5">
        <v>1.52818712E-3</v>
      </c>
      <c r="AC30" s="5">
        <v>1.30402738090866E-7</v>
      </c>
      <c r="AD30" s="5">
        <v>1.2883676188594601E-6</v>
      </c>
      <c r="AE30" s="5">
        <v>4.4877982766552204E-6</v>
      </c>
      <c r="AF30" s="5">
        <v>2.5270740313271899E-10</v>
      </c>
      <c r="AG30" s="5">
        <v>6.3176850783179698E-7</v>
      </c>
      <c r="AH30">
        <v>0.39165257799999997</v>
      </c>
      <c r="AI30" s="5">
        <v>4.81945532326548E-9</v>
      </c>
      <c r="AJ30" s="5">
        <v>5.7160917591082801E-6</v>
      </c>
      <c r="AK30" s="5">
        <v>3.0326344317156703E-7</v>
      </c>
      <c r="AL30" s="5">
        <v>3.9225775672864999E-7</v>
      </c>
      <c r="AM30" s="5">
        <v>2.9577700544968302E-8</v>
      </c>
      <c r="AN30" s="5">
        <v>1.0752925E-8</v>
      </c>
      <c r="AO30" s="5">
        <v>2.7091842452652301E-8</v>
      </c>
      <c r="AP30">
        <v>4.4965992499825999E-4</v>
      </c>
      <c r="AQ30" s="5">
        <v>3.0191086379672301E-5</v>
      </c>
      <c r="AR30" s="5">
        <v>4.9627439022300297E-6</v>
      </c>
      <c r="AS30" s="5">
        <v>7.1241511634752305E-7</v>
      </c>
      <c r="AT30" s="5">
        <v>1.9791616588404501E-5</v>
      </c>
      <c r="AU30" s="5">
        <v>-1.3993824143497001E-9</v>
      </c>
      <c r="AV30" s="5">
        <v>1.3583566692039399E-6</v>
      </c>
      <c r="AW30" s="5">
        <v>4.27585682430437E-9</v>
      </c>
      <c r="AX30" s="5">
        <v>3.0027520280210803E-8</v>
      </c>
      <c r="AY30" s="5">
        <v>3.77E-7</v>
      </c>
      <c r="AZ30" s="5">
        <v>2.4100000000000001E-8</v>
      </c>
      <c r="BA30" s="5">
        <v>4.3499999999999999E-6</v>
      </c>
      <c r="BB30" s="5">
        <v>3.0800000000000001E-7</v>
      </c>
      <c r="BC30" s="5">
        <v>1.3899999999999999E-7</v>
      </c>
      <c r="BD30" s="5">
        <v>1.9300000000000001E-8</v>
      </c>
      <c r="BE30" s="5">
        <v>1.0645150395434201E-7</v>
      </c>
      <c r="BF30" s="5">
        <v>1.0410435137409E-7</v>
      </c>
      <c r="BG30" s="5">
        <v>3.591738132873E-10</v>
      </c>
      <c r="BH30" s="5">
        <v>2.2522067789781101E-5</v>
      </c>
      <c r="BI30" s="5">
        <v>5.7082690526241601E-8</v>
      </c>
      <c r="BJ30" s="5">
        <v>6.6626784879417801E-7</v>
      </c>
      <c r="BK30" s="5">
        <v>2.6201024999999999E-6</v>
      </c>
      <c r="BL30" s="5">
        <v>3.6931029074991798E-8</v>
      </c>
      <c r="BM30" s="5">
        <v>3.9272697025886599E-7</v>
      </c>
      <c r="BN30" s="5">
        <v>2.7116121418542398E-6</v>
      </c>
      <c r="BO30" s="5">
        <v>1.3880580254681401E-7</v>
      </c>
      <c r="BP30" s="5">
        <v>1.5548804999999999E-6</v>
      </c>
      <c r="BQ30" s="5">
        <v>6.6465669572237402E-9</v>
      </c>
      <c r="BR30" s="5">
        <v>8.0855552700354603E-8</v>
      </c>
      <c r="BS30" s="5">
        <v>3.4652379728723399E-8</v>
      </c>
      <c r="BT30" s="5">
        <v>1.95E-5</v>
      </c>
      <c r="BU30" s="5">
        <v>6.0399999999999996E-7</v>
      </c>
      <c r="BV30" s="5">
        <v>3.3900000000000002E-6</v>
      </c>
      <c r="BW30" s="5">
        <v>2.7999999999999999E-8</v>
      </c>
      <c r="BX30" s="5">
        <v>2.8900000000000001E-7</v>
      </c>
      <c r="BY30" s="5">
        <v>1.9138155116888601E-5</v>
      </c>
      <c r="BZ30" s="5">
        <v>6.6626784879417801E-7</v>
      </c>
      <c r="CA30" s="5">
        <v>6.3140175000000004E-6</v>
      </c>
      <c r="CB30" s="5">
        <v>3.33531765276841E-8</v>
      </c>
      <c r="CC30" s="5">
        <v>5.7753966214538998E-8</v>
      </c>
      <c r="CD30" s="5">
        <v>9.2406345943262502E-8</v>
      </c>
      <c r="CE30" s="5">
        <v>2.4449329312090701E-5</v>
      </c>
      <c r="CF30" s="5">
        <v>6.6626784879417801E-7</v>
      </c>
      <c r="CG30" s="5">
        <v>6.1422074999999999E-6</v>
      </c>
      <c r="CH30" s="5">
        <v>3.6574632378817602E-8</v>
      </c>
      <c r="CI30" s="5">
        <v>6.9304759457446797E-8</v>
      </c>
      <c r="CJ30" s="5">
        <v>2.54117451343972E-7</v>
      </c>
      <c r="CK30" s="5">
        <v>2.2074834591049999E-8</v>
      </c>
      <c r="CL30" s="5">
        <v>2.0340174976192899E-5</v>
      </c>
      <c r="CM30" s="5">
        <v>3.3922553255749602E-6</v>
      </c>
      <c r="CN30" s="5">
        <v>1.52500984567552E-8</v>
      </c>
      <c r="CO30" s="5">
        <v>3.7683590462053803E-8</v>
      </c>
      <c r="CP30" s="5">
        <v>-4.12752753942267E-10</v>
      </c>
      <c r="CQ30" s="5">
        <v>3.5856028322039498E-7</v>
      </c>
      <c r="CR30" s="5">
        <v>1.79116226218828E-6</v>
      </c>
      <c r="CS30" s="5">
        <v>2.09710199843702E-8</v>
      </c>
      <c r="CT30" s="5">
        <v>3.7984273545635704E-9</v>
      </c>
      <c r="CU30" s="5">
        <v>1.1350957902288E-8</v>
      </c>
      <c r="CV30" s="5">
        <v>2.1217790062980502E-6</v>
      </c>
      <c r="CW30" s="5">
        <v>7.6699437837333401E-6</v>
      </c>
      <c r="CX30" s="5">
        <v>1.6276886430670898E-5</v>
      </c>
      <c r="CY30" s="5">
        <v>6.6971902561959804E-7</v>
      </c>
      <c r="CZ30" s="5">
        <v>6.7165503084725097E-8</v>
      </c>
      <c r="DA30" s="5">
        <v>5.7112833074257701E-5</v>
      </c>
      <c r="DB30" s="5">
        <v>9.9983849333714502E-8</v>
      </c>
      <c r="DC30" s="5">
        <v>-2.4209315768249799E-11</v>
      </c>
      <c r="DD30" s="5">
        <v>9.0101987362846595E-9</v>
      </c>
      <c r="DE30" s="5">
        <v>9.2506003663725902E-13</v>
      </c>
      <c r="DF30" s="5">
        <v>7.3586939710639202E-8</v>
      </c>
      <c r="DG30" s="5">
        <v>9.2406345943262502E-8</v>
      </c>
      <c r="DH30" s="5">
        <v>5.7193889622266002E-8</v>
      </c>
      <c r="DI30" s="5">
        <v>2.3714973596937602E-3</v>
      </c>
      <c r="DJ30" s="5">
        <v>5.81972911945864E-7</v>
      </c>
      <c r="DK30" s="5">
        <v>-1.5010644955099199E-6</v>
      </c>
      <c r="DL30" s="5">
        <v>1.7818487512104499E-6</v>
      </c>
      <c r="DM30" s="5">
        <v>1.3980679989580099E-7</v>
      </c>
      <c r="DN30" s="5">
        <v>1.9958581676005599E-8</v>
      </c>
      <c r="DO30" s="5">
        <v>7.7752525655255403E-9</v>
      </c>
      <c r="DP30" s="5">
        <v>1.22034340831945E-7</v>
      </c>
      <c r="DQ30" s="5">
        <v>4.3222626469433199E-8</v>
      </c>
      <c r="DR30" s="5">
        <v>6.0476796449423595E-7</v>
      </c>
      <c r="DS30" s="5">
        <v>1.1603842179281E-3</v>
      </c>
      <c r="DT30" s="5">
        <v>-2.75168502628177E-10</v>
      </c>
      <c r="DU30" s="5">
        <v>3.57165251937866E-7</v>
      </c>
      <c r="DV30" s="5">
        <v>2.1352011807653599E-6</v>
      </c>
      <c r="DW30" s="5">
        <v>3.6349767972908303E-8</v>
      </c>
      <c r="DX30" s="5">
        <v>1.9958581676005599E-8</v>
      </c>
      <c r="DY30" s="5">
        <v>5.9641903273094306E-8</v>
      </c>
      <c r="DZ30" s="5">
        <v>9.1395440450325997E-6</v>
      </c>
      <c r="EA30" s="5">
        <v>1.2899850451704501E-8</v>
      </c>
      <c r="EB30" s="5">
        <v>2.4335989789332001E-3</v>
      </c>
      <c r="EC30" s="5">
        <v>1.02612832963974E-3</v>
      </c>
      <c r="ED30" s="5">
        <v>7.20061732981569E-6</v>
      </c>
      <c r="EE30" s="5">
        <v>1.08810238560127E-5</v>
      </c>
      <c r="EF30" s="5">
        <v>3.37758023028724E-6</v>
      </c>
      <c r="EG30" s="5">
        <v>2.9414702696290301E-7</v>
      </c>
      <c r="EH30" s="5">
        <v>1.71785235748563E-6</v>
      </c>
      <c r="EI30" s="5">
        <v>5.2203510588699597E-6</v>
      </c>
      <c r="EJ30" s="5">
        <v>6.9304759457446805E-7</v>
      </c>
      <c r="EK30" s="5">
        <v>6.5074712436867497E-5</v>
      </c>
      <c r="EL30" s="5">
        <v>1.2405562738436201E-7</v>
      </c>
      <c r="EM30" s="5">
        <v>1.43752035272034E-6</v>
      </c>
      <c r="EN30" s="5">
        <v>6.5042405495041404E-4</v>
      </c>
      <c r="EO30" s="5">
        <v>1.3706658536629299E-4</v>
      </c>
      <c r="EP30" s="5">
        <v>2.02627790433736E-6</v>
      </c>
      <c r="EQ30" s="5">
        <v>9.3110000566004705E-8</v>
      </c>
      <c r="ER30" s="5">
        <v>3.27187866280788E-6</v>
      </c>
      <c r="ES30" s="5">
        <v>2.2907806762236201E-8</v>
      </c>
      <c r="ET30" s="5">
        <v>2.6731470316006599E-3</v>
      </c>
      <c r="EU30" s="5">
        <v>2.5118204525176E-5</v>
      </c>
      <c r="EV30" s="5">
        <v>1.13685398143907E-6</v>
      </c>
      <c r="EW30" s="5">
        <v>9.0056795748327298E-7</v>
      </c>
      <c r="EX30" s="5">
        <v>7.0042004051118095E-7</v>
      </c>
      <c r="EY30" s="5">
        <v>9.1223936932010403E-7</v>
      </c>
      <c r="EZ30" s="5">
        <v>2.29926499020439E-9</v>
      </c>
      <c r="FA30" s="5">
        <v>1.7181E-8</v>
      </c>
      <c r="FB30" s="5">
        <v>1.9272845624900999E-8</v>
      </c>
      <c r="FC30" s="5">
        <v>8.8436211004003305E-4</v>
      </c>
      <c r="FD30" s="5">
        <v>2.76782974497444E-4</v>
      </c>
      <c r="FE30" s="5">
        <v>5.5349436221809197E-6</v>
      </c>
      <c r="FF30" s="5">
        <v>1.16896283175333E-7</v>
      </c>
      <c r="FG30" s="5">
        <v>-9.7956769004478894E-10</v>
      </c>
      <c r="FH30" s="5">
        <v>1.0506626170638201E-6</v>
      </c>
      <c r="FI30" s="5">
        <v>9.1023749758061001E-8</v>
      </c>
      <c r="FJ30" s="5">
        <v>1.24078534907524E-7</v>
      </c>
      <c r="FK30" s="5">
        <v>1.82397865191964E-9</v>
      </c>
      <c r="FL30" s="5">
        <v>7.2628081877904198E-8</v>
      </c>
      <c r="FM30" s="5">
        <v>1.4741020949562299E-8</v>
      </c>
      <c r="FN30" s="5">
        <v>7.4218562206516801E-5</v>
      </c>
      <c r="FO30" s="5">
        <v>4.8640413649468702E-6</v>
      </c>
      <c r="FP30" s="5">
        <v>6.5802071810977404E-8</v>
      </c>
      <c r="FQ30" s="5">
        <v>1.22413339563057E-8</v>
      </c>
      <c r="FR30" s="5">
        <v>5.42874659152966E-7</v>
      </c>
      <c r="FS30" s="5">
        <v>1.5548804999999999E-6</v>
      </c>
      <c r="FT30" s="5">
        <v>3.07332751000931E-9</v>
      </c>
      <c r="FU30" s="5">
        <v>1.6453448041868698E-5</v>
      </c>
      <c r="FV30" s="5">
        <v>2.7183754036676899E-8</v>
      </c>
      <c r="FW30" s="5">
        <v>9.2506003663725902E-13</v>
      </c>
      <c r="FX30" s="5">
        <v>4.8882157169940102E-9</v>
      </c>
      <c r="FY30" s="5">
        <v>8.0855552700354603E-8</v>
      </c>
      <c r="FZ30" s="5">
        <v>1.65079721352504E-6</v>
      </c>
      <c r="GA30" s="5">
        <v>1.6773557296906699E-7</v>
      </c>
      <c r="GB30" s="5">
        <v>1.31219645358937E-8</v>
      </c>
      <c r="GC30" s="5">
        <v>8.7399069034971398E-7</v>
      </c>
      <c r="GD30" s="5">
        <v>1.0117105828544999E-9</v>
      </c>
      <c r="GE30" s="5">
        <v>1.2774634720410101E-7</v>
      </c>
      <c r="GF30" s="5">
        <v>2.6727182228573499E-6</v>
      </c>
      <c r="GG30" s="5">
        <v>1.15833979386595E-7</v>
      </c>
      <c r="GH30" s="5">
        <v>2.0187637747528799E-8</v>
      </c>
      <c r="GI30" s="5">
        <v>8.7399069034971398E-7</v>
      </c>
      <c r="GJ30" s="5">
        <v>1.0117105828544999E-9</v>
      </c>
      <c r="GK30" s="5">
        <v>1.4456145670072E-7</v>
      </c>
      <c r="GL30" s="5">
        <v>6.9304759457446797E-8</v>
      </c>
      <c r="GM30" s="5">
        <v>1.46212486486587E-5</v>
      </c>
      <c r="GN30" s="5">
        <v>5.4667795245640203E-6</v>
      </c>
      <c r="GO30" s="5">
        <v>5.7555114188301299E-8</v>
      </c>
      <c r="GP30" s="5">
        <v>1.6375065691626699E-6</v>
      </c>
      <c r="GQ30" s="5">
        <v>1.31288520087824E-8</v>
      </c>
      <c r="GR30" s="5">
        <v>8.0272125785636405E-9</v>
      </c>
      <c r="GS30" s="5">
        <v>9.1237003803394797E-4</v>
      </c>
      <c r="GT30" s="5">
        <v>3.8593521904925901E-5</v>
      </c>
      <c r="GU30" s="5">
        <v>9.4679065901170695E-8</v>
      </c>
      <c r="GV30" s="5">
        <v>-2.7516850262817802E-9</v>
      </c>
      <c r="GW30" s="5">
        <v>6.9643922045373097E-7</v>
      </c>
      <c r="GX30" s="5">
        <v>3.4866724483596198E-7</v>
      </c>
      <c r="GY30" s="5">
        <v>1.3980679989580099E-7</v>
      </c>
      <c r="GZ30" s="5">
        <v>3.4233539964651799E-9</v>
      </c>
      <c r="HA30" s="5">
        <v>7.2628081877904198E-8</v>
      </c>
      <c r="HB30" s="5">
        <v>2.7703016572545199E-8</v>
      </c>
      <c r="HC30" s="5">
        <v>3.0279019757909799E-5</v>
      </c>
      <c r="HD30" s="5">
        <v>6.6870995406196104E-8</v>
      </c>
      <c r="HE30" s="5">
        <v>-3.8133170791029501E-11</v>
      </c>
      <c r="HF30" s="5">
        <v>2.84810290917005E-9</v>
      </c>
      <c r="HG30" s="5">
        <v>5.2358874054783504E-9</v>
      </c>
      <c r="HH30" s="5">
        <v>3.0794895047333301E-4</v>
      </c>
      <c r="HI30" s="5">
        <v>-3.5384430845358401E-6</v>
      </c>
      <c r="HJ30" s="5">
        <v>5.7555114188301299E-8</v>
      </c>
      <c r="HK30" s="5">
        <v>1.0506626170638201E-6</v>
      </c>
      <c r="HL30" s="5">
        <v>1.71167699823259E-9</v>
      </c>
      <c r="HM30" s="5">
        <v>9.9047350623174596E-9</v>
      </c>
      <c r="HN30" s="5">
        <v>1.55478369088852E-6</v>
      </c>
      <c r="HO30" s="5">
        <v>3.01020471696137E-9</v>
      </c>
      <c r="HP30" s="5">
        <v>1.0410435137409E-7</v>
      </c>
      <c r="HQ30" s="5">
        <v>4.2027038977431501E-10</v>
      </c>
      <c r="HR30" s="5">
        <v>1.8374716346864399E-6</v>
      </c>
      <c r="HS30" s="5">
        <v>3.5462667959832302E-9</v>
      </c>
      <c r="HT30" s="5">
        <v>1.0410435137409E-7</v>
      </c>
      <c r="HU30" s="5">
        <v>4.59150029356961E-10</v>
      </c>
      <c r="HV30" s="5">
        <v>1.5704885766550699E-7</v>
      </c>
      <c r="HW30" s="5">
        <v>1.0410435137409E-7</v>
      </c>
      <c r="HX30" s="5">
        <v>2.4994054017415201E-10</v>
      </c>
      <c r="HY30" s="5">
        <v>8.3399999999999998E-6</v>
      </c>
      <c r="HZ30" s="5">
        <v>1.7400000000000001E-6</v>
      </c>
      <c r="IA30" s="5">
        <v>2.17543615610322E-3</v>
      </c>
      <c r="IB30" s="5">
        <v>0</v>
      </c>
      <c r="IC30">
        <v>1.15E-4</v>
      </c>
      <c r="ID30">
        <f t="shared" si="1"/>
        <v>1.522805309272254E-2</v>
      </c>
      <c r="IE30">
        <f t="shared" si="3"/>
        <v>0</v>
      </c>
      <c r="IF30">
        <f t="shared" si="2"/>
        <v>8.0500000000000005E-4</v>
      </c>
      <c r="IG30" s="5">
        <v>1.6499999999999999E-8</v>
      </c>
      <c r="IH30" s="5">
        <v>9.9499999999999998E-8</v>
      </c>
      <c r="II30" s="5">
        <v>4.9399999999999995E-7</v>
      </c>
      <c r="IJ30" s="5">
        <v>1.05E-7</v>
      </c>
      <c r="IK30" s="5">
        <v>1.15E-8</v>
      </c>
      <c r="IL30">
        <v>-6.7277237096584905E-4</v>
      </c>
      <c r="IM30">
        <v>-8.2897967623757601E-3</v>
      </c>
      <c r="IN30">
        <v>-0.231102275753684</v>
      </c>
      <c r="IO30" s="5">
        <v>3.7954895327214002E-5</v>
      </c>
      <c r="IP30" s="5">
        <v>-1.75371731465169E-7</v>
      </c>
      <c r="IQ30" s="5">
        <v>-1.45877185212185E-6</v>
      </c>
      <c r="IR30" s="5">
        <v>2.47337644973304E-9</v>
      </c>
      <c r="IS30" s="5">
        <v>1.4924925383564E-8</v>
      </c>
      <c r="IT30" s="5">
        <v>3.5542525265445702E-7</v>
      </c>
      <c r="IU30" s="5">
        <v>2.7193886247786501E-8</v>
      </c>
      <c r="IV30" s="5">
        <v>1.0314979589771799E-8</v>
      </c>
      <c r="IW30" s="5">
        <v>3.8100011881696798E-7</v>
      </c>
      <c r="IX30" s="5">
        <v>2.2949334374000701E-6</v>
      </c>
      <c r="IY30" s="5">
        <v>3.4746717072030801E-7</v>
      </c>
      <c r="IZ30" s="5">
        <v>1.32893835792279E-7</v>
      </c>
    </row>
    <row r="31" spans="1:260" x14ac:dyDescent="0.3">
      <c r="A31" t="s">
        <v>146</v>
      </c>
      <c r="B31">
        <v>2.0621140490043102</v>
      </c>
      <c r="C31">
        <v>1.1295719357144501E-2</v>
      </c>
      <c r="D31">
        <v>4.9043775980977004E-4</v>
      </c>
      <c r="E31">
        <v>0.72769445956738199</v>
      </c>
      <c r="F31">
        <v>0.21132225224632201</v>
      </c>
      <c r="G31">
        <v>1.3584607258471999</v>
      </c>
      <c r="H31">
        <v>7.0113823893958004E-3</v>
      </c>
      <c r="I31">
        <v>131.5442808</v>
      </c>
      <c r="J31">
        <v>121.357807777677</v>
      </c>
      <c r="K31">
        <v>5.0242849016324904E-4</v>
      </c>
      <c r="L31">
        <v>31009.991735</v>
      </c>
      <c r="M31">
        <v>182.036711666515</v>
      </c>
      <c r="N31">
        <v>2.8227145705708199E-2</v>
      </c>
      <c r="O31">
        <v>66.267171140000002</v>
      </c>
      <c r="P31">
        <v>121.357807777677</v>
      </c>
      <c r="Q31" s="5">
        <v>5.1678358988219196E-4</v>
      </c>
      <c r="R31">
        <v>134.829457842577</v>
      </c>
      <c r="S31">
        <v>5.105543095312</v>
      </c>
      <c r="T31" s="5">
        <v>2.4568532011984001E-3</v>
      </c>
      <c r="U31">
        <v>121.357807777677</v>
      </c>
      <c r="V31">
        <v>6745.3640150000001</v>
      </c>
      <c r="W31">
        <v>1.8196973765930699E-2</v>
      </c>
      <c r="X31">
        <v>121.357807777677</v>
      </c>
      <c r="Y31">
        <v>20.285574189999998</v>
      </c>
      <c r="Z31" s="5">
        <v>3.0719913398552197E-4</v>
      </c>
      <c r="AA31">
        <v>121.357807777677</v>
      </c>
      <c r="AB31">
        <v>1.6343381422600001</v>
      </c>
      <c r="AC31" s="5">
        <v>5.1506476856648699E-3</v>
      </c>
      <c r="AD31">
        <v>1.28769814029896</v>
      </c>
      <c r="AE31">
        <v>65.9851313281372</v>
      </c>
      <c r="AF31" s="5">
        <v>4.8543123111070702E-2</v>
      </c>
      <c r="AG31">
        <v>121.357807777677</v>
      </c>
      <c r="AH31">
        <v>263.08856159999999</v>
      </c>
      <c r="AI31">
        <v>5.0242849016324904E-4</v>
      </c>
      <c r="AJ31">
        <v>2.8722576116460901</v>
      </c>
      <c r="AK31">
        <v>0.15238571557139799</v>
      </c>
      <c r="AL31">
        <v>9.9812503907381594E-3</v>
      </c>
      <c r="AM31">
        <v>7.5262357482397402E-4</v>
      </c>
      <c r="AN31">
        <v>1.0010796975E-3</v>
      </c>
      <c r="AO31">
        <v>2.70777646324547E-2</v>
      </c>
      <c r="AP31">
        <v>9.9979184768167197</v>
      </c>
      <c r="AQ31">
        <v>0.25897720121133699</v>
      </c>
      <c r="AR31">
        <v>0.474827126029993</v>
      </c>
      <c r="AS31">
        <v>0.712044921816402</v>
      </c>
      <c r="AT31">
        <v>0.169409384430423</v>
      </c>
      <c r="AU31">
        <v>-3.7463538374289101E-3</v>
      </c>
      <c r="AV31">
        <v>6.5726120211501801E-2</v>
      </c>
      <c r="AW31">
        <v>0.57747372152144405</v>
      </c>
      <c r="AX31">
        <v>3.13037068834376E-3</v>
      </c>
      <c r="AY31">
        <v>3.61E-2</v>
      </c>
      <c r="AZ31">
        <v>2.41E-2</v>
      </c>
      <c r="BA31" s="5">
        <v>7.4599999999999996E-3</v>
      </c>
      <c r="BB31">
        <v>0.11600000000000001</v>
      </c>
      <c r="BC31">
        <v>20.2</v>
      </c>
      <c r="BD31">
        <v>2.0200000000000001E-3</v>
      </c>
      <c r="BE31">
        <v>0.23505150098767499</v>
      </c>
      <c r="BF31">
        <v>15.171574031394</v>
      </c>
      <c r="BG31" s="5">
        <v>3.7443890359344297E-5</v>
      </c>
      <c r="BH31">
        <v>1.09869917764021</v>
      </c>
      <c r="BI31">
        <v>0.12604210922527501</v>
      </c>
      <c r="BJ31" s="5">
        <v>97.098073800921796</v>
      </c>
      <c r="BK31">
        <v>91.639050750500004</v>
      </c>
      <c r="BL31">
        <v>3.85006187084036E-3</v>
      </c>
      <c r="BM31">
        <v>3.8543173925968101E-2</v>
      </c>
      <c r="BN31">
        <v>0.132281194521854</v>
      </c>
      <c r="BO31">
        <v>20.228765375279</v>
      </c>
      <c r="BP31" s="5">
        <v>54.382518642100003</v>
      </c>
      <c r="BQ31">
        <v>6.9290498139198302E-4</v>
      </c>
      <c r="BR31">
        <v>7.9353593376991199E-3</v>
      </c>
      <c r="BS31">
        <v>3.4008682875854598E-3</v>
      </c>
      <c r="BT31">
        <v>0.95199999999999996</v>
      </c>
      <c r="BU31">
        <v>88</v>
      </c>
      <c r="BV31" s="5">
        <v>119</v>
      </c>
      <c r="BW31">
        <v>2.9199999999999999E-3</v>
      </c>
      <c r="BX31">
        <v>2.8299999999999999E-2</v>
      </c>
      <c r="BY31">
        <v>0.93362099274104104</v>
      </c>
      <c r="BZ31">
        <v>97.098073800921796</v>
      </c>
      <c r="CA31" s="5">
        <v>220.83508951350001</v>
      </c>
      <c r="CB31">
        <v>3.4770705403278099E-3</v>
      </c>
      <c r="CC31">
        <v>5.6681138126422597E-3</v>
      </c>
      <c r="CD31">
        <v>9.06898210022755E-3</v>
      </c>
      <c r="CE31">
        <v>1.19271721672187</v>
      </c>
      <c r="CF31">
        <v>97.098073800921796</v>
      </c>
      <c r="CG31" s="5">
        <v>214.82597143149999</v>
      </c>
      <c r="CH31">
        <v>3.8129074950971598E-3</v>
      </c>
      <c r="CI31">
        <v>6.8017365751709101E-3</v>
      </c>
      <c r="CJ31">
        <v>2.4939700775625399E-2</v>
      </c>
      <c r="CK31">
        <v>2.2063363774592601E-2</v>
      </c>
      <c r="CL31">
        <v>0.488077045369607</v>
      </c>
      <c r="CM31" s="5">
        <v>0.32456537728631901</v>
      </c>
      <c r="CN31">
        <v>1.52421739996258E-2</v>
      </c>
      <c r="CO31">
        <v>0.457456661339955</v>
      </c>
      <c r="CP31">
        <v>-1.1422449046364E-3</v>
      </c>
      <c r="CQ31">
        <v>1.7491728201237001E-2</v>
      </c>
      <c r="CR31">
        <v>3.9549969948795698</v>
      </c>
      <c r="CS31">
        <v>0.30834173517821101</v>
      </c>
      <c r="CT31">
        <v>0.51314845755451099</v>
      </c>
      <c r="CU31">
        <v>1.1833380036167199E-3</v>
      </c>
      <c r="CV31">
        <v>2.3235597155690302</v>
      </c>
      <c r="CW31">
        <v>14.121449253496101</v>
      </c>
      <c r="CX31" s="5">
        <v>1291.51099571691</v>
      </c>
      <c r="CY31">
        <v>7.58770009311257</v>
      </c>
      <c r="CZ31">
        <v>7.0020074971978699E-3</v>
      </c>
      <c r="DA31">
        <v>5.4747577445023099</v>
      </c>
      <c r="DB31">
        <v>9.9931894408314098E-2</v>
      </c>
      <c r="DC31" s="5">
        <v>-6.4811921387523299E-5</v>
      </c>
      <c r="DD31">
        <v>0.132479026519318</v>
      </c>
      <c r="DE31">
        <v>1.2519509018814399E-4</v>
      </c>
      <c r="DF31">
        <v>7.6714426288113698E-3</v>
      </c>
      <c r="DG31">
        <v>9.06898210022755E-3</v>
      </c>
      <c r="DH31">
        <v>5.71641697796266E-2</v>
      </c>
      <c r="DI31">
        <v>54.286216344149601</v>
      </c>
      <c r="DJ31" s="5">
        <v>0.58167049951198802</v>
      </c>
      <c r="DK31">
        <v>0.32444434135481998</v>
      </c>
      <c r="DL31">
        <v>8.6217418352573905E-2</v>
      </c>
      <c r="DM31">
        <v>2.05561156785474</v>
      </c>
      <c r="DN31">
        <v>2.6957762467178101</v>
      </c>
      <c r="DO31">
        <v>1.5773140774823799E-3</v>
      </c>
      <c r="DP31">
        <v>1.2722086937143599E-2</v>
      </c>
      <c r="DQ31">
        <v>4.3200166558669699E-2</v>
      </c>
      <c r="DR31">
        <v>1.3353650490894</v>
      </c>
      <c r="DS31" s="5">
        <v>19.176458850941302</v>
      </c>
      <c r="DT31">
        <v>-7.6149660309091799E-4</v>
      </c>
      <c r="DU31">
        <v>1.7281975210528398E-2</v>
      </c>
      <c r="DV31">
        <v>4.7146561937238003</v>
      </c>
      <c r="DW31">
        <v>0.53445900764223297</v>
      </c>
      <c r="DX31">
        <v>2.6957762467178101</v>
      </c>
      <c r="DY31">
        <v>6.2176717911057201E-3</v>
      </c>
      <c r="DZ31">
        <v>30.392889376440198</v>
      </c>
      <c r="EA31">
        <v>4.2897514998504097E-2</v>
      </c>
      <c r="EB31" s="5">
        <v>47.1646422453341</v>
      </c>
      <c r="EC31">
        <v>25.081581947120899</v>
      </c>
      <c r="ED31">
        <v>0.693289629745095</v>
      </c>
      <c r="EE31">
        <v>36.184053901238201</v>
      </c>
      <c r="EF31">
        <v>0.16370207729057601</v>
      </c>
      <c r="EG31">
        <v>4.1698368357510596</v>
      </c>
      <c r="EH31">
        <v>337.073644606443</v>
      </c>
      <c r="EI31">
        <v>0.20619343959622699</v>
      </c>
      <c r="EJ31">
        <v>6.8017365751707401E-2</v>
      </c>
      <c r="EK31">
        <v>3.1539933557982902</v>
      </c>
      <c r="EL31">
        <v>0.13585328982157599</v>
      </c>
      <c r="EM31">
        <v>1.4367733694506899</v>
      </c>
      <c r="EN31" s="5">
        <v>10.239960920047499</v>
      </c>
      <c r="EO31">
        <v>1.03607648813656E-3</v>
      </c>
      <c r="EP31">
        <v>9.8044488713285596E-2</v>
      </c>
      <c r="EQ31">
        <v>1.36901777588136</v>
      </c>
      <c r="ER31">
        <v>240.51775080457699</v>
      </c>
      <c r="ES31">
        <v>2.38814015122019E-3</v>
      </c>
      <c r="ET31">
        <v>36.1846842638843</v>
      </c>
      <c r="EU31">
        <v>13.156873466986299</v>
      </c>
      <c r="EV31" s="5">
        <v>1.13626323439151</v>
      </c>
      <c r="EW31">
        <v>4.3575328317018602E-2</v>
      </c>
      <c r="EX31">
        <v>1.5465707456290501</v>
      </c>
      <c r="EY31">
        <v>13.412865480252201</v>
      </c>
      <c r="EZ31">
        <v>3.0428446513816299E-3</v>
      </c>
      <c r="FA31">
        <v>0.60091180820000001</v>
      </c>
      <c r="FB31">
        <v>2.00919524696577E-3</v>
      </c>
      <c r="FC31">
        <v>14.2687434049021</v>
      </c>
      <c r="FD31">
        <v>3.5920005740915699</v>
      </c>
      <c r="FE31" s="5">
        <v>4.73772007305229E-2</v>
      </c>
      <c r="FF31">
        <v>0.116835539988184</v>
      </c>
      <c r="FG31">
        <v>-2.6224476862003001E-3</v>
      </c>
      <c r="FH31">
        <v>5.0837883036519302E-2</v>
      </c>
      <c r="FI31">
        <v>0.20098606606192501</v>
      </c>
      <c r="FJ31">
        <v>1.82435526647108</v>
      </c>
      <c r="FK31">
        <v>0.24631672640281799</v>
      </c>
      <c r="FL31">
        <v>6.5011796911645903E-4</v>
      </c>
      <c r="FM31">
        <v>1.53675226812459E-3</v>
      </c>
      <c r="FN31">
        <v>0.63528519161434405</v>
      </c>
      <c r="FO31">
        <v>4.1634509732851703E-2</v>
      </c>
      <c r="FP31" s="5">
        <v>3.3489762043742198E-3</v>
      </c>
      <c r="FQ31">
        <v>0.179844616974981</v>
      </c>
      <c r="FR31">
        <v>36.447420605637397</v>
      </c>
      <c r="FS31">
        <v>54.382518642100003</v>
      </c>
      <c r="FT31">
        <v>3.2039456682523101E-4</v>
      </c>
      <c r="FU31">
        <v>1.8659124049404501</v>
      </c>
      <c r="FV31">
        <v>2.71696284561708E-2</v>
      </c>
      <c r="FW31" s="5">
        <v>1.2519509018814399E-4</v>
      </c>
      <c r="FX31">
        <v>5.0959676510029005E-4</v>
      </c>
      <c r="FY31">
        <v>7.9353593376991199E-3</v>
      </c>
      <c r="FZ31">
        <v>0.15894187153568901</v>
      </c>
      <c r="GA31">
        <v>1.4422193294492099E-3</v>
      </c>
      <c r="GB31" s="5">
        <v>0.159292944573734</v>
      </c>
      <c r="GC31">
        <v>4.2636087490515603E-2</v>
      </c>
      <c r="GD31">
        <v>0.16967536574711301</v>
      </c>
      <c r="GE31">
        <v>5.3822112911035003E-3</v>
      </c>
      <c r="GF31">
        <v>0.257334578726159</v>
      </c>
      <c r="GG31">
        <v>0.40280902692968601</v>
      </c>
      <c r="GH31" s="5">
        <v>0.24506606857497601</v>
      </c>
      <c r="GI31">
        <v>4.2636087490515603E-2</v>
      </c>
      <c r="GJ31">
        <v>0.16967536574711301</v>
      </c>
      <c r="GK31">
        <v>6.0463745293981601E-3</v>
      </c>
      <c r="GL31">
        <v>6.8017365751709101E-3</v>
      </c>
      <c r="GM31">
        <v>1.3989368808026901</v>
      </c>
      <c r="GN31">
        <v>0.25666903178529299</v>
      </c>
      <c r="GO31" s="5">
        <v>5.7525206641392303E-2</v>
      </c>
      <c r="GP31">
        <v>124.75196549157501</v>
      </c>
      <c r="GQ31">
        <v>1.36868356482235E-3</v>
      </c>
      <c r="GR31">
        <v>8.0230413725790994E-3</v>
      </c>
      <c r="GS31">
        <v>14.3989905113076</v>
      </c>
      <c r="GT31" s="5">
        <v>3.6995220178660002</v>
      </c>
      <c r="GU31">
        <v>9.4629867517245503E-2</v>
      </c>
      <c r="GV31">
        <v>-7.6149660309094399E-3</v>
      </c>
      <c r="GW31">
        <v>3.3698253898493097E-2</v>
      </c>
      <c r="GX31">
        <v>0.76987882932194995</v>
      </c>
      <c r="GY31">
        <v>2.05561156785474</v>
      </c>
      <c r="GZ31">
        <v>0.46251769869229198</v>
      </c>
      <c r="HA31">
        <v>6.5011796911645903E-4</v>
      </c>
      <c r="HB31">
        <v>2.8880410452857799E-3</v>
      </c>
      <c r="HC31">
        <v>2.89704651577813</v>
      </c>
      <c r="HD31">
        <v>6.6836247018321804E-2</v>
      </c>
      <c r="HE31" s="5">
        <v>-1.02088142069944E-4</v>
      </c>
      <c r="HF31">
        <v>0.38453172425207799</v>
      </c>
      <c r="HG31">
        <v>5.4584155829808705E-4</v>
      </c>
      <c r="HH31">
        <v>12.032027214383101</v>
      </c>
      <c r="HI31">
        <v>0.76666697778659898</v>
      </c>
      <c r="HJ31" s="5">
        <v>5.7525206641392303E-2</v>
      </c>
      <c r="HK31">
        <v>5.0837883036519302E-2</v>
      </c>
      <c r="HL31">
        <v>0.23125884934614599</v>
      </c>
      <c r="HM31">
        <v>1.03256919071411E-3</v>
      </c>
      <c r="HN31">
        <v>0.14875913125621301</v>
      </c>
      <c r="HO31">
        <v>3.0086405147171898E-3</v>
      </c>
      <c r="HP31" s="5">
        <v>15.171574031394</v>
      </c>
      <c r="HQ31" s="5">
        <v>4.3813211915317497E-5</v>
      </c>
      <c r="HR31">
        <v>0.175806246030078</v>
      </c>
      <c r="HS31">
        <v>3.2782222400485998E-3</v>
      </c>
      <c r="HT31" s="5">
        <v>15.171574031394</v>
      </c>
      <c r="HU31" s="5">
        <v>4.7866416541845902E-5</v>
      </c>
      <c r="HV31">
        <v>1.50261748743663E-2</v>
      </c>
      <c r="HW31">
        <v>15.171574031394</v>
      </c>
      <c r="HX31" s="5">
        <v>2.6056315456245299E-5</v>
      </c>
      <c r="HY31" s="5">
        <v>1350</v>
      </c>
      <c r="HZ31">
        <v>0.182</v>
      </c>
      <c r="IA31" s="5">
        <v>85.925382908222701</v>
      </c>
      <c r="IB31">
        <v>0</v>
      </c>
      <c r="IC31">
        <v>17.7</v>
      </c>
      <c r="ID31">
        <f t="shared" si="1"/>
        <v>601.47768035755894</v>
      </c>
      <c r="IE31">
        <f t="shared" si="3"/>
        <v>0</v>
      </c>
      <c r="IF31">
        <f t="shared" si="2"/>
        <v>123.89999999999999</v>
      </c>
      <c r="IG31">
        <v>1.8700000000000001E-2</v>
      </c>
      <c r="IH31">
        <v>0.113</v>
      </c>
      <c r="II31">
        <v>0.13100000000000001</v>
      </c>
      <c r="IJ31">
        <v>-1.8800000000000001E-2</v>
      </c>
      <c r="IK31">
        <v>1.2E-2</v>
      </c>
      <c r="IL31">
        <v>-28.771004099949799</v>
      </c>
      <c r="IM31">
        <v>-84.854453112944597</v>
      </c>
      <c r="IN31">
        <v>-13426.5583261516</v>
      </c>
      <c r="IO31">
        <v>-51.937242521518101</v>
      </c>
      <c r="IP31">
        <v>0.25085034079533802</v>
      </c>
      <c r="IQ31">
        <v>1.3405261329435001</v>
      </c>
      <c r="IR31">
        <v>2.8074483939531602E-3</v>
      </c>
      <c r="IS31">
        <v>1.69330109347718E-2</v>
      </c>
      <c r="IT31">
        <v>9.4185568405535505E-2</v>
      </c>
      <c r="IU31">
        <v>-4.8619153576257004E-3</v>
      </c>
      <c r="IV31">
        <v>1.07472804294295E-2</v>
      </c>
      <c r="IW31">
        <v>5.89683007426203E-2</v>
      </c>
      <c r="IX31">
        <v>0.355192343617034</v>
      </c>
      <c r="IY31">
        <v>6.4267460726469494E-2</v>
      </c>
      <c r="IZ31">
        <v>0.85395938193704901</v>
      </c>
    </row>
    <row r="36" spans="1:261" x14ac:dyDescent="0.3">
      <c r="A36" t="s">
        <v>0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2</v>
      </c>
      <c r="M36" t="s">
        <v>2</v>
      </c>
      <c r="N36" t="s">
        <v>2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2</v>
      </c>
      <c r="V36" t="s">
        <v>2</v>
      </c>
      <c r="W36" t="s">
        <v>2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2</v>
      </c>
      <c r="AH36" t="s">
        <v>2</v>
      </c>
      <c r="AI36" t="s">
        <v>2</v>
      </c>
      <c r="AJ36" t="s">
        <v>3</v>
      </c>
      <c r="AK36" t="s">
        <v>3</v>
      </c>
      <c r="AL36" t="s">
        <v>3</v>
      </c>
      <c r="AM36" t="s">
        <v>3</v>
      </c>
      <c r="AN36" t="s">
        <v>3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4</v>
      </c>
      <c r="HZ36" t="s">
        <v>4</v>
      </c>
      <c r="IA36" t="s">
        <v>147</v>
      </c>
      <c r="IB36" t="s">
        <v>147</v>
      </c>
      <c r="IC36" t="s">
        <v>147</v>
      </c>
      <c r="ID36" t="s">
        <v>6</v>
      </c>
      <c r="IE36" t="s">
        <v>6</v>
      </c>
      <c r="IF36" t="s">
        <v>6</v>
      </c>
      <c r="IG36" t="s">
        <v>7</v>
      </c>
      <c r="IH36" t="s">
        <v>7</v>
      </c>
      <c r="II36" t="s">
        <v>7</v>
      </c>
      <c r="IJ36" t="s">
        <v>7</v>
      </c>
      <c r="IK36" t="s">
        <v>7</v>
      </c>
      <c r="IL36" t="s">
        <v>7</v>
      </c>
      <c r="IM36" t="s">
        <v>7</v>
      </c>
      <c r="IN36" t="s">
        <v>7</v>
      </c>
      <c r="IO36" t="s">
        <v>7</v>
      </c>
      <c r="IP36" t="s">
        <v>7</v>
      </c>
      <c r="IQ36" t="s">
        <v>7</v>
      </c>
      <c r="IR36" t="s">
        <v>7</v>
      </c>
      <c r="IS36" t="s">
        <v>7</v>
      </c>
      <c r="IT36" t="s">
        <v>7</v>
      </c>
      <c r="IU36" t="s">
        <v>7</v>
      </c>
      <c r="IV36" t="s">
        <v>7</v>
      </c>
      <c r="IW36" t="s">
        <v>7</v>
      </c>
      <c r="IX36" t="s">
        <v>7</v>
      </c>
      <c r="IY36" t="s">
        <v>7</v>
      </c>
      <c r="IZ36" t="s">
        <v>7</v>
      </c>
    </row>
    <row r="37" spans="1:261" x14ac:dyDescent="0.3">
      <c r="A37" t="s">
        <v>8</v>
      </c>
      <c r="B37" t="s">
        <v>9</v>
      </c>
      <c r="C37" t="s">
        <v>9</v>
      </c>
      <c r="D37" t="s">
        <v>9</v>
      </c>
      <c r="E37" t="s">
        <v>10</v>
      </c>
      <c r="F37" t="s">
        <v>10</v>
      </c>
      <c r="G37" t="s">
        <v>10</v>
      </c>
      <c r="H37" t="s">
        <v>10</v>
      </c>
      <c r="I37" t="s">
        <v>11</v>
      </c>
      <c r="J37" t="s">
        <v>11</v>
      </c>
      <c r="K37" t="s">
        <v>11</v>
      </c>
      <c r="L37" t="s">
        <v>12</v>
      </c>
      <c r="M37" t="s">
        <v>12</v>
      </c>
      <c r="N37" t="s">
        <v>12</v>
      </c>
      <c r="O37" t="s">
        <v>13</v>
      </c>
      <c r="P37" t="s">
        <v>13</v>
      </c>
      <c r="Q37" t="s">
        <v>13</v>
      </c>
      <c r="R37" t="s">
        <v>14</v>
      </c>
      <c r="S37" t="s">
        <v>14</v>
      </c>
      <c r="T37" t="s">
        <v>14</v>
      </c>
      <c r="U37" t="s">
        <v>15</v>
      </c>
      <c r="V37" t="s">
        <v>15</v>
      </c>
      <c r="W37" t="s">
        <v>15</v>
      </c>
      <c r="X37" t="s">
        <v>16</v>
      </c>
      <c r="Y37" t="s">
        <v>16</v>
      </c>
      <c r="Z37" t="s">
        <v>16</v>
      </c>
      <c r="AA37" t="s">
        <v>17</v>
      </c>
      <c r="AB37" t="s">
        <v>17</v>
      </c>
      <c r="AC37" t="s">
        <v>17</v>
      </c>
      <c r="AD37" t="s">
        <v>18</v>
      </c>
      <c r="AE37" t="s">
        <v>18</v>
      </c>
      <c r="AF37" t="s">
        <v>18</v>
      </c>
      <c r="AG37" t="s">
        <v>19</v>
      </c>
      <c r="AH37" t="s">
        <v>19</v>
      </c>
      <c r="AI37" t="s">
        <v>19</v>
      </c>
      <c r="AJ37" t="s">
        <v>3</v>
      </c>
      <c r="AK37" t="s">
        <v>3</v>
      </c>
      <c r="AL37" t="s">
        <v>3</v>
      </c>
      <c r="AM37" t="s">
        <v>3</v>
      </c>
      <c r="AN37" t="s">
        <v>3</v>
      </c>
      <c r="AO37" t="s">
        <v>20</v>
      </c>
      <c r="AP37" t="s">
        <v>20</v>
      </c>
      <c r="AQ37" t="s">
        <v>20</v>
      </c>
      <c r="AR37" t="s">
        <v>20</v>
      </c>
      <c r="AS37" t="s">
        <v>20</v>
      </c>
      <c r="AT37" t="s">
        <v>20</v>
      </c>
      <c r="AU37" t="s">
        <v>20</v>
      </c>
      <c r="AV37" t="s">
        <v>20</v>
      </c>
      <c r="AW37" t="s">
        <v>20</v>
      </c>
      <c r="AX37" t="s">
        <v>20</v>
      </c>
      <c r="AY37" t="s">
        <v>21</v>
      </c>
      <c r="AZ37" t="s">
        <v>21</v>
      </c>
      <c r="BA37" t="s">
        <v>21</v>
      </c>
      <c r="BB37" t="s">
        <v>21</v>
      </c>
      <c r="BC37" t="s">
        <v>21</v>
      </c>
      <c r="BD37" t="s">
        <v>21</v>
      </c>
      <c r="BE37" t="s">
        <v>22</v>
      </c>
      <c r="BF37" t="s">
        <v>22</v>
      </c>
      <c r="BG37" t="s">
        <v>22</v>
      </c>
      <c r="BH37" t="s">
        <v>23</v>
      </c>
      <c r="BI37" t="s">
        <v>23</v>
      </c>
      <c r="BJ37" t="s">
        <v>23</v>
      </c>
      <c r="BK37" t="s">
        <v>23</v>
      </c>
      <c r="BL37" t="s">
        <v>23</v>
      </c>
      <c r="BM37" t="s">
        <v>23</v>
      </c>
      <c r="BN37" t="s">
        <v>24</v>
      </c>
      <c r="BO37" t="s">
        <v>24</v>
      </c>
      <c r="BP37" t="s">
        <v>24</v>
      </c>
      <c r="BQ37" t="s">
        <v>24</v>
      </c>
      <c r="BR37" t="s">
        <v>24</v>
      </c>
      <c r="BS37" t="s">
        <v>24</v>
      </c>
      <c r="BT37" t="s">
        <v>25</v>
      </c>
      <c r="BU37" t="s">
        <v>25</v>
      </c>
      <c r="BV37" t="s">
        <v>25</v>
      </c>
      <c r="BW37" t="s">
        <v>25</v>
      </c>
      <c r="BX37" t="s">
        <v>25</v>
      </c>
      <c r="BY37" t="s">
        <v>26</v>
      </c>
      <c r="BZ37" t="s">
        <v>26</v>
      </c>
      <c r="CA37" t="s">
        <v>26</v>
      </c>
      <c r="CB37" t="s">
        <v>26</v>
      </c>
      <c r="CC37" t="s">
        <v>26</v>
      </c>
      <c r="CD37" t="s">
        <v>26</v>
      </c>
      <c r="CE37" t="s">
        <v>27</v>
      </c>
      <c r="CF37" t="s">
        <v>27</v>
      </c>
      <c r="CG37" t="s">
        <v>27</v>
      </c>
      <c r="CH37" t="s">
        <v>27</v>
      </c>
      <c r="CI37" t="s">
        <v>27</v>
      </c>
      <c r="CJ37" t="s">
        <v>27</v>
      </c>
      <c r="CK37" t="s">
        <v>28</v>
      </c>
      <c r="CL37" t="s">
        <v>28</v>
      </c>
      <c r="CM37" t="s">
        <v>28</v>
      </c>
      <c r="CN37" t="s">
        <v>28</v>
      </c>
      <c r="CO37" t="s">
        <v>28</v>
      </c>
      <c r="CP37" t="s">
        <v>28</v>
      </c>
      <c r="CQ37" t="s">
        <v>28</v>
      </c>
      <c r="CR37" t="s">
        <v>28</v>
      </c>
      <c r="CS37" t="s">
        <v>28</v>
      </c>
      <c r="CT37" t="s">
        <v>28</v>
      </c>
      <c r="CU37" t="s">
        <v>28</v>
      </c>
      <c r="CV37" t="s">
        <v>29</v>
      </c>
      <c r="CW37" t="s">
        <v>29</v>
      </c>
      <c r="CX37" t="s">
        <v>29</v>
      </c>
      <c r="CY37" t="s">
        <v>29</v>
      </c>
      <c r="CZ37" t="s">
        <v>29</v>
      </c>
      <c r="DA37" t="s">
        <v>30</v>
      </c>
      <c r="DB37" t="s">
        <v>30</v>
      </c>
      <c r="DC37" t="s">
        <v>30</v>
      </c>
      <c r="DD37" t="s">
        <v>30</v>
      </c>
      <c r="DE37" t="s">
        <v>30</v>
      </c>
      <c r="DF37" t="s">
        <v>30</v>
      </c>
      <c r="DG37" t="s">
        <v>30</v>
      </c>
      <c r="DH37" t="s">
        <v>31</v>
      </c>
      <c r="DI37" t="s">
        <v>31</v>
      </c>
      <c r="DJ37" t="s">
        <v>31</v>
      </c>
      <c r="DK37" t="s">
        <v>31</v>
      </c>
      <c r="DL37" t="s">
        <v>31</v>
      </c>
      <c r="DM37" t="s">
        <v>31</v>
      </c>
      <c r="DN37" t="s">
        <v>31</v>
      </c>
      <c r="DO37" t="s">
        <v>31</v>
      </c>
      <c r="DP37" t="s">
        <v>31</v>
      </c>
      <c r="DQ37" t="s">
        <v>32</v>
      </c>
      <c r="DR37" t="s">
        <v>32</v>
      </c>
      <c r="DS37" t="s">
        <v>32</v>
      </c>
      <c r="DT37" t="s">
        <v>32</v>
      </c>
      <c r="DU37" t="s">
        <v>32</v>
      </c>
      <c r="DV37" t="s">
        <v>32</v>
      </c>
      <c r="DW37" t="s">
        <v>32</v>
      </c>
      <c r="DX37" t="s">
        <v>32</v>
      </c>
      <c r="DY37" t="s">
        <v>32</v>
      </c>
      <c r="DZ37" t="s">
        <v>33</v>
      </c>
      <c r="EA37" t="s">
        <v>33</v>
      </c>
      <c r="EB37" t="s">
        <v>33</v>
      </c>
      <c r="EC37" t="s">
        <v>33</v>
      </c>
      <c r="ED37" t="s">
        <v>33</v>
      </c>
      <c r="EE37" t="s">
        <v>33</v>
      </c>
      <c r="EF37" t="s">
        <v>33</v>
      </c>
      <c r="EG37" t="s">
        <v>33</v>
      </c>
      <c r="EH37" t="s">
        <v>33</v>
      </c>
      <c r="EI37" t="s">
        <v>33</v>
      </c>
      <c r="EJ37" t="s">
        <v>34</v>
      </c>
      <c r="EK37" t="s">
        <v>34</v>
      </c>
      <c r="EL37" t="s">
        <v>35</v>
      </c>
      <c r="EM37" t="s">
        <v>35</v>
      </c>
      <c r="EN37" t="s">
        <v>35</v>
      </c>
      <c r="EO37" t="s">
        <v>35</v>
      </c>
      <c r="EP37" t="s">
        <v>35</v>
      </c>
      <c r="EQ37" t="s">
        <v>35</v>
      </c>
      <c r="ER37" t="s">
        <v>35</v>
      </c>
      <c r="ES37" t="s">
        <v>35</v>
      </c>
      <c r="ET37" t="s">
        <v>36</v>
      </c>
      <c r="EU37" t="s">
        <v>36</v>
      </c>
      <c r="EV37" t="s">
        <v>36</v>
      </c>
      <c r="EW37" t="s">
        <v>36</v>
      </c>
      <c r="EX37" t="s">
        <v>36</v>
      </c>
      <c r="EY37" t="s">
        <v>36</v>
      </c>
      <c r="EZ37" t="s">
        <v>36</v>
      </c>
      <c r="FA37" t="s">
        <v>36</v>
      </c>
      <c r="FB37" t="s">
        <v>36</v>
      </c>
      <c r="FC37" t="s">
        <v>37</v>
      </c>
      <c r="FD37" t="s">
        <v>37</v>
      </c>
      <c r="FE37" t="s">
        <v>37</v>
      </c>
      <c r="FF37" t="s">
        <v>37</v>
      </c>
      <c r="FG37" t="s">
        <v>37</v>
      </c>
      <c r="FH37" t="s">
        <v>37</v>
      </c>
      <c r="FI37" t="s">
        <v>37</v>
      </c>
      <c r="FJ37" t="s">
        <v>37</v>
      </c>
      <c r="FK37" t="s">
        <v>37</v>
      </c>
      <c r="FL37" t="s">
        <v>37</v>
      </c>
      <c r="FM37" t="s">
        <v>37</v>
      </c>
      <c r="FN37" t="s">
        <v>38</v>
      </c>
      <c r="FO37" t="s">
        <v>38</v>
      </c>
      <c r="FP37" t="s">
        <v>38</v>
      </c>
      <c r="FQ37" t="s">
        <v>38</v>
      </c>
      <c r="FR37" t="s">
        <v>38</v>
      </c>
      <c r="FS37" t="s">
        <v>38</v>
      </c>
      <c r="FT37" t="s">
        <v>38</v>
      </c>
      <c r="FU37" t="s">
        <v>39</v>
      </c>
      <c r="FV37" t="s">
        <v>39</v>
      </c>
      <c r="FW37" t="s">
        <v>39</v>
      </c>
      <c r="FX37" t="s">
        <v>39</v>
      </c>
      <c r="FY37" t="s">
        <v>39</v>
      </c>
      <c r="FZ37" t="s">
        <v>40</v>
      </c>
      <c r="GA37" t="s">
        <v>40</v>
      </c>
      <c r="GB37" t="s">
        <v>40</v>
      </c>
      <c r="GC37" t="s">
        <v>40</v>
      </c>
      <c r="GD37" t="s">
        <v>40</v>
      </c>
      <c r="GE37" t="s">
        <v>40</v>
      </c>
      <c r="GF37" t="s">
        <v>41</v>
      </c>
      <c r="GG37" t="s">
        <v>41</v>
      </c>
      <c r="GH37" t="s">
        <v>41</v>
      </c>
      <c r="GI37" t="s">
        <v>41</v>
      </c>
      <c r="GJ37" t="s">
        <v>41</v>
      </c>
      <c r="GK37" t="s">
        <v>41</v>
      </c>
      <c r="GL37" t="s">
        <v>41</v>
      </c>
      <c r="GM37" t="s">
        <v>42</v>
      </c>
      <c r="GN37" t="s">
        <v>42</v>
      </c>
      <c r="GO37" t="s">
        <v>42</v>
      </c>
      <c r="GP37" t="s">
        <v>42</v>
      </c>
      <c r="GQ37" t="s">
        <v>42</v>
      </c>
      <c r="GR37" t="s">
        <v>43</v>
      </c>
      <c r="GS37" t="s">
        <v>43</v>
      </c>
      <c r="GT37" t="s">
        <v>43</v>
      </c>
      <c r="GU37" t="s">
        <v>43</v>
      </c>
      <c r="GV37" t="s">
        <v>43</v>
      </c>
      <c r="GW37" t="s">
        <v>43</v>
      </c>
      <c r="GX37" t="s">
        <v>43</v>
      </c>
      <c r="GY37" t="s">
        <v>43</v>
      </c>
      <c r="GZ37" t="s">
        <v>43</v>
      </c>
      <c r="HA37" t="s">
        <v>43</v>
      </c>
      <c r="HB37" t="s">
        <v>43</v>
      </c>
      <c r="HC37" t="s">
        <v>44</v>
      </c>
      <c r="HD37" t="s">
        <v>44</v>
      </c>
      <c r="HE37" t="s">
        <v>44</v>
      </c>
      <c r="HF37" t="s">
        <v>44</v>
      </c>
      <c r="HG37" t="s">
        <v>44</v>
      </c>
      <c r="HH37" t="s">
        <v>45</v>
      </c>
      <c r="HI37" t="s">
        <v>45</v>
      </c>
      <c r="HJ37" t="s">
        <v>45</v>
      </c>
      <c r="HK37" t="s">
        <v>45</v>
      </c>
      <c r="HL37" t="s">
        <v>45</v>
      </c>
      <c r="HM37" t="s">
        <v>45</v>
      </c>
      <c r="HN37" t="s">
        <v>46</v>
      </c>
      <c r="HO37" t="s">
        <v>46</v>
      </c>
      <c r="HP37" t="s">
        <v>46</v>
      </c>
      <c r="HQ37" t="s">
        <v>46</v>
      </c>
      <c r="HR37" t="s">
        <v>47</v>
      </c>
      <c r="HS37" t="s">
        <v>47</v>
      </c>
      <c r="HT37" t="s">
        <v>47</v>
      </c>
      <c r="HU37" t="s">
        <v>47</v>
      </c>
      <c r="HV37" t="s">
        <v>48</v>
      </c>
      <c r="HW37" t="s">
        <v>48</v>
      </c>
      <c r="HX37" t="s">
        <v>48</v>
      </c>
      <c r="HY37" t="s">
        <v>49</v>
      </c>
      <c r="HZ37" t="s">
        <v>49</v>
      </c>
      <c r="IA37" t="s">
        <v>50</v>
      </c>
      <c r="IB37" t="s">
        <v>50</v>
      </c>
      <c r="IC37" t="s">
        <v>51</v>
      </c>
      <c r="ID37" t="s">
        <v>50</v>
      </c>
      <c r="IE37" t="s">
        <v>50</v>
      </c>
      <c r="IF37" t="s">
        <v>51</v>
      </c>
      <c r="IG37" t="s">
        <v>52</v>
      </c>
      <c r="IH37" t="s">
        <v>52</v>
      </c>
      <c r="II37" t="s">
        <v>52</v>
      </c>
      <c r="IJ37" t="s">
        <v>52</v>
      </c>
      <c r="IK37" t="s">
        <v>52</v>
      </c>
      <c r="IL37" t="s">
        <v>53</v>
      </c>
      <c r="IM37" t="s">
        <v>53</v>
      </c>
      <c r="IN37" t="s">
        <v>53</v>
      </c>
      <c r="IO37" t="s">
        <v>53</v>
      </c>
      <c r="IP37" t="s">
        <v>53</v>
      </c>
      <c r="IQ37" t="s">
        <v>53</v>
      </c>
      <c r="IR37" t="s">
        <v>53</v>
      </c>
      <c r="IS37" t="s">
        <v>53</v>
      </c>
      <c r="IT37" t="s">
        <v>53</v>
      </c>
      <c r="IU37" t="s">
        <v>53</v>
      </c>
      <c r="IV37" t="s">
        <v>53</v>
      </c>
      <c r="IW37" t="s">
        <v>53</v>
      </c>
      <c r="IX37" t="s">
        <v>53</v>
      </c>
      <c r="IY37" t="s">
        <v>53</v>
      </c>
      <c r="IZ37" t="s">
        <v>53</v>
      </c>
    </row>
    <row r="38" spans="1:261" x14ac:dyDescent="0.3">
      <c r="A38" t="s">
        <v>54</v>
      </c>
      <c r="B38" t="s">
        <v>55</v>
      </c>
      <c r="C38" t="s">
        <v>56</v>
      </c>
      <c r="D38" t="s">
        <v>57</v>
      </c>
      <c r="E38" t="s">
        <v>58</v>
      </c>
      <c r="F38" t="s">
        <v>59</v>
      </c>
      <c r="G38" t="s">
        <v>56</v>
      </c>
      <c r="H38" t="s">
        <v>57</v>
      </c>
      <c r="I38" t="s">
        <v>11</v>
      </c>
      <c r="J38" t="s">
        <v>56</v>
      </c>
      <c r="K38" t="s">
        <v>57</v>
      </c>
      <c r="L38" t="s">
        <v>12</v>
      </c>
      <c r="M38" t="s">
        <v>56</v>
      </c>
      <c r="N38" t="s">
        <v>57</v>
      </c>
      <c r="O38" t="s">
        <v>13</v>
      </c>
      <c r="P38" t="s">
        <v>56</v>
      </c>
      <c r="Q38" t="s">
        <v>57</v>
      </c>
      <c r="R38" t="s">
        <v>56</v>
      </c>
      <c r="S38" t="s">
        <v>14</v>
      </c>
      <c r="T38" t="s">
        <v>57</v>
      </c>
      <c r="U38" t="s">
        <v>56</v>
      </c>
      <c r="V38" t="s">
        <v>60</v>
      </c>
      <c r="W38" t="s">
        <v>57</v>
      </c>
      <c r="X38" t="s">
        <v>56</v>
      </c>
      <c r="Y38" t="s">
        <v>61</v>
      </c>
      <c r="Z38" t="s">
        <v>57</v>
      </c>
      <c r="AA38" t="s">
        <v>56</v>
      </c>
      <c r="AB38" t="s">
        <v>62</v>
      </c>
      <c r="AC38" t="s">
        <v>57</v>
      </c>
      <c r="AD38" t="s">
        <v>58</v>
      </c>
      <c r="AE38" t="s">
        <v>59</v>
      </c>
      <c r="AF38" t="s">
        <v>56</v>
      </c>
      <c r="AG38" t="s">
        <v>56</v>
      </c>
      <c r="AH38" t="s">
        <v>63</v>
      </c>
      <c r="AI38" t="s">
        <v>57</v>
      </c>
      <c r="AJ38" t="s">
        <v>64</v>
      </c>
      <c r="AK38" t="s">
        <v>65</v>
      </c>
      <c r="AL38" t="s">
        <v>66</v>
      </c>
      <c r="AM38" t="s">
        <v>67</v>
      </c>
      <c r="AN38" t="s">
        <v>68</v>
      </c>
      <c r="AO38" t="s">
        <v>69</v>
      </c>
      <c r="AP38" t="s">
        <v>70</v>
      </c>
      <c r="AQ38" t="s">
        <v>71</v>
      </c>
      <c r="AR38" t="s">
        <v>72</v>
      </c>
      <c r="AS38" t="s">
        <v>58</v>
      </c>
      <c r="AT38" t="s">
        <v>73</v>
      </c>
      <c r="AU38" t="s">
        <v>74</v>
      </c>
      <c r="AV38" t="s">
        <v>75</v>
      </c>
      <c r="AW38" t="s">
        <v>56</v>
      </c>
      <c r="AX38" t="s">
        <v>57</v>
      </c>
      <c r="AY38" t="s">
        <v>72</v>
      </c>
      <c r="AZ38" t="s">
        <v>58</v>
      </c>
      <c r="BA38" t="s">
        <v>76</v>
      </c>
      <c r="BB38" t="s">
        <v>77</v>
      </c>
      <c r="BC38" t="s">
        <v>56</v>
      </c>
      <c r="BD38" t="s">
        <v>57</v>
      </c>
      <c r="BE38" t="s">
        <v>78</v>
      </c>
      <c r="BF38" t="s">
        <v>56</v>
      </c>
      <c r="BG38" t="s">
        <v>57</v>
      </c>
      <c r="BH38" t="s">
        <v>79</v>
      </c>
      <c r="BI38" t="s">
        <v>78</v>
      </c>
      <c r="BJ38" t="s">
        <v>56</v>
      </c>
      <c r="BK38" t="s">
        <v>80</v>
      </c>
      <c r="BL38" t="s">
        <v>57</v>
      </c>
      <c r="BM38" t="s">
        <v>81</v>
      </c>
      <c r="BN38" t="s">
        <v>79</v>
      </c>
      <c r="BO38" t="s">
        <v>56</v>
      </c>
      <c r="BP38" t="s">
        <v>80</v>
      </c>
      <c r="BQ38" t="s">
        <v>57</v>
      </c>
      <c r="BR38" t="s">
        <v>82</v>
      </c>
      <c r="BS38" t="s">
        <v>81</v>
      </c>
      <c r="BT38" t="s">
        <v>79</v>
      </c>
      <c r="BU38" t="s">
        <v>56</v>
      </c>
      <c r="BV38" t="s">
        <v>80</v>
      </c>
      <c r="BW38" t="s">
        <v>57</v>
      </c>
      <c r="BX38" t="s">
        <v>81</v>
      </c>
      <c r="BY38" t="s">
        <v>79</v>
      </c>
      <c r="BZ38" t="s">
        <v>56</v>
      </c>
      <c r="CA38" t="s">
        <v>80</v>
      </c>
      <c r="CB38" t="s">
        <v>57</v>
      </c>
      <c r="CC38" t="s">
        <v>82</v>
      </c>
      <c r="CD38" t="s">
        <v>81</v>
      </c>
      <c r="CE38" t="s">
        <v>79</v>
      </c>
      <c r="CF38" t="s">
        <v>56</v>
      </c>
      <c r="CG38" s="5" t="s">
        <v>80</v>
      </c>
      <c r="CH38" t="s">
        <v>57</v>
      </c>
      <c r="CI38" t="s">
        <v>82</v>
      </c>
      <c r="CJ38" s="5" t="s">
        <v>81</v>
      </c>
      <c r="CK38" t="s">
        <v>83</v>
      </c>
      <c r="CL38" t="s">
        <v>70</v>
      </c>
      <c r="CM38" t="s">
        <v>72</v>
      </c>
      <c r="CN38" t="s">
        <v>58</v>
      </c>
      <c r="CO38" t="s">
        <v>84</v>
      </c>
      <c r="CP38" t="s">
        <v>74</v>
      </c>
      <c r="CQ38" t="s">
        <v>79</v>
      </c>
      <c r="CR38" t="s">
        <v>78</v>
      </c>
      <c r="CS38" t="s">
        <v>59</v>
      </c>
      <c r="CT38" t="s">
        <v>56</v>
      </c>
      <c r="CU38" t="s">
        <v>57</v>
      </c>
      <c r="CV38" t="s">
        <v>58</v>
      </c>
      <c r="CW38" t="s">
        <v>85</v>
      </c>
      <c r="CX38" t="s">
        <v>56</v>
      </c>
      <c r="CY38" t="s">
        <v>86</v>
      </c>
      <c r="CZ38" t="s">
        <v>57</v>
      </c>
      <c r="DA38" t="s">
        <v>72</v>
      </c>
      <c r="DB38" t="s">
        <v>58</v>
      </c>
      <c r="DC38" t="s">
        <v>74</v>
      </c>
      <c r="DD38" t="s">
        <v>59</v>
      </c>
      <c r="DE38" t="s">
        <v>56</v>
      </c>
      <c r="DF38" t="s">
        <v>57</v>
      </c>
      <c r="DG38" t="s">
        <v>81</v>
      </c>
      <c r="DH38" t="s">
        <v>87</v>
      </c>
      <c r="DI38" t="s">
        <v>70</v>
      </c>
      <c r="DJ38" t="s">
        <v>58</v>
      </c>
      <c r="DK38" t="s">
        <v>73</v>
      </c>
      <c r="DL38" t="s">
        <v>75</v>
      </c>
      <c r="DM38" t="s">
        <v>59</v>
      </c>
      <c r="DN38" t="s">
        <v>56</v>
      </c>
      <c r="DO38" t="s">
        <v>88</v>
      </c>
      <c r="DP38" t="s">
        <v>57</v>
      </c>
      <c r="DQ38" t="s">
        <v>58</v>
      </c>
      <c r="DR38" t="s">
        <v>89</v>
      </c>
      <c r="DS38" t="s">
        <v>73</v>
      </c>
      <c r="DT38" t="s">
        <v>74</v>
      </c>
      <c r="DU38" t="s">
        <v>75</v>
      </c>
      <c r="DV38" t="s">
        <v>78</v>
      </c>
      <c r="DW38" t="s">
        <v>59</v>
      </c>
      <c r="DX38" t="s">
        <v>56</v>
      </c>
      <c r="DY38" t="s">
        <v>57</v>
      </c>
      <c r="DZ38" t="s">
        <v>87</v>
      </c>
      <c r="EA38">
        <v>4140</v>
      </c>
      <c r="EB38" t="s">
        <v>70</v>
      </c>
      <c r="EC38" t="s">
        <v>71</v>
      </c>
      <c r="ED38" t="s">
        <v>72</v>
      </c>
      <c r="EE38" t="s">
        <v>58</v>
      </c>
      <c r="EF38" t="s">
        <v>75</v>
      </c>
      <c r="EG38" t="s">
        <v>59</v>
      </c>
      <c r="EH38" t="s">
        <v>56</v>
      </c>
      <c r="EI38" t="s">
        <v>57</v>
      </c>
      <c r="EJ38" t="s">
        <v>82</v>
      </c>
      <c r="EK38" t="s">
        <v>90</v>
      </c>
      <c r="EL38" t="s">
        <v>87</v>
      </c>
      <c r="EM38" t="s">
        <v>58</v>
      </c>
      <c r="EN38" t="s">
        <v>73</v>
      </c>
      <c r="EO38" t="s">
        <v>91</v>
      </c>
      <c r="EP38" t="s">
        <v>75</v>
      </c>
      <c r="EQ38" t="s">
        <v>59</v>
      </c>
      <c r="ER38" t="s">
        <v>56</v>
      </c>
      <c r="ES38" t="s">
        <v>57</v>
      </c>
      <c r="ET38" t="s">
        <v>70</v>
      </c>
      <c r="EU38" t="s">
        <v>71</v>
      </c>
      <c r="EV38" t="s">
        <v>58</v>
      </c>
      <c r="EW38" t="s">
        <v>75</v>
      </c>
      <c r="EX38" t="s">
        <v>78</v>
      </c>
      <c r="EY38" t="s">
        <v>59</v>
      </c>
      <c r="EZ38" t="s">
        <v>56</v>
      </c>
      <c r="FA38" t="s">
        <v>80</v>
      </c>
      <c r="FB38" t="s">
        <v>57</v>
      </c>
      <c r="FC38" t="s">
        <v>70</v>
      </c>
      <c r="FD38" t="s">
        <v>71</v>
      </c>
      <c r="FE38" t="s">
        <v>92</v>
      </c>
      <c r="FF38" t="s">
        <v>58</v>
      </c>
      <c r="FG38" t="s">
        <v>74</v>
      </c>
      <c r="FH38" t="s">
        <v>75</v>
      </c>
      <c r="FI38" t="s">
        <v>78</v>
      </c>
      <c r="FJ38" t="s">
        <v>59</v>
      </c>
      <c r="FK38" t="s">
        <v>56</v>
      </c>
      <c r="FL38" t="s">
        <v>93</v>
      </c>
      <c r="FM38" t="s">
        <v>57</v>
      </c>
      <c r="FN38" t="s">
        <v>70</v>
      </c>
      <c r="FO38" t="s">
        <v>71</v>
      </c>
      <c r="FP38" t="s">
        <v>75</v>
      </c>
      <c r="FQ38" t="s">
        <v>59</v>
      </c>
      <c r="FR38" t="s">
        <v>56</v>
      </c>
      <c r="FS38" t="s">
        <v>80</v>
      </c>
      <c r="FT38" t="s">
        <v>57</v>
      </c>
      <c r="FU38" t="s">
        <v>72</v>
      </c>
      <c r="FV38" t="s">
        <v>58</v>
      </c>
      <c r="FW38" t="s">
        <v>56</v>
      </c>
      <c r="FX38" t="s">
        <v>57</v>
      </c>
      <c r="FY38" t="s">
        <v>81</v>
      </c>
      <c r="FZ38" t="s">
        <v>72</v>
      </c>
      <c r="GA38" t="s">
        <v>73</v>
      </c>
      <c r="GB38" t="s">
        <v>84</v>
      </c>
      <c r="GC38" t="s">
        <v>79</v>
      </c>
      <c r="GD38" t="s">
        <v>56</v>
      </c>
      <c r="GE38" t="s">
        <v>57</v>
      </c>
      <c r="GF38" t="s">
        <v>72</v>
      </c>
      <c r="GG38" t="s">
        <v>58</v>
      </c>
      <c r="GH38" t="s">
        <v>84</v>
      </c>
      <c r="GI38" t="s">
        <v>79</v>
      </c>
      <c r="GJ38" t="s">
        <v>56</v>
      </c>
      <c r="GK38" t="s">
        <v>57</v>
      </c>
      <c r="GL38" t="s">
        <v>82</v>
      </c>
      <c r="GM38" t="s">
        <v>72</v>
      </c>
      <c r="GN38" t="s">
        <v>94</v>
      </c>
      <c r="GO38" t="s">
        <v>58</v>
      </c>
      <c r="GP38" t="s">
        <v>56</v>
      </c>
      <c r="GQ38" t="s">
        <v>57</v>
      </c>
      <c r="GR38" t="s">
        <v>87</v>
      </c>
      <c r="GS38" t="s">
        <v>70</v>
      </c>
      <c r="GT38" t="s">
        <v>72</v>
      </c>
      <c r="GU38" t="s">
        <v>58</v>
      </c>
      <c r="GV38" t="s">
        <v>74</v>
      </c>
      <c r="GW38" t="s">
        <v>75</v>
      </c>
      <c r="GX38" t="s">
        <v>78</v>
      </c>
      <c r="GY38" t="s">
        <v>59</v>
      </c>
      <c r="GZ38" t="s">
        <v>56</v>
      </c>
      <c r="HA38" t="s">
        <v>95</v>
      </c>
      <c r="HB38" t="s">
        <v>57</v>
      </c>
      <c r="HC38" t="s">
        <v>72</v>
      </c>
      <c r="HD38" t="s">
        <v>58</v>
      </c>
      <c r="HE38" t="s">
        <v>74</v>
      </c>
      <c r="HF38" t="s">
        <v>56</v>
      </c>
      <c r="HG38" t="s">
        <v>57</v>
      </c>
      <c r="HH38" t="s">
        <v>70</v>
      </c>
      <c r="HI38" t="s">
        <v>72</v>
      </c>
      <c r="HJ38" t="s">
        <v>58</v>
      </c>
      <c r="HK38" t="s">
        <v>75</v>
      </c>
      <c r="HL38" t="s">
        <v>56</v>
      </c>
      <c r="HM38" t="s">
        <v>57</v>
      </c>
      <c r="HN38" t="s">
        <v>72</v>
      </c>
      <c r="HO38" t="s">
        <v>58</v>
      </c>
      <c r="HP38" t="s">
        <v>56</v>
      </c>
      <c r="HQ38" t="s">
        <v>57</v>
      </c>
      <c r="HR38" t="s">
        <v>72</v>
      </c>
      <c r="HS38" t="s">
        <v>58</v>
      </c>
      <c r="HT38" t="s">
        <v>56</v>
      </c>
      <c r="HU38" t="s">
        <v>57</v>
      </c>
      <c r="HV38" t="s">
        <v>72</v>
      </c>
      <c r="HW38" t="s">
        <v>56</v>
      </c>
      <c r="HX38" t="s">
        <v>57</v>
      </c>
      <c r="HY38" t="s">
        <v>56</v>
      </c>
      <c r="HZ38" t="s">
        <v>57</v>
      </c>
      <c r="IA38" t="s">
        <v>96</v>
      </c>
      <c r="IB38" t="s">
        <v>97</v>
      </c>
      <c r="IC38" t="s">
        <v>98</v>
      </c>
      <c r="ID38" t="s">
        <v>96</v>
      </c>
      <c r="IE38" t="s">
        <v>97</v>
      </c>
      <c r="IF38" t="s">
        <v>98</v>
      </c>
      <c r="IG38" t="s">
        <v>99</v>
      </c>
      <c r="IH38" t="s">
        <v>100</v>
      </c>
      <c r="II38" t="s">
        <v>101</v>
      </c>
      <c r="IJ38" t="s">
        <v>102</v>
      </c>
      <c r="IK38" t="s">
        <v>103</v>
      </c>
      <c r="IL38" t="s">
        <v>104</v>
      </c>
      <c r="IM38" t="s">
        <v>105</v>
      </c>
      <c r="IN38" t="s">
        <v>106</v>
      </c>
      <c r="IO38" t="s">
        <v>107</v>
      </c>
      <c r="IP38" t="s">
        <v>108</v>
      </c>
      <c r="IQ38" t="s">
        <v>109</v>
      </c>
      <c r="IR38" t="s">
        <v>110</v>
      </c>
      <c r="IS38" t="s">
        <v>111</v>
      </c>
      <c r="IT38" t="s">
        <v>112</v>
      </c>
      <c r="IU38" t="s">
        <v>113</v>
      </c>
      <c r="IV38" t="s">
        <v>114</v>
      </c>
      <c r="IW38" t="s">
        <v>115</v>
      </c>
      <c r="IX38" t="s">
        <v>116</v>
      </c>
      <c r="IY38" t="s">
        <v>117</v>
      </c>
      <c r="IZ38" t="s">
        <v>118</v>
      </c>
    </row>
    <row r="39" spans="1:261" x14ac:dyDescent="0.3">
      <c r="A39" t="s">
        <v>148</v>
      </c>
      <c r="B39">
        <v>9.3899999999999995E-4</v>
      </c>
      <c r="C39" s="5">
        <v>1.8499999999999999E-5</v>
      </c>
      <c r="D39" s="5">
        <v>5.6999999999999996E-6</v>
      </c>
      <c r="E39">
        <v>1.02E-4</v>
      </c>
      <c r="F39">
        <v>5.3699999999999997E-5</v>
      </c>
      <c r="G39">
        <v>1.7399999999999999E-5</v>
      </c>
      <c r="H39">
        <v>3.8699999999999997E-4</v>
      </c>
      <c r="I39">
        <v>3.8300000000000001E-2</v>
      </c>
      <c r="J39" s="5">
        <v>8.7499999999999999E-5</v>
      </c>
      <c r="K39" s="5">
        <v>5.8300000000000001E-6</v>
      </c>
      <c r="L39">
        <v>2.3900000000000001E-2</v>
      </c>
      <c r="M39" s="5">
        <v>1.3100000000000001E-4</v>
      </c>
      <c r="N39" s="5">
        <v>1.56E-3</v>
      </c>
      <c r="O39">
        <v>2.2599999999999999E-2</v>
      </c>
      <c r="P39" s="5">
        <v>8.7499999999999999E-5</v>
      </c>
      <c r="Q39" s="5">
        <v>6.0000000000000002E-6</v>
      </c>
      <c r="R39" s="5">
        <v>7.6600000000000005E-5</v>
      </c>
      <c r="S39" s="5">
        <v>5.1400000000000003E-4</v>
      </c>
      <c r="T39" s="5">
        <v>2.8500000000000002E-5</v>
      </c>
      <c r="U39" s="5">
        <v>8.7499999999999999E-5</v>
      </c>
      <c r="V39" s="5">
        <v>3.0500000000000002E-3</v>
      </c>
      <c r="W39" s="5">
        <v>1E-3</v>
      </c>
      <c r="X39" s="5">
        <v>8.7499999999999999E-5</v>
      </c>
      <c r="Y39" s="5">
        <v>5.6800000000000002E-3</v>
      </c>
      <c r="Z39" s="5">
        <v>3.5700000000000001E-6</v>
      </c>
      <c r="AA39" s="5">
        <v>8.7499999999999999E-5</v>
      </c>
      <c r="AB39" s="5">
        <v>6.2799999999999998E-4</v>
      </c>
      <c r="AC39" s="5">
        <v>2.8400000000000002E-4</v>
      </c>
      <c r="AD39" s="5">
        <v>1.8100000000000001E-4</v>
      </c>
      <c r="AE39" s="5">
        <v>3.9300000000000001E-4</v>
      </c>
      <c r="AF39" s="5">
        <v>3.5000000000000002E-8</v>
      </c>
      <c r="AG39" s="5">
        <v>8.7499999999999999E-5</v>
      </c>
      <c r="AH39">
        <v>2.2599999999999999E-2</v>
      </c>
      <c r="AI39" s="5">
        <v>5.8300000000000001E-6</v>
      </c>
      <c r="AJ39">
        <v>4.44E-4</v>
      </c>
      <c r="AK39" s="5">
        <v>2.3600000000000001E-5</v>
      </c>
      <c r="AL39">
        <v>1.66E-4</v>
      </c>
      <c r="AM39" s="5">
        <v>1.2500000000000001E-5</v>
      </c>
      <c r="AN39" s="5">
        <v>2.0800000000000001E-7</v>
      </c>
      <c r="AO39" s="5">
        <v>3.8099999999999999E-6</v>
      </c>
      <c r="AP39">
        <v>2.3700000000000001E-3</v>
      </c>
      <c r="AQ39" s="5">
        <v>1.44E-4</v>
      </c>
      <c r="AR39">
        <v>2.5399999999999999E-4</v>
      </c>
      <c r="AS39" s="5">
        <v>1E-4</v>
      </c>
      <c r="AT39" s="5">
        <v>9.4526244050554501E-5</v>
      </c>
      <c r="AU39" s="5">
        <v>2.9104916030148401E-6</v>
      </c>
      <c r="AV39" s="5">
        <v>9.2923978351354E-6</v>
      </c>
      <c r="AW39" s="5">
        <v>1.9700933530121798E-6</v>
      </c>
      <c r="AX39" s="5">
        <v>3.6350602413257498E-5</v>
      </c>
      <c r="AY39" s="5">
        <v>1.9400000000000001E-5</v>
      </c>
      <c r="AZ39" s="5">
        <v>3.3900000000000002E-6</v>
      </c>
      <c r="BA39" s="5">
        <v>1.66E-6</v>
      </c>
      <c r="BB39" s="5">
        <v>2.0299999999999999E-5</v>
      </c>
      <c r="BC39" s="5">
        <v>1.22E-5</v>
      </c>
      <c r="BD39" s="5">
        <v>2.34E-5</v>
      </c>
      <c r="BE39" s="5">
        <v>7.79E-6</v>
      </c>
      <c r="BF39" s="5">
        <v>9.1700000000000003E-6</v>
      </c>
      <c r="BG39" s="5">
        <v>4.3500000000000002E-7</v>
      </c>
      <c r="BH39" s="5">
        <v>1.66E-4</v>
      </c>
      <c r="BI39" s="5">
        <v>4.1799999999999998E-6</v>
      </c>
      <c r="BJ39" s="5">
        <v>5.8699999999999997E-5</v>
      </c>
      <c r="BK39" s="5">
        <v>3.1700000000000001E-3</v>
      </c>
      <c r="BL39" s="5">
        <v>4.4700000000000002E-5</v>
      </c>
      <c r="BM39" s="5">
        <v>7.8800000000000008E-6</v>
      </c>
      <c r="BN39" s="5">
        <v>2.0000000000000002E-5</v>
      </c>
      <c r="BO39" s="5">
        <v>1.22E-5</v>
      </c>
      <c r="BP39" s="5">
        <v>1.8799999999999999E-3</v>
      </c>
      <c r="BQ39" s="5">
        <v>8.0499999999999992E-6</v>
      </c>
      <c r="BR39" s="5">
        <v>1.6199999999999999E-6</v>
      </c>
      <c r="BS39" s="5">
        <v>6.9567480404293403E-7</v>
      </c>
      <c r="BT39" s="5">
        <v>1.44E-4</v>
      </c>
      <c r="BU39" s="5">
        <v>5.3199999999999999E-5</v>
      </c>
      <c r="BV39" s="5">
        <v>4.1099999999999999E-3</v>
      </c>
      <c r="BW39" s="5">
        <v>3.3899999999999997E-5</v>
      </c>
      <c r="BX39" s="5">
        <v>5.8000000000000004E-6</v>
      </c>
      <c r="BY39" s="5">
        <v>1.4100000000000001E-4</v>
      </c>
      <c r="BZ39" s="5">
        <v>5.8699999999999997E-5</v>
      </c>
      <c r="CA39" s="5">
        <v>7.6400000000000001E-3</v>
      </c>
      <c r="CB39" s="5">
        <v>4.0399999999999999E-5</v>
      </c>
      <c r="CC39" s="5">
        <v>1.1599999999999999E-6</v>
      </c>
      <c r="CD39" s="5">
        <v>1.86E-6</v>
      </c>
      <c r="CE39" s="5">
        <v>1.8032929712351401E-4</v>
      </c>
      <c r="CF39" s="5">
        <v>5.8699999999999997E-5</v>
      </c>
      <c r="CG39" s="5">
        <v>7.43E-3</v>
      </c>
      <c r="CH39" s="5">
        <v>4.4299999999999999E-5</v>
      </c>
      <c r="CI39" s="5">
        <v>1.39E-6</v>
      </c>
      <c r="CJ39" s="5">
        <v>5.1000000000000003E-6</v>
      </c>
      <c r="CK39" s="5">
        <v>3.1E-6</v>
      </c>
      <c r="CL39" s="5">
        <v>1.12E-4</v>
      </c>
      <c r="CM39" s="5">
        <v>1.74E-4</v>
      </c>
      <c r="CN39" s="5">
        <v>2.1399999999999998E-6</v>
      </c>
      <c r="CO39" s="5">
        <v>4.6100000000000002E-5</v>
      </c>
      <c r="CP39" s="5">
        <v>8.6777410223253399E-7</v>
      </c>
      <c r="CQ39" s="5">
        <v>2.6446093070359498E-6</v>
      </c>
      <c r="CR39" s="5">
        <v>1.3107124527670099E-4</v>
      </c>
      <c r="CS39" s="5">
        <v>1.83826168530672E-6</v>
      </c>
      <c r="CT39" s="5">
        <v>1.7489872997041401E-6</v>
      </c>
      <c r="CU39" s="5">
        <v>1.3741199868162999E-5</v>
      </c>
      <c r="CV39" s="5">
        <v>3.3800000000000002E-5</v>
      </c>
      <c r="CW39" s="5">
        <v>1.0300000000000001E-3</v>
      </c>
      <c r="CX39" s="5">
        <v>3.97E-4</v>
      </c>
      <c r="CY39" s="5">
        <v>2.33E-4</v>
      </c>
      <c r="CZ39" s="5">
        <v>8.1299999999999997E-5</v>
      </c>
      <c r="DA39" s="5">
        <v>2.9299999999999999E-3</v>
      </c>
      <c r="DB39" s="5">
        <v>1.4100000000000001E-5</v>
      </c>
      <c r="DC39" s="5">
        <v>5.0400000000000001E-8</v>
      </c>
      <c r="DD39" s="5">
        <v>7.8999999999999995E-7</v>
      </c>
      <c r="DE39" s="5">
        <v>4.2399999999999998E-10</v>
      </c>
      <c r="DF39" s="5">
        <v>8.9082600336887202E-5</v>
      </c>
      <c r="DG39" s="5">
        <v>1.8551328107811601E-6</v>
      </c>
      <c r="DH39" s="5">
        <v>8.0399999999999993E-6</v>
      </c>
      <c r="DI39" s="5">
        <v>1.2800000000000001E-2</v>
      </c>
      <c r="DJ39" s="5">
        <v>8.1799999999999996E-5</v>
      </c>
      <c r="DK39" s="5">
        <v>1.73E-4</v>
      </c>
      <c r="DL39" s="5">
        <v>1.22E-5</v>
      </c>
      <c r="DM39" s="5">
        <v>1.2300000000000001E-5</v>
      </c>
      <c r="DN39" s="5">
        <v>9.1942829248520208E-6</v>
      </c>
      <c r="DO39" s="5">
        <v>4.1742579708839001E-7</v>
      </c>
      <c r="DP39">
        <v>1.47731872727083E-4</v>
      </c>
      <c r="DQ39" s="5">
        <v>6.0800000000000002E-6</v>
      </c>
      <c r="DR39" s="5">
        <v>4.4299999999999999E-5</v>
      </c>
      <c r="DS39" s="5">
        <v>5.64E-3</v>
      </c>
      <c r="DT39" s="5">
        <v>5.7899999999999998E-7</v>
      </c>
      <c r="DU39" s="5">
        <v>2.4399999999999999E-6</v>
      </c>
      <c r="DV39" s="5">
        <v>1.5624685914121799E-4</v>
      </c>
      <c r="DW39" s="5">
        <v>3.1863202545316401E-6</v>
      </c>
      <c r="DX39" s="5">
        <v>9.1942829248520208E-6</v>
      </c>
      <c r="DY39" s="5">
        <v>7.2201070645151196E-5</v>
      </c>
      <c r="DZ39" s="5">
        <v>2.2100000000000001E-4</v>
      </c>
      <c r="EA39" s="5">
        <v>3.1300000000000001E-7</v>
      </c>
      <c r="EB39" s="5">
        <v>1.4E-2</v>
      </c>
      <c r="EC39" s="5">
        <v>5.7299999999999999E-3</v>
      </c>
      <c r="ED39" s="5">
        <v>3.8299999999999999E-4</v>
      </c>
      <c r="EE39" s="5">
        <v>2.6361445368437302E-4</v>
      </c>
      <c r="EF39" s="5">
        <v>2.39068249117576E-5</v>
      </c>
      <c r="EG39" s="5">
        <v>4.4497159883980598E-5</v>
      </c>
      <c r="EH39" s="5">
        <v>1.9160317576242701E-4</v>
      </c>
      <c r="EI39" s="5">
        <v>1.1376388876175699E-2</v>
      </c>
      <c r="EJ39" s="5">
        <v>1.3913496080858699E-5</v>
      </c>
      <c r="EK39">
        <v>4.6060482663319699E-4</v>
      </c>
      <c r="EL39" s="5">
        <v>1.9800000000000001E-6</v>
      </c>
      <c r="EM39" s="5">
        <v>2.02E-4</v>
      </c>
      <c r="EN39" s="5">
        <v>3.3700000000000002E-3</v>
      </c>
      <c r="EO39" s="5">
        <v>3.0400000000000001E-6</v>
      </c>
      <c r="EP39" s="5">
        <v>1.3900000000000001E-5</v>
      </c>
      <c r="EQ39" s="5">
        <v>8.16176545952175E-6</v>
      </c>
      <c r="ER39" s="5">
        <v>7.1406086080513703E-5</v>
      </c>
      <c r="ES39" s="5">
        <v>2.77316464364381E-5</v>
      </c>
      <c r="ET39" s="5">
        <v>1.3599999999999999E-2</v>
      </c>
      <c r="EU39" s="5">
        <v>2.6200000000000003E-4</v>
      </c>
      <c r="EV39" s="5">
        <v>1.6000000000000001E-4</v>
      </c>
      <c r="EW39" s="5">
        <v>6.1600000000000003E-6</v>
      </c>
      <c r="EX39" s="5">
        <v>5.13E-5</v>
      </c>
      <c r="EY39" s="5">
        <v>8.0000000000000007E-5</v>
      </c>
      <c r="EZ39" s="5">
        <v>1.4100421593195701E-6</v>
      </c>
      <c r="FA39" s="5">
        <v>2.07898840338776E-5</v>
      </c>
      <c r="FB39" s="5">
        <v>2.33312488725409E-5</v>
      </c>
      <c r="FC39" s="5">
        <v>4.7983342173839403E-3</v>
      </c>
      <c r="FD39" s="5">
        <v>1.37620093710562E-3</v>
      </c>
      <c r="FE39" s="5">
        <v>2.6435305539561899E-5</v>
      </c>
      <c r="FF39" s="5">
        <v>1.64316818571775E-5</v>
      </c>
      <c r="FG39" s="5">
        <v>2.0373441221103901E-6</v>
      </c>
      <c r="FH39" s="5">
        <v>7.1899999999999998E-6</v>
      </c>
      <c r="FI39" s="5">
        <v>6.6599999999999998E-6</v>
      </c>
      <c r="FJ39" s="5">
        <v>1.0900000000000001E-5</v>
      </c>
      <c r="FK39" s="5">
        <v>8.4099999999999997E-7</v>
      </c>
      <c r="FL39" s="5">
        <v>2.3999999999999998E-7</v>
      </c>
      <c r="FM39" s="5">
        <v>1.7799999999999999E-5</v>
      </c>
      <c r="FN39" s="5">
        <v>3.5399999999999999E-4</v>
      </c>
      <c r="FO39" s="5">
        <v>2.3200000000000001E-5</v>
      </c>
      <c r="FP39" s="5">
        <v>4.82E-7</v>
      </c>
      <c r="FQ39" s="5">
        <v>1.0699999999999999E-6</v>
      </c>
      <c r="FR39" s="5">
        <v>2.7900000000000001E-5</v>
      </c>
      <c r="FS39" s="5">
        <v>1.8814845050659299E-3</v>
      </c>
      <c r="FT39" s="5">
        <v>3.72049724251459E-6</v>
      </c>
      <c r="FU39" s="5">
        <v>9.2400000000000002E-4</v>
      </c>
      <c r="FV39" s="5">
        <v>3.8199999999999998E-6</v>
      </c>
      <c r="FW39" s="5">
        <v>4.2399999999999998E-10</v>
      </c>
      <c r="FX39" s="5">
        <v>5.9200000000000001E-6</v>
      </c>
      <c r="FY39" s="5">
        <v>1.6199999999999999E-6</v>
      </c>
      <c r="FZ39" s="5">
        <v>8.7700000000000004E-5</v>
      </c>
      <c r="GA39" s="5">
        <v>8.1900000000000001E-7</v>
      </c>
      <c r="GB39" s="5">
        <v>1.5999999999999999E-5</v>
      </c>
      <c r="GC39" s="5">
        <v>6.4500000000000001E-6</v>
      </c>
      <c r="GD39" s="5">
        <v>3.0199999999999998E-7</v>
      </c>
      <c r="GE39" s="5">
        <v>2.7335605265985802E-4</v>
      </c>
      <c r="GF39" s="5">
        <v>1.4200000000000001E-4</v>
      </c>
      <c r="GG39" s="5">
        <v>2.92E-6</v>
      </c>
      <c r="GH39" s="5">
        <v>2.4700000000000001E-5</v>
      </c>
      <c r="GI39" s="5">
        <v>6.4500000000000001E-6</v>
      </c>
      <c r="GJ39" s="5">
        <v>3.0199999999999998E-7</v>
      </c>
      <c r="GK39" s="5">
        <v>3.1000018300124301E-4</v>
      </c>
      <c r="GL39" s="5">
        <v>1.39134960808587E-6</v>
      </c>
      <c r="GM39" s="5">
        <v>7.5000000000000002E-4</v>
      </c>
      <c r="GN39" s="5">
        <v>2.4800000000000001E-4</v>
      </c>
      <c r="GO39" s="5">
        <v>8.0900000000000005E-6</v>
      </c>
      <c r="GP39" s="5">
        <v>4.0399999999999999E-5</v>
      </c>
      <c r="GQ39" s="5">
        <v>1.59E-5</v>
      </c>
      <c r="GR39" s="5">
        <v>1.1283558356860099E-6</v>
      </c>
      <c r="GS39" s="5">
        <v>5.4346719461876103E-3</v>
      </c>
      <c r="GT39" s="5">
        <v>1.9809641217232001E-3</v>
      </c>
      <c r="GU39" s="5">
        <v>1.3308689097405501E-5</v>
      </c>
      <c r="GV39" s="5">
        <v>5.78516068155022E-6</v>
      </c>
      <c r="GW39" s="5">
        <v>4.7600000000000002E-6</v>
      </c>
      <c r="GX39" s="5">
        <v>2.55E-5</v>
      </c>
      <c r="GY39" s="5">
        <v>1.2300000000000001E-5</v>
      </c>
      <c r="GZ39" s="5">
        <v>1.5799999999999999E-6</v>
      </c>
      <c r="HA39" s="5">
        <v>2.3999999999999998E-7</v>
      </c>
      <c r="HB39" s="5">
        <v>3.3500000000000001E-5</v>
      </c>
      <c r="HC39" s="5">
        <v>1.5499999999999999E-3</v>
      </c>
      <c r="HD39" s="5">
        <v>9.3999999999999998E-6</v>
      </c>
      <c r="HE39" s="5">
        <v>7.9300000000000002E-8</v>
      </c>
      <c r="HF39" s="5">
        <v>1.31E-6</v>
      </c>
      <c r="HG39" s="5">
        <v>6.3400000000000003E-6</v>
      </c>
      <c r="HH39" s="5">
        <v>1.8084672803348001E-3</v>
      </c>
      <c r="HI39" s="5">
        <v>4.08E-4</v>
      </c>
      <c r="HJ39" s="5">
        <v>8.0900000000000005E-6</v>
      </c>
      <c r="HK39" s="5">
        <v>7.1899999999999998E-6</v>
      </c>
      <c r="HL39" s="5">
        <v>7.8800000000000002E-7</v>
      </c>
      <c r="HM39" s="5">
        <v>1.2E-5</v>
      </c>
      <c r="HN39" s="5">
        <v>7.9699999999999999E-5</v>
      </c>
      <c r="HO39" s="5">
        <v>4.2300000000000002E-7</v>
      </c>
      <c r="HP39" s="5">
        <v>9.1700000000000003E-6</v>
      </c>
      <c r="HQ39" s="5">
        <v>5.0900000000000002E-7</v>
      </c>
      <c r="HR39" s="5">
        <v>9.4199999999999999E-5</v>
      </c>
      <c r="HS39" s="5">
        <v>8.2399999999999997E-7</v>
      </c>
      <c r="HT39" s="5">
        <v>9.1700000000000003E-6</v>
      </c>
      <c r="HU39" s="5">
        <v>5.5599999999999995E-7</v>
      </c>
      <c r="HV39" s="5">
        <v>8.0499999999999992E-6</v>
      </c>
      <c r="HW39" s="5">
        <v>9.1700000000000003E-6</v>
      </c>
      <c r="HX39" s="5">
        <v>3.03E-7</v>
      </c>
      <c r="HY39">
        <v>1.4514848173658001E-3</v>
      </c>
      <c r="HZ39" s="5">
        <v>2.1078160836920001E-3</v>
      </c>
      <c r="IA39">
        <v>0.50600000000000001</v>
      </c>
      <c r="IB39" s="5">
        <v>4.2300000000000004</v>
      </c>
      <c r="IC39">
        <v>1.17E-3</v>
      </c>
      <c r="ID39">
        <f>IA39*7</f>
        <v>3.5419999999999998</v>
      </c>
      <c r="IE39">
        <f>IB39*7</f>
        <v>29.610000000000003</v>
      </c>
      <c r="IF39">
        <f>IC39*7</f>
        <v>8.1899999999999994E-3</v>
      </c>
      <c r="IG39" s="5">
        <v>2.2399999999999999E-5</v>
      </c>
      <c r="IH39">
        <v>1.35E-4</v>
      </c>
      <c r="II39">
        <v>2.9100000000000003E-4</v>
      </c>
      <c r="IJ39" s="5">
        <v>8.25E-5</v>
      </c>
      <c r="IK39" s="5">
        <v>1.5400000000000002E-5</v>
      </c>
      <c r="IL39">
        <v>-4.6499999999999996E-3</v>
      </c>
      <c r="IM39">
        <v>-4.7100000000000003E-2</v>
      </c>
      <c r="IN39">
        <v>-4.1200000000000001E-2</v>
      </c>
      <c r="IO39">
        <v>-9.0399999999999996E-4</v>
      </c>
      <c r="IP39" s="5">
        <v>1.5E-5</v>
      </c>
      <c r="IQ39">
        <v>-1.9587827311364099E-4</v>
      </c>
      <c r="IR39" s="5">
        <v>3.35332568156702E-6</v>
      </c>
      <c r="IS39" s="5">
        <v>2.0218546613354499E-5</v>
      </c>
      <c r="IT39">
        <v>2.0949662598326299E-4</v>
      </c>
      <c r="IU39" s="5">
        <v>2.1286616728948099E-5</v>
      </c>
      <c r="IV39" s="5">
        <v>1.3758574746871501E-5</v>
      </c>
      <c r="IW39">
        <v>1.47632039862964E-4</v>
      </c>
      <c r="IX39">
        <v>8.8925354082594903E-4</v>
      </c>
      <c r="IY39">
        <v>1.2744363337934101E-4</v>
      </c>
      <c r="IZ39" s="5">
        <v>2.2036615117162701E-5</v>
      </c>
      <c r="JA39">
        <f t="shared" ref="JA39:JA66" si="4">SUM(B39:IC39)</f>
        <v>4.9908634842889628</v>
      </c>
    </row>
    <row r="40" spans="1:261" x14ac:dyDescent="0.3">
      <c r="A40" t="s">
        <v>149</v>
      </c>
      <c r="B40">
        <v>2.3600000000000001E-3</v>
      </c>
      <c r="C40" s="5">
        <v>3.2499999999999997E-5</v>
      </c>
      <c r="D40" s="5">
        <v>6.5400000000000001E-6</v>
      </c>
      <c r="E40">
        <v>2.6699999999999998E-4</v>
      </c>
      <c r="F40">
        <v>2.0799999999999999E-4</v>
      </c>
      <c r="G40">
        <v>3.0199999999999999E-5</v>
      </c>
      <c r="H40">
        <v>6.6399999999999999E-4</v>
      </c>
      <c r="I40">
        <v>3.5900000000000001E-2</v>
      </c>
      <c r="J40" s="5">
        <v>1.15E-4</v>
      </c>
      <c r="K40" s="5">
        <v>6.7000000000000002E-6</v>
      </c>
      <c r="L40">
        <v>2.1499999999999998E-2</v>
      </c>
      <c r="M40" s="5">
        <v>1.7200000000000001E-4</v>
      </c>
      <c r="N40" s="5">
        <v>2.6700000000000001E-3</v>
      </c>
      <c r="O40">
        <v>2.6599999999999999E-2</v>
      </c>
      <c r="P40" s="5">
        <v>1.15E-4</v>
      </c>
      <c r="Q40" s="5">
        <v>6.8900000000000001E-6</v>
      </c>
      <c r="R40" s="5">
        <v>9.1199999999999994E-5</v>
      </c>
      <c r="S40" s="5">
        <v>4.9100000000000001E-4</v>
      </c>
      <c r="T40" s="5">
        <v>3.2799999999999998E-5</v>
      </c>
      <c r="U40">
        <v>1.15E-4</v>
      </c>
      <c r="V40" s="5">
        <v>2.7000000000000001E-3</v>
      </c>
      <c r="W40" s="5">
        <v>1.72E-3</v>
      </c>
      <c r="X40">
        <v>1.15E-4</v>
      </c>
      <c r="Y40" s="5">
        <v>5.4000000000000003E-3</v>
      </c>
      <c r="Z40" s="5">
        <v>4.0999999999999997E-6</v>
      </c>
      <c r="AA40">
        <v>1.15E-4</v>
      </c>
      <c r="AB40" s="5">
        <v>6.7699999999999998E-4</v>
      </c>
      <c r="AC40" s="5">
        <v>4.8799999999999999E-4</v>
      </c>
      <c r="AD40">
        <v>4.6999999999999999E-4</v>
      </c>
      <c r="AE40" s="5">
        <v>1.1299999999999999E-3</v>
      </c>
      <c r="AF40" s="5">
        <v>4.5900000000000001E-8</v>
      </c>
      <c r="AG40">
        <v>1.15E-4</v>
      </c>
      <c r="AH40">
        <v>7.1800000000000003E-2</v>
      </c>
      <c r="AI40" s="5">
        <v>6.7000000000000002E-6</v>
      </c>
      <c r="AJ40">
        <v>1.2999999999999999E-3</v>
      </c>
      <c r="AK40" s="5">
        <v>6.9099999999999999E-5</v>
      </c>
      <c r="AL40">
        <v>1.6900000000000001E-3</v>
      </c>
      <c r="AM40">
        <v>1.2799999999999999E-4</v>
      </c>
      <c r="AN40" s="5">
        <v>1.7800000000000001E-7</v>
      </c>
      <c r="AO40" s="5">
        <v>9.8900000000000002E-6</v>
      </c>
      <c r="AP40" s="5">
        <v>3.5400000000000002E-3</v>
      </c>
      <c r="AQ40" s="5">
        <v>2.0100000000000001E-4</v>
      </c>
      <c r="AR40" s="5">
        <v>3.9399999999999998E-4</v>
      </c>
      <c r="AS40" s="5">
        <v>2.5999999999999998E-4</v>
      </c>
      <c r="AT40" s="5">
        <v>1.3156528521732E-4</v>
      </c>
      <c r="AU40" s="5">
        <v>9.0409901881237997E-6</v>
      </c>
      <c r="AV40" s="5">
        <v>9.7526438710214503E-6</v>
      </c>
      <c r="AW40" s="5">
        <v>2.21419364329401E-6</v>
      </c>
      <c r="AX40" s="5">
        <v>4.1738688857323701E-5</v>
      </c>
      <c r="AY40" s="5">
        <v>3.0000000000000001E-5</v>
      </c>
      <c r="AZ40" s="5">
        <v>8.7900000000000005E-6</v>
      </c>
      <c r="BA40" s="5">
        <v>1.4100000000000001E-6</v>
      </c>
      <c r="BB40" s="5">
        <v>7.2999999999999999E-5</v>
      </c>
      <c r="BC40" s="5">
        <v>1.4399999999999999E-5</v>
      </c>
      <c r="BD40" s="5">
        <v>2.69E-5</v>
      </c>
      <c r="BE40" s="5">
        <v>2.02E-5</v>
      </c>
      <c r="BF40" s="5">
        <v>1.08E-5</v>
      </c>
      <c r="BG40" s="5">
        <v>4.9900000000000001E-7</v>
      </c>
      <c r="BH40" s="5">
        <v>4.5600000000000003E-4</v>
      </c>
      <c r="BI40" s="5">
        <v>1.08E-5</v>
      </c>
      <c r="BJ40" s="5">
        <v>6.9200000000000002E-5</v>
      </c>
      <c r="BK40" s="5">
        <v>8.8099999999999995E-4</v>
      </c>
      <c r="BL40" s="5">
        <v>5.13E-5</v>
      </c>
      <c r="BM40" s="5">
        <v>2.7399999999999999E-5</v>
      </c>
      <c r="BN40" s="5">
        <v>5.49E-5</v>
      </c>
      <c r="BO40" s="5">
        <v>1.4399999999999999E-5</v>
      </c>
      <c r="BP40" s="5">
        <v>5.2300000000000003E-4</v>
      </c>
      <c r="BQ40" s="5">
        <v>9.2399999999999996E-6</v>
      </c>
      <c r="BR40" s="5">
        <v>5.6400000000000002E-6</v>
      </c>
      <c r="BS40" s="5">
        <v>2.41500790022292E-6</v>
      </c>
      <c r="BT40" s="5">
        <v>3.9500000000000001E-4</v>
      </c>
      <c r="BU40" s="5">
        <v>6.2700000000000006E-5</v>
      </c>
      <c r="BV40" s="5">
        <v>1.14E-3</v>
      </c>
      <c r="BW40" s="5">
        <v>3.8899999999999997E-5</v>
      </c>
      <c r="BX40" s="5">
        <v>2.0100000000000001E-5</v>
      </c>
      <c r="BY40" s="5">
        <v>3.8699999999999997E-4</v>
      </c>
      <c r="BZ40" s="5">
        <v>6.9200000000000002E-5</v>
      </c>
      <c r="CA40" s="5">
        <v>2.1199999999999999E-3</v>
      </c>
      <c r="CB40" s="5">
        <v>4.6400000000000003E-5</v>
      </c>
      <c r="CC40" s="5">
        <v>4.0300000000000004E-6</v>
      </c>
      <c r="CD40" s="5">
        <v>6.4400000000000002E-6</v>
      </c>
      <c r="CE40" s="5">
        <v>4.9469494086293796E-4</v>
      </c>
      <c r="CF40" s="5">
        <v>6.9200000000000002E-5</v>
      </c>
      <c r="CG40" s="5">
        <v>2.0699999999999998E-3</v>
      </c>
      <c r="CH40" s="5">
        <v>5.0800000000000002E-5</v>
      </c>
      <c r="CI40" s="5">
        <v>4.8300000000000003E-6</v>
      </c>
      <c r="CJ40" s="5">
        <v>1.77E-5</v>
      </c>
      <c r="CK40" s="5">
        <v>8.0600000000000008E-6</v>
      </c>
      <c r="CL40" s="5">
        <v>1.73E-4</v>
      </c>
      <c r="CM40" s="5">
        <v>2.7E-4</v>
      </c>
      <c r="CN40" s="5">
        <v>5.57E-6</v>
      </c>
      <c r="CO40" s="5">
        <v>4.3999999999999999E-5</v>
      </c>
      <c r="CP40" s="5">
        <v>2.69534072999387E-6</v>
      </c>
      <c r="CQ40" s="5">
        <v>7.2549212225545397E-6</v>
      </c>
      <c r="CR40" s="5">
        <v>3.3991604932999799E-4</v>
      </c>
      <c r="CS40" s="5">
        <v>5.2645457796929902E-6</v>
      </c>
      <c r="CT40" s="5">
        <v>1.9658986913797301E-6</v>
      </c>
      <c r="CU40" s="5">
        <v>1.5777996174676299E-5</v>
      </c>
      <c r="CV40" s="5">
        <v>1.22E-4</v>
      </c>
      <c r="CW40" s="5">
        <v>2.7100000000000002E-3</v>
      </c>
      <c r="CX40" s="5">
        <v>7.4200000000000004E-4</v>
      </c>
      <c r="CY40" s="5">
        <v>5.9500000000000004E-4</v>
      </c>
      <c r="CZ40" s="5">
        <v>9.3399999999999993E-5</v>
      </c>
      <c r="DA40" s="5">
        <v>4.5500000000000002E-3</v>
      </c>
      <c r="DB40" s="5">
        <v>3.65E-5</v>
      </c>
      <c r="DC40" s="5">
        <v>1.5599999999999999E-7</v>
      </c>
      <c r="DD40" s="5">
        <v>2.26E-6</v>
      </c>
      <c r="DE40" s="5">
        <v>4.7700000000000001E-10</v>
      </c>
      <c r="DF40" s="5">
        <v>1.02286913867116E-4</v>
      </c>
      <c r="DG40" s="5">
        <v>6.4400210672611102E-6</v>
      </c>
      <c r="DH40" s="5">
        <v>2.09E-5</v>
      </c>
      <c r="DI40" s="5">
        <v>1.9599999999999999E-2</v>
      </c>
      <c r="DJ40" s="5">
        <v>2.12E-4</v>
      </c>
      <c r="DK40" s="5">
        <v>2.72E-4</v>
      </c>
      <c r="DL40" s="5">
        <v>1.2799999999999999E-5</v>
      </c>
      <c r="DM40" s="5">
        <v>3.5099999999999999E-5</v>
      </c>
      <c r="DN40" s="5">
        <v>1.0333514758737599E-5</v>
      </c>
      <c r="DO40" s="5">
        <v>1.76324581576136E-6</v>
      </c>
      <c r="DP40">
        <v>1.69629504346717E-4</v>
      </c>
      <c r="DQ40" s="5">
        <v>1.5800000000000001E-5</v>
      </c>
      <c r="DR40" s="5">
        <v>1.15E-4</v>
      </c>
      <c r="DS40" s="5">
        <v>7.9000000000000008E-3</v>
      </c>
      <c r="DT40" s="5">
        <v>1.7999999999999999E-6</v>
      </c>
      <c r="DU40" s="5">
        <v>2.5600000000000001E-6</v>
      </c>
      <c r="DV40" s="5">
        <v>4.0520569532533697E-4</v>
      </c>
      <c r="DW40" s="5">
        <v>9.1252126848011807E-6</v>
      </c>
      <c r="DX40" s="5">
        <v>1.0333514758737599E-5</v>
      </c>
      <c r="DY40" s="5">
        <v>8.2903110891073697E-5</v>
      </c>
      <c r="DZ40" s="5">
        <v>5.44E-4</v>
      </c>
      <c r="EA40" s="5">
        <v>7.6799999999999999E-7</v>
      </c>
      <c r="EB40" s="5">
        <v>1.9900000000000001E-2</v>
      </c>
      <c r="EC40" s="5">
        <v>8.0700000000000008E-3</v>
      </c>
      <c r="ED40" s="5">
        <v>5.7799999999999995E-4</v>
      </c>
      <c r="EE40" s="5">
        <v>6.4789438429806395E-4</v>
      </c>
      <c r="EF40" s="5">
        <v>2.46399548898508E-5</v>
      </c>
      <c r="EG40" s="5">
        <v>8.0704186413610803E-5</v>
      </c>
      <c r="EH40" s="5">
        <v>2.2800605558687901E-4</v>
      </c>
      <c r="EI40" s="5">
        <v>1.9516793986747601E-2</v>
      </c>
      <c r="EJ40" s="5">
        <v>4.8300158004458301E-5</v>
      </c>
      <c r="EK40">
        <v>4.7472979754445898E-4</v>
      </c>
      <c r="EL40" s="5">
        <v>7.1099999999999997E-6</v>
      </c>
      <c r="EM40" s="5">
        <v>5.2499999999999997E-4</v>
      </c>
      <c r="EN40" s="5">
        <v>5.0299999999999997E-3</v>
      </c>
      <c r="EO40" s="5">
        <v>6.1999999999999999E-6</v>
      </c>
      <c r="EP40" s="5">
        <v>1.45E-5</v>
      </c>
      <c r="EQ40" s="5">
        <v>2.3374249840604199E-5</v>
      </c>
      <c r="ER40" s="5">
        <v>1.3857307499343501E-4</v>
      </c>
      <c r="ES40" s="5">
        <v>3.1842183767761998E-5</v>
      </c>
      <c r="ET40" s="5">
        <v>0.02</v>
      </c>
      <c r="EU40" s="5">
        <v>4.3100000000000001E-4</v>
      </c>
      <c r="EV40" s="5">
        <v>4.15E-4</v>
      </c>
      <c r="EW40" s="5">
        <v>6.4699999999999999E-6</v>
      </c>
      <c r="EX40" s="5">
        <v>1.3300000000000001E-4</v>
      </c>
      <c r="EY40" s="5">
        <v>2.2900000000000001E-4</v>
      </c>
      <c r="EZ40" s="5">
        <v>2.59089358822052E-6</v>
      </c>
      <c r="FA40" s="5">
        <v>5.7795781781206699E-6</v>
      </c>
      <c r="FB40" s="5">
        <v>2.6789535047391901E-5</v>
      </c>
      <c r="FC40" s="5">
        <v>7.4276758703553302E-3</v>
      </c>
      <c r="FD40" s="5">
        <v>1.97994501823319E-3</v>
      </c>
      <c r="FE40" s="5">
        <v>3.6793681459080901E-5</v>
      </c>
      <c r="FF40" s="5">
        <v>4.2668305304888601E-5</v>
      </c>
      <c r="FG40" s="5">
        <v>6.3286931316866598E-6</v>
      </c>
      <c r="FH40" s="5">
        <v>7.5399999999999998E-6</v>
      </c>
      <c r="FI40" s="5">
        <v>1.73E-5</v>
      </c>
      <c r="FJ40" s="5">
        <v>3.1099999999999997E-5</v>
      </c>
      <c r="FK40" s="5">
        <v>9.4499999999999995E-7</v>
      </c>
      <c r="FL40" s="5">
        <v>5.8100000000000003E-7</v>
      </c>
      <c r="FM40" s="5">
        <v>2.05E-5</v>
      </c>
      <c r="FN40" s="5">
        <v>4.9299999999999995E-4</v>
      </c>
      <c r="FO40" s="5">
        <v>3.2299999999999999E-5</v>
      </c>
      <c r="FP40" s="5">
        <v>4.6600000000000002E-7</v>
      </c>
      <c r="FQ40" s="5">
        <v>3.05E-6</v>
      </c>
      <c r="FR40" s="5">
        <v>3.1999999999999999E-5</v>
      </c>
      <c r="FS40" s="5">
        <v>5.2305182511992005E-4</v>
      </c>
      <c r="FT40" s="5">
        <v>4.2719698296722499E-6</v>
      </c>
      <c r="FU40" s="5">
        <v>1.64E-3</v>
      </c>
      <c r="FV40" s="5">
        <v>9.9199999999999999E-6</v>
      </c>
      <c r="FW40" s="5">
        <v>4.7700000000000001E-10</v>
      </c>
      <c r="FX40" s="5">
        <v>6.7900000000000002E-6</v>
      </c>
      <c r="FY40" s="5">
        <v>5.6400000000000002E-6</v>
      </c>
      <c r="FZ40" s="5">
        <v>1.3300000000000001E-4</v>
      </c>
      <c r="GA40" s="5">
        <v>1.1200000000000001E-6</v>
      </c>
      <c r="GB40" s="5">
        <v>1.5299999999999999E-5</v>
      </c>
      <c r="GC40" s="5">
        <v>1.77E-5</v>
      </c>
      <c r="GD40" s="5">
        <v>3.2500000000000001E-7</v>
      </c>
      <c r="GE40" s="5">
        <v>4.6538776175541699E-4</v>
      </c>
      <c r="GF40" s="5">
        <v>2.1499999999999999E-4</v>
      </c>
      <c r="GG40" s="5">
        <v>7.0500000000000003E-6</v>
      </c>
      <c r="GH40" s="5">
        <v>2.3600000000000001E-5</v>
      </c>
      <c r="GI40" s="5">
        <v>1.77E-5</v>
      </c>
      <c r="GJ40" s="5">
        <v>3.2500000000000001E-7</v>
      </c>
      <c r="GK40" s="5">
        <v>5.2825269635641795E-4</v>
      </c>
      <c r="GL40" s="5">
        <v>4.8300158004458299E-6</v>
      </c>
      <c r="GM40" s="5">
        <v>1.16E-3</v>
      </c>
      <c r="GN40" s="5">
        <v>4.6299999999999998E-4</v>
      </c>
      <c r="GO40" s="5">
        <v>2.0999999999999999E-5</v>
      </c>
      <c r="GP40" s="5">
        <v>7.6500000000000003E-5</v>
      </c>
      <c r="GQ40" s="5">
        <v>1.8199999999999999E-5</v>
      </c>
      <c r="GR40" s="5">
        <v>2.9300123814515802E-6</v>
      </c>
      <c r="GS40" s="5">
        <v>9.0319912222121997E-3</v>
      </c>
      <c r="GT40" s="5">
        <v>3.0752072211265502E-3</v>
      </c>
      <c r="GU40" s="5">
        <v>3.4558800161280798E-5</v>
      </c>
      <c r="GV40" s="5">
        <v>1.7968938199959099E-5</v>
      </c>
      <c r="GW40" s="5">
        <v>5.0000000000000004E-6</v>
      </c>
      <c r="GX40" s="5">
        <v>6.6199999999999996E-5</v>
      </c>
      <c r="GY40" s="5">
        <v>3.5099999999999999E-5</v>
      </c>
      <c r="GZ40" s="5">
        <v>1.77E-6</v>
      </c>
      <c r="HA40" s="5">
        <v>5.8100000000000003E-7</v>
      </c>
      <c r="HB40" s="5">
        <v>3.8500000000000001E-5</v>
      </c>
      <c r="HC40" s="5">
        <v>2.4099999999999998E-3</v>
      </c>
      <c r="HD40" s="5">
        <v>2.44E-5</v>
      </c>
      <c r="HE40" s="5">
        <v>2.4600000000000001E-7</v>
      </c>
      <c r="HF40" s="5">
        <v>1.48E-6</v>
      </c>
      <c r="HG40" s="5">
        <v>7.2799999999999998E-6</v>
      </c>
      <c r="HH40" s="5">
        <v>2.89948301390327E-3</v>
      </c>
      <c r="HI40" s="5">
        <v>6.4300000000000002E-4</v>
      </c>
      <c r="HJ40" s="5">
        <v>2.0999999999999999E-5</v>
      </c>
      <c r="HK40" s="5">
        <v>7.5399999999999998E-6</v>
      </c>
      <c r="HL40" s="5">
        <v>8.8599999999999997E-7</v>
      </c>
      <c r="HM40" s="5">
        <v>1.38E-5</v>
      </c>
      <c r="HN40" s="5">
        <v>1.2400000000000001E-4</v>
      </c>
      <c r="HO40" s="5">
        <v>1.1000000000000001E-6</v>
      </c>
      <c r="HP40" s="5">
        <v>1.08E-5</v>
      </c>
      <c r="HQ40" s="5">
        <v>5.8400000000000004E-7</v>
      </c>
      <c r="HR40" s="5">
        <v>1.46E-4</v>
      </c>
      <c r="HS40" s="5">
        <v>2.0999999999999998E-6</v>
      </c>
      <c r="HT40" s="5">
        <v>1.08E-5</v>
      </c>
      <c r="HU40" s="5">
        <v>6.3799999999999997E-7</v>
      </c>
      <c r="HV40" s="5">
        <v>1.2500000000000001E-5</v>
      </c>
      <c r="HW40" s="5">
        <v>1.08E-5</v>
      </c>
      <c r="HX40" s="5">
        <v>3.4700000000000002E-7</v>
      </c>
      <c r="HY40">
        <v>2.39470609212099E-3</v>
      </c>
      <c r="HZ40" s="5">
        <v>2.4202481897135399E-3</v>
      </c>
      <c r="IA40">
        <v>1.02</v>
      </c>
      <c r="IB40" s="5">
        <v>7.11</v>
      </c>
      <c r="IC40">
        <v>1.4300000000000001E-3</v>
      </c>
      <c r="ID40">
        <f t="shared" ref="ID40:ID66" si="5">IA40*7</f>
        <v>7.1400000000000006</v>
      </c>
      <c r="IE40">
        <f t="shared" ref="IE40:IE66" si="6">IB40*7</f>
        <v>49.77</v>
      </c>
      <c r="IF40">
        <f t="shared" ref="IF40:IF66" si="7">IC40*7</f>
        <v>1.001E-2</v>
      </c>
      <c r="IG40" s="5">
        <v>2.1699999999999999E-5</v>
      </c>
      <c r="IH40">
        <v>1.3100000000000001E-4</v>
      </c>
      <c r="II40">
        <v>3.8099999999999999E-4</v>
      </c>
      <c r="IJ40">
        <v>1.9000000000000001E-4</v>
      </c>
      <c r="IK40">
        <v>3.6699999999999998E-4</v>
      </c>
      <c r="IL40">
        <v>-4.9199999999999999E-3</v>
      </c>
      <c r="IM40">
        <v>-6.6799999999999998E-2</v>
      </c>
      <c r="IN40">
        <v>-5.8500000000000003E-2</v>
      </c>
      <c r="IO40">
        <v>-2.4499999999999999E-3</v>
      </c>
      <c r="IP40" s="5">
        <v>-5.02E-5</v>
      </c>
      <c r="IQ40">
        <v>1.2241468164508099E-3</v>
      </c>
      <c r="IR40" s="5">
        <v>3.2515608053504098E-6</v>
      </c>
      <c r="IS40" s="5">
        <v>1.9608921938779601E-5</v>
      </c>
      <c r="IT40">
        <v>2.7405295001974402E-4</v>
      </c>
      <c r="IU40" s="5">
        <v>4.8910141068267301E-5</v>
      </c>
      <c r="IV40">
        <v>3.2836706310556199E-4</v>
      </c>
      <c r="IW40">
        <v>4.12171982566745E-4</v>
      </c>
      <c r="IX40">
        <v>2.4826954587022399E-3</v>
      </c>
      <c r="IY40">
        <v>3.6082430147857999E-4</v>
      </c>
      <c r="IZ40">
        <v>1.2381899032247099E-4</v>
      </c>
      <c r="JA40">
        <f t="shared" si="4"/>
        <v>8.4794440164560498</v>
      </c>
    </row>
    <row r="41" spans="1:261" x14ac:dyDescent="0.3">
      <c r="A41" t="s">
        <v>150</v>
      </c>
      <c r="B41" s="5">
        <v>8.3000000000000002E-6</v>
      </c>
      <c r="C41" s="5">
        <v>1.1200000000000001E-6</v>
      </c>
      <c r="D41" s="5">
        <v>1.96E-8</v>
      </c>
      <c r="E41">
        <v>1.04E-7</v>
      </c>
      <c r="F41">
        <v>5.4000000000000002E-7</v>
      </c>
      <c r="G41">
        <v>1.1400000000000001E-6</v>
      </c>
      <c r="H41">
        <v>8.1500000000000003E-7</v>
      </c>
      <c r="I41" s="5"/>
      <c r="J41" s="5">
        <v>1.34E-5</v>
      </c>
      <c r="K41" s="5">
        <v>2E-8</v>
      </c>
      <c r="L41" s="5"/>
      <c r="M41" s="5">
        <v>2.0100000000000001E-5</v>
      </c>
      <c r="N41" s="5">
        <v>3.2799999999999999E-6</v>
      </c>
      <c r="O41" s="5"/>
      <c r="P41" s="5">
        <v>1.34E-5</v>
      </c>
      <c r="Q41" s="5">
        <v>2.0599999999999999E-8</v>
      </c>
      <c r="R41" s="5">
        <v>1.3699999999999999E-5</v>
      </c>
      <c r="S41" s="5"/>
      <c r="T41" s="5">
        <v>9.8000000000000004E-8</v>
      </c>
      <c r="U41" s="5">
        <v>1.34E-5</v>
      </c>
      <c r="V41" s="5"/>
      <c r="W41" s="5">
        <v>2.1100000000000001E-6</v>
      </c>
      <c r="X41" s="5">
        <v>1.34E-5</v>
      </c>
      <c r="Y41" s="5"/>
      <c r="Z41" s="5">
        <v>1.22E-8</v>
      </c>
      <c r="AA41" s="5">
        <v>1.34E-5</v>
      </c>
      <c r="AB41" s="5"/>
      <c r="AC41" s="5">
        <v>5.99E-7</v>
      </c>
      <c r="AD41" s="5">
        <v>1.91E-7</v>
      </c>
      <c r="AE41" s="5">
        <v>1.4999999999999999E-7</v>
      </c>
      <c r="AF41" s="5">
        <v>5.3599999999999997E-9</v>
      </c>
      <c r="AG41" s="5">
        <v>1.34E-5</v>
      </c>
      <c r="AI41" s="5">
        <v>2E-8</v>
      </c>
      <c r="AJ41" s="5">
        <v>1.04E-5</v>
      </c>
      <c r="AK41" s="5">
        <v>5.5400000000000001E-7</v>
      </c>
      <c r="AL41" s="5">
        <v>1.4300000000000001E-6</v>
      </c>
      <c r="AM41" s="5">
        <v>1.08E-7</v>
      </c>
      <c r="AO41" s="5">
        <v>4.0199999999999998E-9</v>
      </c>
      <c r="AP41" s="5">
        <v>4.4000000000000002E-6</v>
      </c>
      <c r="AQ41" s="5">
        <v>2.6600000000000003E-7</v>
      </c>
      <c r="AR41" s="5">
        <v>4.6699999999999999E-7</v>
      </c>
      <c r="AS41" s="5">
        <v>1.06E-7</v>
      </c>
      <c r="AT41" s="5">
        <v>1.73361162297123E-7</v>
      </c>
      <c r="AU41" s="5">
        <v>1.1644289574957899E-9</v>
      </c>
      <c r="AV41" s="5">
        <v>8.2342724158861595E-9</v>
      </c>
      <c r="AW41" s="5">
        <v>1.9142626770516301E-6</v>
      </c>
      <c r="AX41" s="5">
        <v>1.2480777640655699E-7</v>
      </c>
      <c r="AY41" s="5">
        <v>3.5700000000000002E-8</v>
      </c>
      <c r="AZ41" s="5">
        <v>3.58E-9</v>
      </c>
      <c r="BA41" s="5">
        <v>1.21E-10</v>
      </c>
      <c r="BB41" s="5">
        <v>7.7000000000000001E-8</v>
      </c>
      <c r="BC41" s="5">
        <v>2.2800000000000002E-6</v>
      </c>
      <c r="BD41" s="5">
        <v>8.0400000000000005E-8</v>
      </c>
      <c r="BE41" s="5">
        <v>1.3199999999999999E-7</v>
      </c>
      <c r="BF41" s="5">
        <v>1.7099999999999999E-6</v>
      </c>
      <c r="BG41" s="5">
        <v>1.49E-9</v>
      </c>
      <c r="BH41" s="5">
        <v>1.4600000000000001E-7</v>
      </c>
      <c r="BI41" s="5">
        <v>7.0599999999999997E-8</v>
      </c>
      <c r="BJ41" s="5">
        <v>1.0900000000000001E-5</v>
      </c>
      <c r="BK41" s="5"/>
      <c r="BL41" s="5">
        <v>1.54E-7</v>
      </c>
      <c r="BM41" s="5">
        <v>5.3400000000000002E-8</v>
      </c>
      <c r="BN41" s="5">
        <v>1.7599999999999999E-8</v>
      </c>
      <c r="BO41" s="5">
        <v>2.2800000000000002E-6</v>
      </c>
      <c r="BP41" s="5"/>
      <c r="BQ41" s="5">
        <v>2.7599999999999999E-8</v>
      </c>
      <c r="BR41" s="5">
        <v>1.0999999999999999E-8</v>
      </c>
      <c r="BS41" s="5">
        <v>4.7142850996649E-9</v>
      </c>
      <c r="BT41" s="5">
        <v>1.2700000000000001E-7</v>
      </c>
      <c r="BU41" s="5">
        <v>9.9000000000000001E-6</v>
      </c>
      <c r="BV41" s="5"/>
      <c r="BW41" s="5">
        <v>1.1600000000000001E-7</v>
      </c>
      <c r="BX41" s="5">
        <v>3.9300000000000001E-8</v>
      </c>
      <c r="BY41" s="5">
        <v>1.24E-7</v>
      </c>
      <c r="BZ41" s="5">
        <v>1.0900000000000001E-5</v>
      </c>
      <c r="CA41" s="5"/>
      <c r="CB41" s="5">
        <v>1.3899999999999999E-7</v>
      </c>
      <c r="CC41" s="5">
        <v>7.8600000000000006E-9</v>
      </c>
      <c r="CD41" s="5">
        <v>1.26E-8</v>
      </c>
      <c r="CE41" s="5">
        <v>1.5867012675641801E-7</v>
      </c>
      <c r="CF41" s="5">
        <v>1.0900000000000001E-5</v>
      </c>
      <c r="CG41" s="5"/>
      <c r="CH41" s="5">
        <v>1.5200000000000001E-7</v>
      </c>
      <c r="CI41" s="5">
        <v>9.4300000000000007E-9</v>
      </c>
      <c r="CJ41" s="5">
        <v>3.4599999999999999E-8</v>
      </c>
      <c r="CK41" s="5">
        <v>3.2799999999999998E-9</v>
      </c>
      <c r="CL41" s="5">
        <v>2.1400000000000001E-7</v>
      </c>
      <c r="CM41" s="5">
        <v>3.1899999999999998E-7</v>
      </c>
      <c r="CN41" s="5">
        <v>2.2699999999999998E-9</v>
      </c>
      <c r="CO41" s="5"/>
      <c r="CP41" s="5">
        <v>3.6330038305444001E-10</v>
      </c>
      <c r="CQ41" s="5">
        <v>2.3269679450987001E-9</v>
      </c>
      <c r="CR41" s="5">
        <v>2.2165273554545502E-6</v>
      </c>
      <c r="CS41" s="5">
        <v>6.9865737449747603E-10</v>
      </c>
      <c r="CT41" s="5">
        <v>1.69914847629014E-6</v>
      </c>
      <c r="CU41" s="5">
        <v>4.7179647291843097E-8</v>
      </c>
      <c r="CV41" s="5">
        <v>-2.9900000000000003E-8</v>
      </c>
      <c r="CW41" s="5">
        <v>4.7700000000000001E-6</v>
      </c>
      <c r="CX41" s="5">
        <v>5.5999999999999995E-4</v>
      </c>
      <c r="CY41" s="5">
        <v>5.91E-8</v>
      </c>
      <c r="CZ41" s="5">
        <v>2.79E-7</v>
      </c>
      <c r="DA41" s="5">
        <v>5.4099999999999999E-6</v>
      </c>
      <c r="DB41" s="5">
        <v>1.4899999999999999E-8</v>
      </c>
      <c r="DC41" s="5">
        <v>2.01E-11</v>
      </c>
      <c r="DD41" s="5">
        <v>3E-10</v>
      </c>
      <c r="DE41" s="5">
        <v>4.1200000000000002E-10</v>
      </c>
      <c r="DF41" s="5">
        <v>3.0586016534642099E-7</v>
      </c>
      <c r="DG41" s="5">
        <v>1.25714269324397E-8</v>
      </c>
      <c r="DH41" s="5">
        <v>8.5E-9</v>
      </c>
      <c r="DI41" s="5">
        <v>2.4300000000000001E-5</v>
      </c>
      <c r="DJ41" s="5">
        <v>8.6400000000000006E-8</v>
      </c>
      <c r="DK41" s="5">
        <v>3.1699999999999999E-7</v>
      </c>
      <c r="DL41" s="5">
        <v>1.0800000000000001E-8</v>
      </c>
      <c r="DM41" s="5">
        <v>4.66E-9</v>
      </c>
      <c r="DN41" s="5">
        <v>8.93332022812501E-6</v>
      </c>
      <c r="DO41" s="5">
        <v>8.0910771545004797E-9</v>
      </c>
      <c r="DP41" s="5">
        <v>5.0722918783649002E-7</v>
      </c>
      <c r="DQ41" s="5">
        <v>6.4199999999999998E-9</v>
      </c>
      <c r="DR41" s="5">
        <v>7.4799999999999997E-7</v>
      </c>
      <c r="DS41" s="5">
        <v>1.01E-5</v>
      </c>
      <c r="DT41" s="5">
        <v>2.4199999999999999E-10</v>
      </c>
      <c r="DU41" s="5">
        <v>2.1700000000000002E-9</v>
      </c>
      <c r="DV41" s="5">
        <v>2.6422686132205899E-6</v>
      </c>
      <c r="DW41" s="5">
        <v>1.21100611579563E-9</v>
      </c>
      <c r="DX41" s="5">
        <v>8.93332022812501E-6</v>
      </c>
      <c r="DY41" s="5">
        <v>2.4789836985225798E-7</v>
      </c>
      <c r="DZ41" s="5">
        <v>1.2700000000000001E-7</v>
      </c>
      <c r="EA41" s="5">
        <v>1.79E-10</v>
      </c>
      <c r="EB41" s="5">
        <v>2.3900000000000002E-5</v>
      </c>
      <c r="EC41" s="5">
        <v>9.6700000000000006E-6</v>
      </c>
      <c r="ED41" s="5">
        <v>6.7400000000000003E-7</v>
      </c>
      <c r="EE41" s="5">
        <v>1.5088921026201801E-7</v>
      </c>
      <c r="EF41" s="5">
        <v>2.0333825336084101E-8</v>
      </c>
      <c r="EG41" s="5">
        <v>6.1868531557413901E-9</v>
      </c>
      <c r="EH41" s="5">
        <v>3.4125431343427003E-5</v>
      </c>
      <c r="EI41" s="5">
        <v>2.3963053088201299E-5</v>
      </c>
      <c r="EJ41" s="5">
        <v>9.4285701993298003E-8</v>
      </c>
      <c r="EK41" s="5">
        <v>3.9176503480855399E-7</v>
      </c>
      <c r="EL41" s="5">
        <v>-1.75E-9</v>
      </c>
      <c r="EM41" s="5">
        <v>2.1400000000000001E-7</v>
      </c>
      <c r="EN41" s="5">
        <v>6.3899999999999998E-6</v>
      </c>
      <c r="EO41" s="5">
        <v>4.8499999999999998E-8</v>
      </c>
      <c r="EP41" s="5">
        <v>1.2299999999999999E-8</v>
      </c>
      <c r="EQ41" s="5">
        <v>3.1019944944684101E-9</v>
      </c>
      <c r="ER41" s="5">
        <v>1.10813433096129E-4</v>
      </c>
      <c r="ES41" s="5">
        <v>9.5215069298613705E-8</v>
      </c>
      <c r="ET41" s="5">
        <v>2.5700000000000001E-5</v>
      </c>
      <c r="EU41" s="5">
        <v>1.2700000000000001E-7</v>
      </c>
      <c r="EV41" s="5">
        <v>1.6899999999999999E-7</v>
      </c>
      <c r="EW41" s="5">
        <v>5.4599999999999998E-9</v>
      </c>
      <c r="EX41" s="5">
        <v>8.6700000000000002E-7</v>
      </c>
      <c r="EY41" s="5">
        <v>3.0400000000000001E-8</v>
      </c>
      <c r="EZ41" s="5">
        <v>1.52899250006473E-6</v>
      </c>
      <c r="FA41" s="5">
        <v>0</v>
      </c>
      <c r="FB41" s="5">
        <v>8.0106548427043802E-8</v>
      </c>
      <c r="FC41" s="5">
        <v>9.3688490653206396E-6</v>
      </c>
      <c r="FD41" s="5">
        <v>2.5517639878554599E-6</v>
      </c>
      <c r="FE41" s="5">
        <v>4.8482358947500503E-8</v>
      </c>
      <c r="FF41" s="5">
        <v>1.7363202849713101E-8</v>
      </c>
      <c r="FG41" s="5">
        <v>8.1510027024705504E-10</v>
      </c>
      <c r="FH41" s="5">
        <v>6.3700000000000001E-9</v>
      </c>
      <c r="FI41" s="5">
        <v>1.1300000000000001E-7</v>
      </c>
      <c r="FJ41" s="5">
        <v>4.1299999999999996E-9</v>
      </c>
      <c r="FK41" s="5">
        <v>8.1699999999999997E-7</v>
      </c>
      <c r="FL41" s="5">
        <v>3.9899999999999997E-9</v>
      </c>
      <c r="FM41" s="5">
        <v>6.13E-8</v>
      </c>
      <c r="FN41" s="5">
        <v>6.5000000000000002E-7</v>
      </c>
      <c r="FO41" s="5">
        <v>4.2599999999999998E-8</v>
      </c>
      <c r="FP41" s="5">
        <v>3.7200000000000001E-10</v>
      </c>
      <c r="FQ41" s="5">
        <v>4.2399999999999998E-10</v>
      </c>
      <c r="FR41" s="5">
        <v>5.9599999999999997E-6</v>
      </c>
      <c r="FS41" s="5">
        <v>0</v>
      </c>
      <c r="FT41" s="5">
        <v>1.27741208436101E-8</v>
      </c>
      <c r="FU41" s="5">
        <v>2.6599999999999999E-6</v>
      </c>
      <c r="FV41" s="5">
        <v>4.0400000000000001E-9</v>
      </c>
      <c r="FW41" s="5">
        <v>4.1200000000000002E-10</v>
      </c>
      <c r="FX41" s="5">
        <v>2.03E-8</v>
      </c>
      <c r="FY41" s="5">
        <v>1.0999999999999999E-8</v>
      </c>
      <c r="FZ41" s="5">
        <v>1.55E-7</v>
      </c>
      <c r="GA41" s="5">
        <v>1.4700000000000001E-9</v>
      </c>
      <c r="GB41" s="5"/>
      <c r="GC41" s="5">
        <v>5.6699999999999997E-9</v>
      </c>
      <c r="GD41" s="5">
        <v>2.5100000000000001E-7</v>
      </c>
      <c r="GE41" s="5">
        <v>5.8414130090713305E-7</v>
      </c>
      <c r="GF41" s="5">
        <v>2.4999999999999999E-7</v>
      </c>
      <c r="GG41" s="5">
        <v>1.9500000000000001E-9</v>
      </c>
      <c r="GH41" s="5"/>
      <c r="GI41" s="5">
        <v>5.6699999999999997E-9</v>
      </c>
      <c r="GJ41" s="5">
        <v>2.5100000000000001E-7</v>
      </c>
      <c r="GK41" s="5">
        <v>6.6132794161528299E-7</v>
      </c>
      <c r="GL41" s="5">
        <v>9.4285701993298E-9</v>
      </c>
      <c r="GM41" s="5">
        <v>1.37E-6</v>
      </c>
      <c r="GN41" s="5">
        <v>4.9999999999999998E-7</v>
      </c>
      <c r="GO41" s="5">
        <v>8.5500000000000005E-9</v>
      </c>
      <c r="GP41" s="5">
        <v>5.5899999999999997E-5</v>
      </c>
      <c r="GQ41" s="5">
        <v>5.4599999999999999E-8</v>
      </c>
      <c r="GR41" s="5">
        <v>1.19232294246957E-9</v>
      </c>
      <c r="GS41" s="5">
        <v>1.12953230233286E-5</v>
      </c>
      <c r="GT41" s="5">
        <v>3.6558309713339999E-6</v>
      </c>
      <c r="GU41" s="5">
        <v>1.40631659297297E-8</v>
      </c>
      <c r="GV41" s="5">
        <v>2.42200255369626E-9</v>
      </c>
      <c r="GW41" s="5">
        <v>4.2199999999999999E-9</v>
      </c>
      <c r="GX41" s="5">
        <v>4.3099999999999998E-7</v>
      </c>
      <c r="GY41" s="5">
        <v>4.66E-9</v>
      </c>
      <c r="GZ41" s="5">
        <v>1.53E-6</v>
      </c>
      <c r="HA41" s="5">
        <v>3.9899999999999997E-9</v>
      </c>
      <c r="HB41" s="5">
        <v>1.15E-7</v>
      </c>
      <c r="HC41" s="5">
        <v>2.8499999999999998E-6</v>
      </c>
      <c r="HD41" s="5">
        <v>9.9300000000000002E-9</v>
      </c>
      <c r="HE41" s="5">
        <v>3.1699999999999998E-11</v>
      </c>
      <c r="HF41" s="5">
        <v>1.28E-6</v>
      </c>
      <c r="HG41" s="5">
        <v>2.18E-8</v>
      </c>
      <c r="HH41" s="5">
        <v>3.4113802717297398E-6</v>
      </c>
      <c r="HI41" s="5">
        <v>7.5300000000000003E-7</v>
      </c>
      <c r="HJ41" s="5">
        <v>8.5500000000000005E-9</v>
      </c>
      <c r="HK41" s="5">
        <v>6.3700000000000001E-9</v>
      </c>
      <c r="HL41" s="5">
        <v>7.6599999999999995E-7</v>
      </c>
      <c r="HM41" s="5">
        <v>4.1199999999999998E-8</v>
      </c>
      <c r="HN41" s="5">
        <v>1.4600000000000001E-7</v>
      </c>
      <c r="HO41" s="5">
        <v>4.4700000000000001E-10</v>
      </c>
      <c r="HP41" s="5">
        <v>1.7099999999999999E-6</v>
      </c>
      <c r="HQ41" s="5">
        <v>1.75E-9</v>
      </c>
      <c r="HR41" s="5">
        <v>1.73E-7</v>
      </c>
      <c r="HS41" s="5">
        <v>9.7100000000000006E-10</v>
      </c>
      <c r="HT41" s="5">
        <v>1.7099999999999999E-6</v>
      </c>
      <c r="HU41" s="5">
        <v>1.9099999999999998E-9</v>
      </c>
      <c r="HV41" s="5">
        <v>1.48E-8</v>
      </c>
      <c r="HW41" s="5">
        <v>1.7099999999999999E-6</v>
      </c>
      <c r="HX41" s="5">
        <v>1.0399999999999999E-9</v>
      </c>
      <c r="HY41" s="5">
        <v>1.0066226917835801E-3</v>
      </c>
      <c r="HZ41" s="5">
        <v>7.2370695673431703E-6</v>
      </c>
      <c r="IA41" s="5">
        <v>9.9900000000000006E-3</v>
      </c>
      <c r="IB41" s="5"/>
      <c r="ID41">
        <f t="shared" si="5"/>
        <v>6.9930000000000006E-2</v>
      </c>
      <c r="IE41">
        <f t="shared" si="6"/>
        <v>0</v>
      </c>
      <c r="IF41">
        <f t="shared" si="7"/>
        <v>0</v>
      </c>
      <c r="IG41" s="5">
        <v>7.0200000000000007E-8</v>
      </c>
      <c r="IH41" s="5">
        <v>4.2300000000000002E-7</v>
      </c>
      <c r="II41" s="5">
        <v>1.8700000000000001E-6</v>
      </c>
      <c r="IJ41" s="5">
        <v>3.8099999999999998E-7</v>
      </c>
      <c r="IK41">
        <v>3.28E-4</v>
      </c>
      <c r="IL41" s="5">
        <v>-4.1899999999999997E-6</v>
      </c>
      <c r="IM41" s="5">
        <v>-8.5799999999999998E-5</v>
      </c>
      <c r="IN41" s="5">
        <v>-7.5700000000000004E-6</v>
      </c>
      <c r="IO41" s="5">
        <v>-4.3699999999999997E-6</v>
      </c>
      <c r="IP41" s="5">
        <v>-6.1500000000000004E-7</v>
      </c>
      <c r="IQ41" s="5">
        <v>-5.0929154017994003E-6</v>
      </c>
      <c r="IR41" s="5">
        <v>1.0521046072020399E-8</v>
      </c>
      <c r="IS41" s="5">
        <v>6.3476760876449405E-8</v>
      </c>
      <c r="IT41" s="5">
        <v>1.3457552647619801E-6</v>
      </c>
      <c r="IU41" s="5">
        <v>9.8205877676751297E-8</v>
      </c>
      <c r="IV41">
        <v>2.93679930713236E-4</v>
      </c>
      <c r="IW41" s="5">
        <v>4.2007513660037602E-7</v>
      </c>
      <c r="IX41" s="5">
        <v>2.5302996760159198E-6</v>
      </c>
      <c r="IY41" s="5">
        <v>4.5268511835294501E-7</v>
      </c>
      <c r="IZ41" s="5">
        <v>4.7750896234831804E-7</v>
      </c>
      <c r="JA41">
        <f t="shared" si="4"/>
        <v>1.219259818425958E-2</v>
      </c>
    </row>
    <row r="42" spans="1:261" x14ac:dyDescent="0.3">
      <c r="A42" t="s">
        <v>151</v>
      </c>
      <c r="B42">
        <v>2.3500000000000001E-3</v>
      </c>
      <c r="C42" s="5">
        <v>3.1399999999999998E-5</v>
      </c>
      <c r="D42" s="5">
        <v>6.4699999999999999E-6</v>
      </c>
      <c r="E42">
        <v>2.6699999999999998E-4</v>
      </c>
      <c r="F42">
        <v>2.0799999999999999E-4</v>
      </c>
      <c r="G42">
        <v>2.8200000000000001E-5</v>
      </c>
      <c r="H42">
        <v>6.6299999999999996E-4</v>
      </c>
      <c r="J42" s="5">
        <v>2.6800000000000001E-5</v>
      </c>
      <c r="K42" s="5">
        <v>6.6200000000000001E-6</v>
      </c>
      <c r="M42" s="5">
        <v>4.0200000000000001E-5</v>
      </c>
      <c r="N42" s="5">
        <v>2.6700000000000001E-3</v>
      </c>
      <c r="P42" s="5">
        <v>2.6800000000000001E-5</v>
      </c>
      <c r="Q42" s="5">
        <v>6.81E-6</v>
      </c>
      <c r="R42" s="5">
        <v>-5.1699999999999996E-6</v>
      </c>
      <c r="S42" s="5">
        <v>4.9100000000000001E-4</v>
      </c>
      <c r="T42" s="5">
        <v>3.2400000000000001E-5</v>
      </c>
      <c r="U42" s="5">
        <v>2.6800000000000001E-5</v>
      </c>
      <c r="V42" s="5"/>
      <c r="W42" s="5">
        <v>1.72E-3</v>
      </c>
      <c r="X42" s="5">
        <v>2.6800000000000001E-5</v>
      </c>
      <c r="Y42" s="5"/>
      <c r="Z42" s="5">
        <v>4.0500000000000002E-6</v>
      </c>
      <c r="AA42" s="5">
        <v>2.6800000000000001E-5</v>
      </c>
      <c r="AB42" s="5"/>
      <c r="AC42" s="5">
        <v>4.8700000000000002E-4</v>
      </c>
      <c r="AD42" s="5">
        <v>4.6999999999999999E-4</v>
      </c>
      <c r="AE42" s="5">
        <v>1.1299999999999999E-3</v>
      </c>
      <c r="AF42" s="5">
        <v>1.07E-8</v>
      </c>
      <c r="AG42" s="5">
        <v>2.6800000000000001E-5</v>
      </c>
      <c r="AI42" s="5">
        <v>6.6200000000000001E-6</v>
      </c>
      <c r="AJ42">
        <v>1.2899999999999999E-3</v>
      </c>
      <c r="AK42" s="5">
        <v>6.8499999999999998E-5</v>
      </c>
      <c r="AL42">
        <v>1.6900000000000001E-3</v>
      </c>
      <c r="AM42">
        <v>1.2799999999999999E-4</v>
      </c>
      <c r="AO42" s="5">
        <v>9.8800000000000003E-6</v>
      </c>
      <c r="AP42">
        <v>3.3800000000000002E-3</v>
      </c>
      <c r="AQ42">
        <v>2.0100000000000001E-4</v>
      </c>
      <c r="AR42">
        <v>3.9399999999999998E-4</v>
      </c>
      <c r="AS42" s="5">
        <v>2.5999999999999998E-4</v>
      </c>
      <c r="AT42">
        <v>1.31327223774952E-4</v>
      </c>
      <c r="AU42" s="5">
        <v>9.0395840826401107E-6</v>
      </c>
      <c r="AV42" s="5">
        <v>9.7258366262106001E-6</v>
      </c>
      <c r="AW42" s="5">
        <v>-5.6597053025741901E-8</v>
      </c>
      <c r="AX42" s="5">
        <v>4.1273284676089501E-5</v>
      </c>
      <c r="AY42" s="5">
        <v>3.0000000000000001E-5</v>
      </c>
      <c r="AZ42" s="5">
        <v>8.7800000000000006E-6</v>
      </c>
      <c r="BA42" s="5">
        <v>1.4100000000000001E-6</v>
      </c>
      <c r="BB42" s="5">
        <v>6.8200000000000004E-5</v>
      </c>
      <c r="BC42" s="5">
        <v>-8.6099999999999999E-7</v>
      </c>
      <c r="BD42" s="5">
        <v>2.6599999999999999E-5</v>
      </c>
      <c r="BE42" s="5">
        <v>1.8E-5</v>
      </c>
      <c r="BF42" s="5">
        <v>-6.4600000000000004E-7</v>
      </c>
      <c r="BG42" s="5">
        <v>4.9399999999999995E-7</v>
      </c>
      <c r="BH42" s="5">
        <v>4.55E-4</v>
      </c>
      <c r="BI42" s="5">
        <v>9.6299999999999993E-6</v>
      </c>
      <c r="BJ42" s="5">
        <v>-4.1300000000000003E-6</v>
      </c>
      <c r="BK42" s="5"/>
      <c r="BL42" s="5">
        <v>5.0800000000000002E-5</v>
      </c>
      <c r="BM42" s="5">
        <v>2.73E-5</v>
      </c>
      <c r="BN42" s="5">
        <v>5.4799999999999997E-5</v>
      </c>
      <c r="BO42" s="5">
        <v>-8.6099999999999999E-7</v>
      </c>
      <c r="BP42" s="5"/>
      <c r="BQ42" s="5">
        <v>9.1400000000000006E-6</v>
      </c>
      <c r="BR42" s="5">
        <v>5.6200000000000004E-6</v>
      </c>
      <c r="BS42" s="5">
        <v>2.4098280432666701E-6</v>
      </c>
      <c r="BT42" s="5">
        <v>3.9500000000000001E-4</v>
      </c>
      <c r="BU42" s="5">
        <v>-3.7500000000000001E-6</v>
      </c>
      <c r="BV42" s="5"/>
      <c r="BW42" s="5">
        <v>3.8500000000000001E-5</v>
      </c>
      <c r="BX42" s="5">
        <v>2.0100000000000001E-5</v>
      </c>
      <c r="BY42" s="5">
        <v>3.8699999999999997E-4</v>
      </c>
      <c r="BZ42" s="5">
        <v>-4.1300000000000003E-6</v>
      </c>
      <c r="CA42" s="5"/>
      <c r="CB42" s="5">
        <v>4.5800000000000002E-5</v>
      </c>
      <c r="CC42" s="5">
        <v>4.0199999999999996E-6</v>
      </c>
      <c r="CD42" s="5">
        <v>6.4300000000000003E-6</v>
      </c>
      <c r="CE42" s="5">
        <v>4.9443879117531703E-4</v>
      </c>
      <c r="CF42" s="5">
        <v>-4.1300000000000003E-6</v>
      </c>
      <c r="CG42" s="5"/>
      <c r="CH42" s="5">
        <v>5.0300000000000003E-5</v>
      </c>
      <c r="CI42" s="5">
        <v>4.8199999999999996E-6</v>
      </c>
      <c r="CJ42" s="5">
        <v>1.77E-5</v>
      </c>
      <c r="CK42" s="5">
        <v>8.0499999999999992E-6</v>
      </c>
      <c r="CL42" s="5">
        <v>1.65E-4</v>
      </c>
      <c r="CM42" s="5">
        <v>2.6899999999999998E-4</v>
      </c>
      <c r="CN42" s="5">
        <v>5.5600000000000001E-6</v>
      </c>
      <c r="CO42" s="5">
        <v>4.3999999999999999E-5</v>
      </c>
      <c r="CP42" s="5">
        <v>2.6949027394642301E-6</v>
      </c>
      <c r="CQ42" s="5">
        <v>7.25116467351518E-6</v>
      </c>
      <c r="CR42" s="5">
        <v>3.0204157456064599E-4</v>
      </c>
      <c r="CS42" s="5">
        <v>5.26370211640278E-6</v>
      </c>
      <c r="CT42" s="5">
        <v>-5.0062097139020199E-8</v>
      </c>
      <c r="CU42" s="5">
        <v>1.5602064788419899E-5</v>
      </c>
      <c r="CV42" s="5">
        <v>1.22E-4</v>
      </c>
      <c r="CW42" s="5">
        <v>2.63E-3</v>
      </c>
      <c r="CX42" s="5">
        <v>-8.6300000000000005E-4</v>
      </c>
      <c r="CY42" s="5">
        <v>5.9500000000000004E-4</v>
      </c>
      <c r="CZ42" s="5">
        <v>9.2299999999999994E-5</v>
      </c>
      <c r="DA42" s="5">
        <v>4.5399999999999998E-3</v>
      </c>
      <c r="DB42" s="5">
        <v>3.65E-5</v>
      </c>
      <c r="DC42" s="5">
        <v>1.5599999999999999E-7</v>
      </c>
      <c r="DD42" s="5">
        <v>2.26E-6</v>
      </c>
      <c r="DE42" s="5">
        <v>-1.1900000000000001E-11</v>
      </c>
      <c r="DF42" s="5">
        <v>1.01146371154765E-4</v>
      </c>
      <c r="DG42" s="5">
        <v>6.4262081153777804E-6</v>
      </c>
      <c r="DH42" s="5">
        <v>2.09E-5</v>
      </c>
      <c r="DI42" s="5">
        <v>1.8800000000000001E-2</v>
      </c>
      <c r="DJ42" s="5">
        <v>2.12E-4</v>
      </c>
      <c r="DK42" s="5">
        <v>2.72E-4</v>
      </c>
      <c r="DL42" s="5">
        <v>1.2799999999999999E-5</v>
      </c>
      <c r="DM42" s="5">
        <v>3.5099999999999999E-5</v>
      </c>
      <c r="DN42" s="5">
        <v>-2.6415436735813999E-7</v>
      </c>
      <c r="DO42" s="5">
        <v>1.7542475752805301E-6</v>
      </c>
      <c r="DP42">
        <v>1.6773806303063999E-4</v>
      </c>
      <c r="DQ42" s="5">
        <v>1.5800000000000001E-5</v>
      </c>
      <c r="DR42" s="5">
        <v>1.02E-4</v>
      </c>
      <c r="DS42" s="5">
        <v>7.6499999999999997E-3</v>
      </c>
      <c r="DT42" s="5">
        <v>1.7999999999999999E-6</v>
      </c>
      <c r="DU42" s="5">
        <v>2.5600000000000001E-6</v>
      </c>
      <c r="DV42" s="5">
        <v>3.6005645063904798E-4</v>
      </c>
      <c r="DW42" s="5">
        <v>9.1237503350981505E-6</v>
      </c>
      <c r="DX42" s="5">
        <v>-2.6415436735813999E-7</v>
      </c>
      <c r="DY42" s="5">
        <v>8.1978705848598097E-5</v>
      </c>
      <c r="DZ42" s="5">
        <v>5.44E-4</v>
      </c>
      <c r="EA42" s="5">
        <v>7.6799999999999999E-7</v>
      </c>
      <c r="EB42" s="5">
        <v>1.9199999999999998E-2</v>
      </c>
      <c r="EC42" s="5">
        <v>7.6400000000000001E-3</v>
      </c>
      <c r="ED42" s="5">
        <v>5.7700000000000004E-4</v>
      </c>
      <c r="EE42" s="5">
        <v>6.4740445689985603E-4</v>
      </c>
      <c r="EF42" s="5">
        <v>2.4567516197046401E-5</v>
      </c>
      <c r="EG42" s="5">
        <v>8.0550662956709704E-5</v>
      </c>
      <c r="EH42" s="5">
        <v>-1.2917315795312301E-5</v>
      </c>
      <c r="EI42" s="5">
        <v>1.9492423937742601E-2</v>
      </c>
      <c r="EJ42" s="5">
        <v>4.8196560865333402E-5</v>
      </c>
      <c r="EK42">
        <v>4.7333414539642798E-4</v>
      </c>
      <c r="EL42" s="5">
        <v>7.1099999999999997E-6</v>
      </c>
      <c r="EM42" s="5">
        <v>5.2400000000000005E-4</v>
      </c>
      <c r="EN42" s="5">
        <v>4.8999999999999998E-3</v>
      </c>
      <c r="EO42" s="5">
        <v>6.1399999999999997E-6</v>
      </c>
      <c r="EP42" s="5">
        <v>1.45E-5</v>
      </c>
      <c r="EQ42" s="5">
        <v>2.3370504029027599E-5</v>
      </c>
      <c r="ER42" s="5">
        <v>-1.7223922622273201E-4</v>
      </c>
      <c r="ES42" s="5">
        <v>3.1487129838880802E-5</v>
      </c>
      <c r="ET42" s="5">
        <v>1.9599999999999999E-2</v>
      </c>
      <c r="EU42" s="5">
        <v>9.6100000000000005E-5</v>
      </c>
      <c r="EV42" s="5">
        <v>4.15E-4</v>
      </c>
      <c r="EW42" s="5">
        <v>6.4500000000000001E-6</v>
      </c>
      <c r="EX42" s="5">
        <v>1.18E-4</v>
      </c>
      <c r="EY42" s="5">
        <v>2.2900000000000001E-4</v>
      </c>
      <c r="EZ42" s="5">
        <v>1.05535053601283E-6</v>
      </c>
      <c r="FA42" s="5">
        <v>0</v>
      </c>
      <c r="FB42" s="5">
        <v>2.6490820306567199E-5</v>
      </c>
      <c r="FC42" s="5">
        <v>7.2484486845741398E-3</v>
      </c>
      <c r="FD42" s="5">
        <v>1.9453837093060401E-3</v>
      </c>
      <c r="FE42" s="5">
        <v>3.6727104954011901E-5</v>
      </c>
      <c r="FF42" s="5">
        <v>4.2638793431115399E-5</v>
      </c>
      <c r="FG42" s="5">
        <v>6.3277088578480797E-6</v>
      </c>
      <c r="FH42" s="5">
        <v>7.52E-6</v>
      </c>
      <c r="FI42" s="5">
        <v>1.5299999999999999E-5</v>
      </c>
      <c r="FJ42" s="5">
        <v>3.1099999999999997E-5</v>
      </c>
      <c r="FK42" s="5">
        <v>-2.4100000000000001E-8</v>
      </c>
      <c r="FL42" s="5">
        <v>5.7599999999999997E-7</v>
      </c>
      <c r="FM42" s="5">
        <v>2.0299999999999999E-5</v>
      </c>
      <c r="FN42" s="5">
        <v>4.9200000000000003E-4</v>
      </c>
      <c r="FO42" s="5">
        <v>3.2299999999999999E-5</v>
      </c>
      <c r="FP42" s="5">
        <v>4.6499999999999999E-7</v>
      </c>
      <c r="FQ42" s="5">
        <v>3.05E-6</v>
      </c>
      <c r="FR42" s="5">
        <v>-2.26E-6</v>
      </c>
      <c r="FS42" s="5">
        <v>0</v>
      </c>
      <c r="FT42" s="5">
        <v>4.22433554418638E-6</v>
      </c>
      <c r="FU42" s="5">
        <v>1.6299999999999999E-3</v>
      </c>
      <c r="FV42" s="5">
        <v>9.9199999999999999E-6</v>
      </c>
      <c r="FW42" s="5">
        <v>-1.1900000000000001E-11</v>
      </c>
      <c r="FX42" s="5">
        <v>6.72E-6</v>
      </c>
      <c r="FY42" s="5">
        <v>5.6200000000000004E-6</v>
      </c>
      <c r="FZ42" s="5">
        <v>1.3200000000000001E-4</v>
      </c>
      <c r="GA42" s="5">
        <v>1.1200000000000001E-6</v>
      </c>
      <c r="GB42" s="5">
        <v>1.5299999999999999E-5</v>
      </c>
      <c r="GC42" s="5">
        <v>1.77E-5</v>
      </c>
      <c r="GD42" s="5">
        <v>-2.9900000000000003E-8</v>
      </c>
      <c r="GE42" s="5">
        <v>4.6473512286391899E-4</v>
      </c>
      <c r="GF42" s="5">
        <v>2.14E-4</v>
      </c>
      <c r="GG42" s="5">
        <v>7.0400000000000004E-6</v>
      </c>
      <c r="GH42" s="5">
        <v>2.3600000000000001E-5</v>
      </c>
      <c r="GI42" s="5">
        <v>1.77E-5</v>
      </c>
      <c r="GJ42" s="5">
        <v>-2.9900000000000003E-8</v>
      </c>
      <c r="GK42" s="5">
        <v>5.2752155986239503E-4</v>
      </c>
      <c r="GL42" s="5">
        <v>4.8196560865333402E-6</v>
      </c>
      <c r="GM42" s="5">
        <v>1.16E-3</v>
      </c>
      <c r="GN42" s="5">
        <v>4.6299999999999998E-4</v>
      </c>
      <c r="GO42" s="5">
        <v>2.0999999999999999E-5</v>
      </c>
      <c r="GP42" s="5">
        <v>-8.1799999999999996E-5</v>
      </c>
      <c r="GQ42" s="5">
        <v>1.8E-5</v>
      </c>
      <c r="GR42" s="5">
        <v>2.9279858150122198E-6</v>
      </c>
      <c r="GS42" s="5">
        <v>8.8598081447459898E-3</v>
      </c>
      <c r="GT42" s="5">
        <v>3.0703611484647199E-3</v>
      </c>
      <c r="GU42" s="5">
        <v>3.4534897291438002E-5</v>
      </c>
      <c r="GV42" s="5">
        <v>1.7966018263094901E-5</v>
      </c>
      <c r="GW42" s="5">
        <v>4.9899999999999997E-6</v>
      </c>
      <c r="GX42" s="5">
        <v>5.8799999999999999E-5</v>
      </c>
      <c r="GY42" s="5">
        <v>3.5099999999999999E-5</v>
      </c>
      <c r="GZ42" s="5">
        <v>-4.5300000000000002E-8</v>
      </c>
      <c r="HA42" s="5">
        <v>5.7599999999999997E-7</v>
      </c>
      <c r="HB42" s="5">
        <v>3.8099999999999998E-5</v>
      </c>
      <c r="HC42" s="5">
        <v>2.3999999999999998E-3</v>
      </c>
      <c r="HD42" s="5">
        <v>2.44E-5</v>
      </c>
      <c r="HE42" s="5">
        <v>2.4600000000000001E-7</v>
      </c>
      <c r="HF42" s="5">
        <v>-3.77E-8</v>
      </c>
      <c r="HG42" s="5">
        <v>7.1999999999999997E-6</v>
      </c>
      <c r="HH42" s="5">
        <v>2.6550797431612598E-3</v>
      </c>
      <c r="HI42" s="5">
        <v>6.4199999999999999E-4</v>
      </c>
      <c r="HJ42" s="5">
        <v>2.0999999999999999E-5</v>
      </c>
      <c r="HK42" s="5">
        <v>7.52E-6</v>
      </c>
      <c r="HL42" s="5">
        <v>-2.2600000000000001E-8</v>
      </c>
      <c r="HM42" s="5">
        <v>1.36E-5</v>
      </c>
      <c r="HN42" s="5">
        <v>1.2300000000000001E-4</v>
      </c>
      <c r="HO42" s="5">
        <v>1.1000000000000001E-6</v>
      </c>
      <c r="HP42" s="5">
        <v>-6.4600000000000004E-7</v>
      </c>
      <c r="HQ42" s="5">
        <v>5.7800000000000001E-7</v>
      </c>
      <c r="HR42" s="5">
        <v>1.46E-4</v>
      </c>
      <c r="HS42" s="5">
        <v>2.0999999999999998E-6</v>
      </c>
      <c r="HT42" s="5">
        <v>-6.4600000000000004E-7</v>
      </c>
      <c r="HU42" s="5">
        <v>6.3099999999999997E-7</v>
      </c>
      <c r="HV42" s="5">
        <v>1.2500000000000001E-5</v>
      </c>
      <c r="HW42" s="5">
        <v>-6.4600000000000004E-7</v>
      </c>
      <c r="HX42" s="5">
        <v>3.4400000000000001E-7</v>
      </c>
      <c r="HY42">
        <v>5.57158292890304E-4</v>
      </c>
      <c r="HZ42" s="5">
        <v>2.3932613902247599E-3</v>
      </c>
      <c r="IA42">
        <v>1.01</v>
      </c>
      <c r="IB42" s="5">
        <v>7.11</v>
      </c>
      <c r="ID42">
        <f t="shared" si="5"/>
        <v>7.07</v>
      </c>
      <c r="IE42">
        <f t="shared" si="6"/>
        <v>49.77</v>
      </c>
      <c r="IF42">
        <f t="shared" si="7"/>
        <v>0</v>
      </c>
      <c r="IG42" s="5">
        <v>2.16E-5</v>
      </c>
      <c r="IH42">
        <v>1.2999999999999999E-4</v>
      </c>
      <c r="II42">
        <v>3.79E-4</v>
      </c>
      <c r="IJ42">
        <v>1.8900000000000001E-4</v>
      </c>
      <c r="IK42" s="5">
        <v>3.8699999999999999E-5</v>
      </c>
      <c r="IL42">
        <v>-4.8999999999999998E-3</v>
      </c>
      <c r="IM42">
        <v>-6.6600000000000006E-2</v>
      </c>
      <c r="IN42">
        <v>-8.2799999999999996E-4</v>
      </c>
      <c r="IO42">
        <v>-2.4099999999999998E-3</v>
      </c>
      <c r="IP42" s="5">
        <v>-4.9499999999999997E-5</v>
      </c>
      <c r="IQ42">
        <v>1.22999345234261E-3</v>
      </c>
      <c r="IR42" s="5">
        <v>3.23154470900027E-6</v>
      </c>
      <c r="IS42" s="5">
        <v>1.94881926271698E-5</v>
      </c>
      <c r="IT42">
        <v>2.7235684290850902E-4</v>
      </c>
      <c r="IU42" s="5">
        <v>4.8771159957943197E-5</v>
      </c>
      <c r="IV42" s="5">
        <v>3.4671665875630297E-5</v>
      </c>
      <c r="IW42">
        <v>4.1162052253780401E-4</v>
      </c>
      <c r="IX42">
        <v>2.4793737692924401E-3</v>
      </c>
      <c r="IY42">
        <v>3.6024505502005202E-4</v>
      </c>
      <c r="IZ42">
        <v>1.2327049959143599E-4</v>
      </c>
      <c r="JA42">
        <f t="shared" si="4"/>
        <v>8.2866458148013589</v>
      </c>
    </row>
    <row r="43" spans="1:261" x14ac:dyDescent="0.3">
      <c r="A43" t="s">
        <v>152</v>
      </c>
      <c r="B43" s="5">
        <v>1.3200000000000001E-6</v>
      </c>
      <c r="C43" s="5">
        <v>-1.32E-9</v>
      </c>
      <c r="D43" s="5">
        <v>5.3400000000000002E-8</v>
      </c>
      <c r="E43">
        <v>7.5199999999999998E-8</v>
      </c>
      <c r="F43">
        <v>3.9799999999999999E-8</v>
      </c>
      <c r="G43">
        <v>-1.19E-9</v>
      </c>
      <c r="H43">
        <v>1.3799999999999999E-8</v>
      </c>
      <c r="I43" s="5"/>
      <c r="J43" s="5">
        <v>-1.9099999999999998E-9</v>
      </c>
      <c r="K43" s="5">
        <v>5.47E-8</v>
      </c>
      <c r="L43" s="5"/>
      <c r="M43" s="5">
        <v>-2.86E-9</v>
      </c>
      <c r="N43" s="5">
        <v>5.5700000000000002E-8</v>
      </c>
      <c r="O43" s="5"/>
      <c r="P43" s="5">
        <v>-1.9099999999999998E-9</v>
      </c>
      <c r="Q43" s="5">
        <v>5.62E-8</v>
      </c>
      <c r="R43" s="5">
        <v>-6.5600000000000001E-10</v>
      </c>
      <c r="S43" s="5"/>
      <c r="T43" s="5">
        <v>2.67E-7</v>
      </c>
      <c r="U43" s="5">
        <v>-1.9099999999999998E-9</v>
      </c>
      <c r="V43" s="5"/>
      <c r="W43" s="5">
        <v>3.5899999999999997E-8</v>
      </c>
      <c r="X43" s="5">
        <v>-1.9099999999999998E-9</v>
      </c>
      <c r="Y43" s="5"/>
      <c r="Z43" s="5">
        <v>3.3400000000000001E-8</v>
      </c>
      <c r="AA43" s="5">
        <v>-1.9099999999999998E-9</v>
      </c>
      <c r="AB43" s="5"/>
      <c r="AC43" s="5">
        <v>1.02E-8</v>
      </c>
      <c r="AD43" s="5">
        <v>1.3400000000000001E-7</v>
      </c>
      <c r="AE43" s="5">
        <v>3.1E-8</v>
      </c>
      <c r="AF43" s="5">
        <v>-7.6199999999999998E-13</v>
      </c>
      <c r="AG43" s="5">
        <v>-1.9099999999999998E-9</v>
      </c>
      <c r="AI43" s="5">
        <v>5.47E-8</v>
      </c>
      <c r="AJ43" s="5">
        <v>2.1500000000000002E-6</v>
      </c>
      <c r="AK43" s="5">
        <v>1.14E-7</v>
      </c>
      <c r="AL43" s="5">
        <v>4.5900000000000001E-8</v>
      </c>
      <c r="AM43" s="5">
        <v>3.46E-9</v>
      </c>
      <c r="AO43" s="5">
        <v>2.8200000000000002E-9</v>
      </c>
      <c r="AP43" s="5">
        <v>1.5999999999999999E-6</v>
      </c>
      <c r="AQ43" s="5">
        <v>9.8900000000000005E-8</v>
      </c>
      <c r="AR43" s="5">
        <v>1.5300000000000001E-7</v>
      </c>
      <c r="AS43" s="5">
        <v>7.4000000000000001E-8</v>
      </c>
      <c r="AT43" s="5">
        <v>6.4700280070789998E-8</v>
      </c>
      <c r="AU43" s="5">
        <v>2.4167652618795002E-10</v>
      </c>
      <c r="AV43" s="5">
        <v>1.8572972394966502E-8</v>
      </c>
      <c r="AW43" s="5">
        <v>7.4503299177017601E-9</v>
      </c>
      <c r="AX43" s="5">
        <v>3.4059640482768798E-7</v>
      </c>
      <c r="AY43" s="5">
        <v>1.16E-8</v>
      </c>
      <c r="AZ43" s="5">
        <v>2.5000000000000001E-9</v>
      </c>
      <c r="BA43" s="5">
        <v>3.7000000000000001E-10</v>
      </c>
      <c r="BB43" s="5">
        <v>2.6499999999999999E-8</v>
      </c>
      <c r="BC43" s="5">
        <v>-1.09E-10</v>
      </c>
      <c r="BD43" s="5">
        <v>2.1899999999999999E-7</v>
      </c>
      <c r="BE43" s="5">
        <v>4.0899999999999998E-10</v>
      </c>
      <c r="BF43" s="5">
        <v>-8.1899999999999996E-11</v>
      </c>
      <c r="BG43" s="5">
        <v>4.0700000000000002E-9</v>
      </c>
      <c r="BH43" s="5">
        <v>8.9799999999999997E-8</v>
      </c>
      <c r="BI43" s="5">
        <v>2.1899999999999999E-10</v>
      </c>
      <c r="BJ43" s="5">
        <v>-5.2400000000000005E-10</v>
      </c>
      <c r="BK43" s="5"/>
      <c r="BL43" s="5">
        <v>4.1899999999999998E-7</v>
      </c>
      <c r="BM43" s="5">
        <v>5.28E-9</v>
      </c>
      <c r="BN43" s="5">
        <v>1.0800000000000001E-8</v>
      </c>
      <c r="BO43" s="5">
        <v>-1.09E-10</v>
      </c>
      <c r="BP43" s="5"/>
      <c r="BQ43" s="5">
        <v>7.54E-8</v>
      </c>
      <c r="BR43" s="5">
        <v>1.09E-9</v>
      </c>
      <c r="BS43" s="5">
        <v>4.6557185658314099E-10</v>
      </c>
      <c r="BT43" s="5">
        <v>7.7799999999999995E-8</v>
      </c>
      <c r="BU43" s="5">
        <v>-4.7500000000000001E-10</v>
      </c>
      <c r="BV43" s="5"/>
      <c r="BW43" s="5">
        <v>3.1800000000000002E-7</v>
      </c>
      <c r="BX43" s="5">
        <v>3.8799999999999998E-9</v>
      </c>
      <c r="BY43" s="5">
        <v>7.6300000000000002E-8</v>
      </c>
      <c r="BZ43" s="5">
        <v>-5.2400000000000005E-10</v>
      </c>
      <c r="CA43" s="5"/>
      <c r="CB43" s="5">
        <v>3.7800000000000002E-7</v>
      </c>
      <c r="CC43" s="5">
        <v>7.7600000000000001E-10</v>
      </c>
      <c r="CD43" s="5">
        <v>1.2400000000000001E-9</v>
      </c>
      <c r="CE43" s="5">
        <v>9.7479560864853106E-8</v>
      </c>
      <c r="CF43" s="5">
        <v>-5.2400000000000005E-10</v>
      </c>
      <c r="CG43" s="5"/>
      <c r="CH43" s="5">
        <v>4.15E-7</v>
      </c>
      <c r="CI43" s="5">
        <v>9.3099999999999999E-10</v>
      </c>
      <c r="CJ43" s="5">
        <v>3.41E-9</v>
      </c>
      <c r="CK43" s="5">
        <v>2.2900000000000002E-9</v>
      </c>
      <c r="CL43" s="5">
        <v>7.6799999999999999E-8</v>
      </c>
      <c r="CM43" s="5">
        <v>1.04E-7</v>
      </c>
      <c r="CN43" s="5">
        <v>1.5799999999999999E-9</v>
      </c>
      <c r="CO43" s="5"/>
      <c r="CP43" s="5">
        <v>7.4690146580844206E-11</v>
      </c>
      <c r="CQ43" s="5">
        <v>1.4295810942599899E-9</v>
      </c>
      <c r="CR43" s="5">
        <v>6.8816518459221897E-9</v>
      </c>
      <c r="CS43" s="5">
        <v>1.4500591571277E-10</v>
      </c>
      <c r="CT43" s="5">
        <v>6.6129437300141398E-9</v>
      </c>
      <c r="CU43" s="5">
        <v>1.2875173896452699E-7</v>
      </c>
      <c r="CV43" s="5">
        <v>8.1699999999999997E-9</v>
      </c>
      <c r="CW43" s="5">
        <v>3.9999999999999998E-7</v>
      </c>
      <c r="CX43" s="5">
        <v>-2.3199999999999998E-6</v>
      </c>
      <c r="CY43" s="5">
        <v>1.2100000000000001E-8</v>
      </c>
      <c r="CZ43" s="5">
        <v>7.6199999999999997E-7</v>
      </c>
      <c r="DA43" s="5">
        <v>1.7600000000000001E-6</v>
      </c>
      <c r="DB43" s="5">
        <v>1.04E-8</v>
      </c>
      <c r="DC43" s="5">
        <v>4.1800000000000004E-12</v>
      </c>
      <c r="DD43" s="5">
        <v>6.2299999999999994E-11</v>
      </c>
      <c r="DE43" s="5">
        <v>1.6E-12</v>
      </c>
      <c r="DF43" s="5">
        <v>8.3468254700449704E-7</v>
      </c>
      <c r="DG43" s="5">
        <v>1.24152495088838E-9</v>
      </c>
      <c r="DH43" s="5">
        <v>5.9399999999999998E-9</v>
      </c>
      <c r="DI43" s="5">
        <v>8.7800000000000006E-6</v>
      </c>
      <c r="DJ43" s="5">
        <v>6.0500000000000006E-8</v>
      </c>
      <c r="DK43" s="5">
        <v>1.02E-7</v>
      </c>
      <c r="DL43" s="5">
        <v>2.44E-8</v>
      </c>
      <c r="DM43" s="5">
        <v>9.6700000000000007E-10</v>
      </c>
      <c r="DN43" s="5">
        <v>3.4768215458093103E-8</v>
      </c>
      <c r="DO43" s="5">
        <v>9.0716332633582795E-10</v>
      </c>
      <c r="DP43" s="5">
        <v>1.3842121282412301E-6</v>
      </c>
      <c r="DQ43" s="5">
        <v>4.49E-9</v>
      </c>
      <c r="DR43" s="5">
        <v>2.3199999999999998E-9</v>
      </c>
      <c r="DS43" s="5">
        <v>3.7699999999999999E-6</v>
      </c>
      <c r="DT43" s="5">
        <v>4.9799999999999999E-11</v>
      </c>
      <c r="DU43" s="5">
        <v>4.8799999999999997E-9</v>
      </c>
      <c r="DV43" s="5">
        <v>8.2034506070252503E-9</v>
      </c>
      <c r="DW43" s="5">
        <v>2.5134358723546799E-10</v>
      </c>
      <c r="DX43" s="5">
        <v>3.4768215458093103E-8</v>
      </c>
      <c r="DY43" s="5">
        <v>6.7650667262338497E-7</v>
      </c>
      <c r="DZ43" s="5">
        <v>2.8500000000000002E-7</v>
      </c>
      <c r="EA43" s="5">
        <v>4.0200000000000001E-10</v>
      </c>
      <c r="EB43" s="5">
        <v>1.7900000000000001E-5</v>
      </c>
      <c r="EC43" s="5">
        <v>6.4300000000000003E-6</v>
      </c>
      <c r="ED43" s="5">
        <v>3.2399999999999999E-7</v>
      </c>
      <c r="EE43" s="5">
        <v>3.3903818794639403E-7</v>
      </c>
      <c r="EF43" s="5">
        <v>5.2104867468333499E-8</v>
      </c>
      <c r="EG43" s="5">
        <v>1.47336603745361E-7</v>
      </c>
      <c r="EH43" s="5">
        <v>-1.6389602996872401E-9</v>
      </c>
      <c r="EI43" s="5">
        <v>4.0699591676594499E-7</v>
      </c>
      <c r="EJ43" s="5">
        <v>9.3114371316628197E-9</v>
      </c>
      <c r="EK43" s="5">
        <v>1.0038871132232201E-6</v>
      </c>
      <c r="EL43" s="5">
        <v>4.78E-10</v>
      </c>
      <c r="EM43" s="5">
        <v>1.49E-7</v>
      </c>
      <c r="EN43" s="5">
        <v>2.3300000000000001E-6</v>
      </c>
      <c r="EO43" s="5">
        <v>8.09E-9</v>
      </c>
      <c r="EP43" s="5">
        <v>2.77E-8</v>
      </c>
      <c r="EQ43" s="5">
        <v>6.4381708205670495E-10</v>
      </c>
      <c r="ER43" s="5">
        <v>-4.6451710285509702E-7</v>
      </c>
      <c r="ES43" s="5">
        <v>2.5983885958265598E-7</v>
      </c>
      <c r="ET43" s="5">
        <v>9.3899999999999999E-6</v>
      </c>
      <c r="EU43" s="5">
        <v>4.7099999999999998E-8</v>
      </c>
      <c r="EV43" s="5">
        <v>1.18E-7</v>
      </c>
      <c r="EW43" s="5">
        <v>1.2299999999999999E-8</v>
      </c>
      <c r="EX43" s="5">
        <v>2.69E-9</v>
      </c>
      <c r="EY43" s="5">
        <v>6.3099999999999999E-9</v>
      </c>
      <c r="EZ43" s="5">
        <v>6.5505521429597803E-9</v>
      </c>
      <c r="FA43" s="5">
        <v>0</v>
      </c>
      <c r="FB43" s="5">
        <v>2.1860819239763901E-7</v>
      </c>
      <c r="FC43" s="5">
        <v>3.36696940184958E-6</v>
      </c>
      <c r="FD43" s="5">
        <v>9.4177783285158604E-7</v>
      </c>
      <c r="FE43" s="5">
        <v>1.80941461214921E-8</v>
      </c>
      <c r="FF43" s="5">
        <v>1.2148670923487599E-8</v>
      </c>
      <c r="FG43" s="5">
        <v>1.69173568331565E-10</v>
      </c>
      <c r="FH43" s="5">
        <v>1.44E-8</v>
      </c>
      <c r="FI43" s="5">
        <v>3.4999999999999998E-10</v>
      </c>
      <c r="FJ43" s="5">
        <v>8.5800000000000004E-10</v>
      </c>
      <c r="FK43" s="5">
        <v>3.1800000000000002E-9</v>
      </c>
      <c r="FL43" s="5">
        <v>9.5000000000000003E-10</v>
      </c>
      <c r="FM43" s="5">
        <v>1.67E-7</v>
      </c>
      <c r="FN43" s="5">
        <v>2.4299999999999999E-7</v>
      </c>
      <c r="FO43" s="5">
        <v>1.59E-8</v>
      </c>
      <c r="FP43" s="5">
        <v>1.08E-9</v>
      </c>
      <c r="FQ43" s="5">
        <v>8.7100000000000002E-11</v>
      </c>
      <c r="FR43" s="5">
        <v>-2.8599999999999999E-10</v>
      </c>
      <c r="FS43" s="5">
        <v>0</v>
      </c>
      <c r="FT43" s="5">
        <v>3.4860164642268399E-8</v>
      </c>
      <c r="FU43" s="5">
        <v>5.9599999999999999E-7</v>
      </c>
      <c r="FV43" s="5">
        <v>2.8299999999999999E-9</v>
      </c>
      <c r="FW43" s="5">
        <v>1.6E-12</v>
      </c>
      <c r="FX43" s="5">
        <v>5.54E-8</v>
      </c>
      <c r="FY43" s="5">
        <v>1.09E-9</v>
      </c>
      <c r="FZ43" s="5">
        <v>7.4299999999999997E-8</v>
      </c>
      <c r="GA43" s="5">
        <v>6.8000000000000003E-10</v>
      </c>
      <c r="GB43" s="5"/>
      <c r="GC43" s="5">
        <v>3.48E-9</v>
      </c>
      <c r="GD43" s="5">
        <v>9.2999999999999999E-10</v>
      </c>
      <c r="GE43" s="5">
        <v>6.8497590591573002E-8</v>
      </c>
      <c r="GF43" s="5">
        <v>1.1999999999999999E-7</v>
      </c>
      <c r="GG43" s="5">
        <v>3.8700000000000001E-9</v>
      </c>
      <c r="GH43" s="5"/>
      <c r="GI43" s="5">
        <v>3.48E-9</v>
      </c>
      <c r="GJ43" s="5">
        <v>9.2999999999999999E-10</v>
      </c>
      <c r="GK43" s="5">
        <v>6.9808552407726697E-8</v>
      </c>
      <c r="GL43" s="5">
        <v>9.3114371316628199E-10</v>
      </c>
      <c r="GM43" s="5">
        <v>4.4999999999999998E-7</v>
      </c>
      <c r="GN43" s="5">
        <v>1.23E-7</v>
      </c>
      <c r="GO43" s="5">
        <v>5.9799999999999996E-9</v>
      </c>
      <c r="GP43" s="5">
        <v>-2.3200000000000001E-7</v>
      </c>
      <c r="GQ43" s="5">
        <v>1.49E-7</v>
      </c>
      <c r="GR43" s="5">
        <v>8.3424349689185198E-10</v>
      </c>
      <c r="GS43" s="5">
        <v>3.9557000846931999E-6</v>
      </c>
      <c r="GT43" s="5">
        <v>1.19024169049022E-6</v>
      </c>
      <c r="GU43" s="5">
        <v>9.8397039130088799E-9</v>
      </c>
      <c r="GV43" s="5">
        <v>4.9793431053896103E-10</v>
      </c>
      <c r="GW43" s="5">
        <v>9.5200000000000002E-9</v>
      </c>
      <c r="GX43" s="5">
        <v>1.3399999999999999E-9</v>
      </c>
      <c r="GY43" s="5">
        <v>9.6700000000000007E-10</v>
      </c>
      <c r="GZ43" s="5">
        <v>5.9600000000000001E-9</v>
      </c>
      <c r="HA43" s="5">
        <v>9.5000000000000003E-10</v>
      </c>
      <c r="HB43" s="5">
        <v>3.1399999999999998E-7</v>
      </c>
      <c r="HC43" s="5">
        <v>9.3200000000000003E-7</v>
      </c>
      <c r="HD43" s="5">
        <v>6.9500000000000002E-9</v>
      </c>
      <c r="HE43" s="5">
        <v>6.59E-12</v>
      </c>
      <c r="HF43" s="5">
        <v>4.97E-9</v>
      </c>
      <c r="HG43" s="5">
        <v>5.9400000000000003E-8</v>
      </c>
      <c r="HH43" s="5">
        <v>1.21245716156406E-6</v>
      </c>
      <c r="HI43" s="5">
        <v>2.3999999999999998E-7</v>
      </c>
      <c r="HJ43" s="5">
        <v>5.9799999999999996E-9</v>
      </c>
      <c r="HK43" s="5">
        <v>1.44E-8</v>
      </c>
      <c r="HL43" s="5">
        <v>2.98E-9</v>
      </c>
      <c r="HM43" s="5">
        <v>1.12E-7</v>
      </c>
      <c r="HN43" s="5">
        <v>4.7899999999999999E-8</v>
      </c>
      <c r="HO43" s="5">
        <v>3.13E-10</v>
      </c>
      <c r="HP43" s="5">
        <v>-8.1899999999999996E-11</v>
      </c>
      <c r="HQ43" s="5">
        <v>4.7699999999999999E-9</v>
      </c>
      <c r="HR43" s="5">
        <v>5.6599999999999997E-8</v>
      </c>
      <c r="HS43" s="5">
        <v>6.3199999999999999E-10</v>
      </c>
      <c r="HT43" s="5">
        <v>-8.1899999999999996E-11</v>
      </c>
      <c r="HU43" s="5">
        <v>5.21E-9</v>
      </c>
      <c r="HV43" s="5">
        <v>4.8300000000000001E-9</v>
      </c>
      <c r="HW43" s="5">
        <v>-8.1899999999999996E-11</v>
      </c>
      <c r="HX43" s="5">
        <v>2.8400000000000001E-9</v>
      </c>
      <c r="HY43" s="5">
        <v>3.7267914508565699E-6</v>
      </c>
      <c r="HZ43" s="5">
        <v>1.9749729921439799E-5</v>
      </c>
      <c r="IA43" s="5">
        <v>1.7000000000000001E-4</v>
      </c>
      <c r="IB43" s="5"/>
      <c r="ID43">
        <f t="shared" si="5"/>
        <v>1.1900000000000001E-3</v>
      </c>
      <c r="IE43">
        <f t="shared" si="6"/>
        <v>0</v>
      </c>
      <c r="IF43">
        <f t="shared" si="7"/>
        <v>0</v>
      </c>
      <c r="IG43" s="5">
        <v>6.3300000000000004E-8</v>
      </c>
      <c r="IH43" s="5">
        <v>3.8200000000000001E-7</v>
      </c>
      <c r="II43" s="5">
        <v>4.8699999999999995E-7</v>
      </c>
      <c r="IJ43" s="5">
        <v>1.5800000000000001E-7</v>
      </c>
      <c r="IK43" s="5">
        <v>1.7299999999999999E-8</v>
      </c>
      <c r="IL43" s="5">
        <v>-9.2199999999999998E-6</v>
      </c>
      <c r="IM43" s="5">
        <v>-3.1399999999999998E-5</v>
      </c>
      <c r="IN43" s="5">
        <v>-4.7700000000000005E-7</v>
      </c>
      <c r="IO43" s="5">
        <v>-2.22E-7</v>
      </c>
      <c r="IP43" s="5">
        <v>-9.5999999999999999E-8</v>
      </c>
      <c r="IQ43" s="5">
        <v>-7.53720489996312E-7</v>
      </c>
      <c r="IR43" s="5">
        <v>9.4950502781126698E-9</v>
      </c>
      <c r="IS43" s="5">
        <v>5.7252550733301601E-8</v>
      </c>
      <c r="IT43" s="5">
        <v>3.5035184647383E-7</v>
      </c>
      <c r="IU43" s="5">
        <v>4.0775232647286002E-8</v>
      </c>
      <c r="IV43" s="5">
        <v>1.5466516695690199E-8</v>
      </c>
      <c r="IW43" s="5">
        <v>1.3138489234069501E-7</v>
      </c>
      <c r="IX43" s="5">
        <v>7.9138973378304499E-7</v>
      </c>
      <c r="IY43" s="5">
        <v>1.2656134017567501E-7</v>
      </c>
      <c r="IZ43" s="5">
        <v>7.0981768687545404E-8</v>
      </c>
      <c r="JA43">
        <f t="shared" si="4"/>
        <v>2.7282886182917744E-4</v>
      </c>
    </row>
    <row r="44" spans="1:261" x14ac:dyDescent="0.3">
      <c r="A44" t="s">
        <v>153</v>
      </c>
      <c r="B44">
        <v>4.1000000000000003E-3</v>
      </c>
      <c r="C44" s="5">
        <v>-5.1399999999999999E-6</v>
      </c>
      <c r="D44" s="5">
        <v>1.22E-5</v>
      </c>
      <c r="E44">
        <v>8.3200000000000003E-5</v>
      </c>
      <c r="F44">
        <v>3.4499999999999998E-4</v>
      </c>
      <c r="G44">
        <v>-2.83E-6</v>
      </c>
      <c r="H44">
        <v>1.24E-3</v>
      </c>
      <c r="I44" s="5">
        <v>0.96199999999999997</v>
      </c>
      <c r="J44" s="5">
        <v>1.56E-4</v>
      </c>
      <c r="K44" s="5">
        <v>1.2500000000000001E-5</v>
      </c>
      <c r="L44" s="5">
        <v>0.13500000000000001</v>
      </c>
      <c r="M44" s="5">
        <v>2.34E-4</v>
      </c>
      <c r="N44" s="5">
        <v>4.9899999999999996E-3</v>
      </c>
      <c r="O44" s="5">
        <v>0.13700000000000001</v>
      </c>
      <c r="P44" s="5">
        <v>1.56E-4</v>
      </c>
      <c r="Q44" s="5">
        <v>1.29E-5</v>
      </c>
      <c r="R44" s="5">
        <v>1.7899999999999999E-4</v>
      </c>
      <c r="S44" s="5">
        <v>4.4200000000000001E-4</v>
      </c>
      <c r="T44" s="5">
        <v>6.1299999999999999E-5</v>
      </c>
      <c r="U44" s="5">
        <v>1.56E-4</v>
      </c>
      <c r="V44" s="5">
        <v>1.92</v>
      </c>
      <c r="W44" s="5">
        <v>3.2100000000000002E-3</v>
      </c>
      <c r="X44" s="5">
        <v>1.56E-4</v>
      </c>
      <c r="Y44" s="5">
        <v>0.14899999999999999</v>
      </c>
      <c r="Z44" s="5">
        <v>7.6699999999999994E-6</v>
      </c>
      <c r="AA44" s="5">
        <v>1.56E-4</v>
      </c>
      <c r="AB44" s="5">
        <v>0.01</v>
      </c>
      <c r="AC44" s="5">
        <v>9.1E-4</v>
      </c>
      <c r="AD44" s="5">
        <v>1.5200000000000001E-4</v>
      </c>
      <c r="AE44" s="5">
        <v>2.2200000000000001E-2</v>
      </c>
      <c r="AF44" s="5">
        <v>6.2499999999999997E-8</v>
      </c>
      <c r="AG44">
        <v>1.56E-4</v>
      </c>
      <c r="AH44">
        <v>1.92</v>
      </c>
      <c r="AI44" s="5">
        <v>1.2500000000000001E-5</v>
      </c>
      <c r="AJ44">
        <v>9.5999999999999992E-3</v>
      </c>
      <c r="AK44">
        <v>5.0900000000000001E-4</v>
      </c>
      <c r="AL44" s="5">
        <v>3.9199999999999997E-5</v>
      </c>
      <c r="AM44" s="5">
        <v>2.9500000000000001E-6</v>
      </c>
      <c r="AN44" s="5">
        <v>6.3399999999999999E-7</v>
      </c>
      <c r="AO44" s="5">
        <v>3.19E-6</v>
      </c>
      <c r="AP44">
        <v>3.0899999999999999E-3</v>
      </c>
      <c r="AQ44">
        <v>1.7100000000000001E-4</v>
      </c>
      <c r="AR44">
        <v>3.0200000000000002E-4</v>
      </c>
      <c r="AS44" s="5">
        <v>8.3800000000000004E-5</v>
      </c>
      <c r="AT44">
        <v>1.105469308984E-4</v>
      </c>
      <c r="AU44" s="5">
        <v>4.3084319981006599E-5</v>
      </c>
      <c r="AV44" s="5">
        <v>1.14074217839767E-5</v>
      </c>
      <c r="AW44" s="5">
        <v>1.8438671534418501E-6</v>
      </c>
      <c r="AX44" s="5">
        <v>7.8117442890787207E-5</v>
      </c>
      <c r="AY44" s="5">
        <v>2.3200000000000001E-5</v>
      </c>
      <c r="AZ44" s="5">
        <v>2.83E-6</v>
      </c>
      <c r="BA44">
        <v>3.4900000000000003E-4</v>
      </c>
      <c r="BB44">
        <v>1.6899999999999999E-4</v>
      </c>
      <c r="BC44" s="5">
        <v>2.8900000000000001E-5</v>
      </c>
      <c r="BD44" s="5">
        <v>5.0300000000000003E-5</v>
      </c>
      <c r="BE44" s="5">
        <v>4.57E-5</v>
      </c>
      <c r="BF44" s="5">
        <v>2.1699999999999999E-5</v>
      </c>
      <c r="BG44" s="5">
        <v>9.3399999999999997E-7</v>
      </c>
      <c r="BH44" s="5">
        <v>2.0300000000000001E-3</v>
      </c>
      <c r="BI44" s="5">
        <v>2.4499999999999999E-5</v>
      </c>
      <c r="BJ44">
        <v>1.3899999999999999E-4</v>
      </c>
      <c r="BK44">
        <v>1.0300000000000001E-3</v>
      </c>
      <c r="BL44" s="5">
        <v>9.6100000000000005E-5</v>
      </c>
      <c r="BM44" s="5">
        <v>6.7000000000000002E-5</v>
      </c>
      <c r="BN44" s="5">
        <v>2.4499999999999999E-4</v>
      </c>
      <c r="BO44" s="5">
        <v>2.8900000000000001E-5</v>
      </c>
      <c r="BP44">
        <v>6.1200000000000002E-4</v>
      </c>
      <c r="BQ44" s="5">
        <v>1.73E-5</v>
      </c>
      <c r="BR44" s="5">
        <v>1.38E-5</v>
      </c>
      <c r="BS44" s="5">
        <v>5.9139835242028699E-6</v>
      </c>
      <c r="BT44" s="5">
        <v>1.7600000000000001E-3</v>
      </c>
      <c r="BU44" s="5">
        <v>1.26E-4</v>
      </c>
      <c r="BV44">
        <v>1.33E-3</v>
      </c>
      <c r="BW44" s="5">
        <v>7.2799999999999994E-5</v>
      </c>
      <c r="BX44" s="5">
        <v>4.9299999999999999E-5</v>
      </c>
      <c r="BY44" s="5">
        <v>1.73E-3</v>
      </c>
      <c r="BZ44" s="5">
        <v>1.3899999999999999E-4</v>
      </c>
      <c r="CA44">
        <v>2.48E-3</v>
      </c>
      <c r="CB44" s="5">
        <v>8.6799999999999996E-5</v>
      </c>
      <c r="CC44" s="5">
        <v>9.8600000000000005E-6</v>
      </c>
      <c r="CD44" s="5">
        <v>1.5800000000000001E-5</v>
      </c>
      <c r="CE44" s="5">
        <v>2.20816922084095E-3</v>
      </c>
      <c r="CF44" s="5">
        <v>1.3899999999999999E-4</v>
      </c>
      <c r="CG44">
        <v>2.4199999999999998E-3</v>
      </c>
      <c r="CH44" s="5">
        <v>9.5099999999999994E-5</v>
      </c>
      <c r="CI44" s="5">
        <v>1.1800000000000001E-5</v>
      </c>
      <c r="CJ44" s="5">
        <v>4.3399999999999998E-5</v>
      </c>
      <c r="CK44" s="5">
        <v>2.6000000000000001E-6</v>
      </c>
      <c r="CL44" s="5">
        <v>1.4899999999999999E-4</v>
      </c>
      <c r="CM44" s="5">
        <v>2.0599999999999999E-4</v>
      </c>
      <c r="CN44" s="5">
        <v>1.79E-6</v>
      </c>
      <c r="CO44" s="5">
        <v>3.96E-5</v>
      </c>
      <c r="CP44" s="5">
        <v>1.2935320439556201E-5</v>
      </c>
      <c r="CQ44" s="5">
        <v>3.2383783257062499E-5</v>
      </c>
      <c r="CR44" s="5">
        <v>7.68905504984407E-4</v>
      </c>
      <c r="CS44">
        <v>1.0371607684631101E-4</v>
      </c>
      <c r="CT44" s="5">
        <v>1.6382185308148901E-6</v>
      </c>
      <c r="CU44" s="5">
        <v>2.95298378758264E-5</v>
      </c>
      <c r="CV44" s="5">
        <v>2.1699999999999999E-5</v>
      </c>
      <c r="CW44" s="5">
        <v>1.4800000000000001E-2</v>
      </c>
      <c r="CX44">
        <v>1.1999999999999999E-3</v>
      </c>
      <c r="CY44" s="5">
        <v>3.64E-3</v>
      </c>
      <c r="CZ44" s="5">
        <v>1.75E-4</v>
      </c>
      <c r="DA44" s="5">
        <v>3.5200000000000001E-3</v>
      </c>
      <c r="DB44" s="5">
        <v>1.1800000000000001E-5</v>
      </c>
      <c r="DC44" s="5">
        <v>7.4499999999999996E-7</v>
      </c>
      <c r="DD44" s="5">
        <v>4.46E-5</v>
      </c>
      <c r="DE44" s="5">
        <v>3.9900000000000002E-10</v>
      </c>
      <c r="DF44" s="5">
        <v>1.9143850396937599E-4</v>
      </c>
      <c r="DG44" s="5">
        <v>1.5770622731207702E-5</v>
      </c>
      <c r="DH44" s="5">
        <v>6.7299999999999999E-6</v>
      </c>
      <c r="DI44" s="5">
        <v>1.6899999999999998E-2</v>
      </c>
      <c r="DJ44" s="5">
        <v>6.8499999999999998E-5</v>
      </c>
      <c r="DK44" s="5">
        <v>2.05E-4</v>
      </c>
      <c r="DL44" s="5">
        <v>1.5E-5</v>
      </c>
      <c r="DM44" s="5">
        <v>6.9099999999999999E-4</v>
      </c>
      <c r="DN44" s="5">
        <v>8.6059097870922894E-6</v>
      </c>
      <c r="DO44" s="5">
        <v>5.0357561774529203E-6</v>
      </c>
      <c r="DP44">
        <v>3.1747578760064801E-4</v>
      </c>
      <c r="DQ44" s="5">
        <v>5.0799999999999996E-6</v>
      </c>
      <c r="DR44" s="5">
        <v>2.5999999999999998E-4</v>
      </c>
      <c r="DS44" s="5">
        <v>6.9699999999999996E-3</v>
      </c>
      <c r="DT44" s="5">
        <v>8.6200000000000005E-6</v>
      </c>
      <c r="DU44" s="5">
        <v>3.0000000000000001E-6</v>
      </c>
      <c r="DV44" s="5">
        <v>9.1659364246203295E-4</v>
      </c>
      <c r="DW44" s="5">
        <v>1.79774533200272E-4</v>
      </c>
      <c r="DX44" s="5">
        <v>8.6059097870922894E-6</v>
      </c>
      <c r="DY44">
        <v>1.5516009744914901E-4</v>
      </c>
      <c r="DZ44" s="5">
        <v>1.74E-4</v>
      </c>
      <c r="EA44" s="5">
        <v>2.4499999999999998E-7</v>
      </c>
      <c r="EB44" s="5">
        <v>1.6400000000000001E-2</v>
      </c>
      <c r="EC44" s="5">
        <v>7.0099999999999997E-3</v>
      </c>
      <c r="ED44" s="5">
        <v>4.3800000000000002E-4</v>
      </c>
      <c r="EE44" s="5">
        <v>2.06899908847077E-4</v>
      </c>
      <c r="EF44" s="5">
        <v>2.8346215663758E-5</v>
      </c>
      <c r="EG44" s="5">
        <v>1.39979397520713E-3</v>
      </c>
      <c r="EH44">
        <v>4.4834614193695602E-4</v>
      </c>
      <c r="EI44" s="5">
        <v>3.6414670740132299E-2</v>
      </c>
      <c r="EJ44" s="5">
        <v>1.18279670484057E-4</v>
      </c>
      <c r="EK44">
        <v>5.4613708845507099E-4</v>
      </c>
      <c r="EL44" s="5">
        <v>1.2699999999999999E-6</v>
      </c>
      <c r="EM44" s="5">
        <v>1.6899999999999999E-4</v>
      </c>
      <c r="EN44" s="5">
        <v>4.2399999999999998E-3</v>
      </c>
      <c r="EO44" s="5">
        <v>1.49E-5</v>
      </c>
      <c r="EP44" s="5">
        <v>1.7E-5</v>
      </c>
      <c r="EQ44" s="5">
        <v>4.60492812512753E-4</v>
      </c>
      <c r="ER44" s="5">
        <v>2.2202330987211301E-4</v>
      </c>
      <c r="ES44" s="5">
        <v>5.9595306898569201E-5</v>
      </c>
      <c r="ET44" s="5">
        <v>1.6799999999999999E-2</v>
      </c>
      <c r="EU44" s="5">
        <v>8.25E-4</v>
      </c>
      <c r="EV44" s="5">
        <v>1.34E-4</v>
      </c>
      <c r="EW44" s="5">
        <v>7.5599999999999996E-6</v>
      </c>
      <c r="EX44" s="5">
        <v>3.01E-4</v>
      </c>
      <c r="EY44" s="5">
        <v>4.5100000000000001E-3</v>
      </c>
      <c r="EZ44" s="5">
        <v>5.5046161821762102E-6</v>
      </c>
      <c r="FA44" s="5">
        <v>6.7578516724761301E-6</v>
      </c>
      <c r="FB44" s="5">
        <v>5.01388527389779E-5</v>
      </c>
      <c r="FC44" s="5">
        <v>6.1295105198592801E-3</v>
      </c>
      <c r="FD44" s="5">
        <v>1.67874976879762E-3</v>
      </c>
      <c r="FE44" s="5">
        <v>3.0915667115654301E-5</v>
      </c>
      <c r="FF44" s="5">
        <v>1.3751383095526601E-5</v>
      </c>
      <c r="FG44" s="5">
        <v>3.0159023986704601E-5</v>
      </c>
      <c r="FH44" s="5">
        <v>8.8200000000000003E-6</v>
      </c>
      <c r="FI44" s="5">
        <v>3.9100000000000002E-5</v>
      </c>
      <c r="FJ44" s="5">
        <v>6.1399999999999996E-4</v>
      </c>
      <c r="FK44" s="5">
        <v>7.8700000000000005E-7</v>
      </c>
      <c r="FL44" s="5">
        <v>6.6300000000000005E-7</v>
      </c>
      <c r="FM44" s="5">
        <v>3.8300000000000003E-5</v>
      </c>
      <c r="FN44" s="5">
        <v>4.15E-4</v>
      </c>
      <c r="FO44" s="5">
        <v>2.72E-5</v>
      </c>
      <c r="FP44" s="5">
        <v>6.0100000000000005E-7</v>
      </c>
      <c r="FQ44" s="5">
        <v>6.05E-5</v>
      </c>
      <c r="FR44" s="5">
        <v>6.8499999999999998E-5</v>
      </c>
      <c r="FS44" s="5">
        <v>6.1158557635909E-4</v>
      </c>
      <c r="FT44" s="5">
        <v>7.99534840064896E-6</v>
      </c>
      <c r="FU44" s="5">
        <v>2.0899999999999998E-3</v>
      </c>
      <c r="FV44" s="5">
        <v>3.1999999999999999E-6</v>
      </c>
      <c r="FW44" s="5">
        <v>3.9900000000000002E-10</v>
      </c>
      <c r="FX44" s="5">
        <v>1.27E-5</v>
      </c>
      <c r="FY44" s="5">
        <v>1.38E-5</v>
      </c>
      <c r="FZ44" s="5">
        <v>1E-4</v>
      </c>
      <c r="GA44" s="5">
        <v>9.3699999999999999E-7</v>
      </c>
      <c r="GB44" s="5">
        <v>1.38E-5</v>
      </c>
      <c r="GC44" s="5">
        <v>7.8899999999999993E-5</v>
      </c>
      <c r="GD44" s="5">
        <v>2.8000000000000002E-7</v>
      </c>
      <c r="GE44" s="5">
        <v>8.6836781418571395E-4</v>
      </c>
      <c r="GF44" s="5">
        <v>1.6200000000000001E-4</v>
      </c>
      <c r="GG44" s="5">
        <v>2.34E-6</v>
      </c>
      <c r="GH44" s="5">
        <v>2.12E-5</v>
      </c>
      <c r="GI44" s="5">
        <v>7.8899999999999993E-5</v>
      </c>
      <c r="GJ44" s="5">
        <v>2.8000000000000002E-7</v>
      </c>
      <c r="GK44" s="5">
        <v>9.8566197101033494E-4</v>
      </c>
      <c r="GL44" s="5">
        <v>1.1827967048405701E-5</v>
      </c>
      <c r="GM44" s="5">
        <v>8.8999999999999995E-4</v>
      </c>
      <c r="GN44" s="5">
        <v>4.1399999999999998E-4</v>
      </c>
      <c r="GO44" s="5">
        <v>6.7700000000000004E-6</v>
      </c>
      <c r="GP44" s="5">
        <v>1.15E-4</v>
      </c>
      <c r="GQ44" s="5">
        <v>3.4199999999999998E-5</v>
      </c>
      <c r="GR44" s="5">
        <v>9.4430098510054099E-7</v>
      </c>
      <c r="GS44" s="5">
        <v>7.1205287464126202E-3</v>
      </c>
      <c r="GT44" s="5">
        <v>2.3752714877276998E-3</v>
      </c>
      <c r="GU44" s="5">
        <v>1.11378058477769E-5</v>
      </c>
      <c r="GV44" s="5">
        <v>8.62354695970415E-5</v>
      </c>
      <c r="GW44" s="5">
        <v>5.8499999999999999E-6</v>
      </c>
      <c r="GX44" s="5">
        <v>1.4999999999999999E-4</v>
      </c>
      <c r="GY44" s="5">
        <v>6.9099999999999999E-4</v>
      </c>
      <c r="GZ44" s="5">
        <v>1.48E-6</v>
      </c>
      <c r="HA44" s="5">
        <v>6.6300000000000005E-7</v>
      </c>
      <c r="HB44" s="5">
        <v>7.2100000000000004E-5</v>
      </c>
      <c r="HC44" s="5">
        <v>1.8400000000000001E-3</v>
      </c>
      <c r="HD44" s="5">
        <v>7.8699999999999992E-6</v>
      </c>
      <c r="HE44" s="5">
        <v>1.17E-6</v>
      </c>
      <c r="HF44" s="5">
        <v>1.2300000000000001E-6</v>
      </c>
      <c r="HG44" s="5">
        <v>1.36E-5</v>
      </c>
      <c r="HH44" s="5">
        <v>2.6079665697598198E-3</v>
      </c>
      <c r="HI44" s="5">
        <v>4.8999999999999998E-4</v>
      </c>
      <c r="HJ44" s="5">
        <v>6.7700000000000004E-6</v>
      </c>
      <c r="HK44" s="5">
        <v>8.8200000000000003E-6</v>
      </c>
      <c r="HL44" s="5">
        <v>7.3799999999999996E-7</v>
      </c>
      <c r="HM44" s="5">
        <v>2.58E-5</v>
      </c>
      <c r="HN44" s="5">
        <v>9.4599999999999996E-5</v>
      </c>
      <c r="HO44" s="5">
        <v>3.5400000000000002E-7</v>
      </c>
      <c r="HP44" s="5">
        <v>2.1699999999999999E-5</v>
      </c>
      <c r="HQ44" s="5">
        <v>1.0899999999999999E-6</v>
      </c>
      <c r="HR44" s="5">
        <v>1.12E-4</v>
      </c>
      <c r="HS44" s="5">
        <v>7.0500000000000003E-7</v>
      </c>
      <c r="HT44" s="5">
        <v>2.1699999999999999E-5</v>
      </c>
      <c r="HU44" s="5">
        <v>1.19E-6</v>
      </c>
      <c r="HV44" s="5">
        <v>9.5599999999999999E-6</v>
      </c>
      <c r="HW44" s="5">
        <v>2.1699999999999999E-5</v>
      </c>
      <c r="HX44" s="5">
        <v>6.5000000000000002E-7</v>
      </c>
      <c r="HY44">
        <v>4.2796098176475202E-3</v>
      </c>
      <c r="HZ44">
        <v>4.5296966655507202E-3</v>
      </c>
      <c r="IA44">
        <v>15.2</v>
      </c>
      <c r="IB44">
        <v>3.5100000000000001E-3</v>
      </c>
      <c r="IC44">
        <v>5.47E-3</v>
      </c>
      <c r="ID44">
        <f t="shared" si="5"/>
        <v>106.39999999999999</v>
      </c>
      <c r="IE44">
        <f t="shared" si="6"/>
        <v>2.4570000000000002E-2</v>
      </c>
      <c r="IF44">
        <f t="shared" si="7"/>
        <v>3.8289999999999998E-2</v>
      </c>
      <c r="IG44" s="5">
        <v>3.1199999999999999E-5</v>
      </c>
      <c r="IH44">
        <v>5.8100000000000001E-3</v>
      </c>
      <c r="II44">
        <v>4.5899999999999999E-4</v>
      </c>
      <c r="IJ44">
        <v>4.9700000000000005E-4</v>
      </c>
      <c r="IK44">
        <v>1.34E-4</v>
      </c>
      <c r="IL44">
        <v>-6.1500000000000001E-3</v>
      </c>
      <c r="IM44">
        <v>-5.4800000000000001E-2</v>
      </c>
      <c r="IN44">
        <v>-1.84</v>
      </c>
      <c r="IO44">
        <v>-2.2200000000000001E-2</v>
      </c>
      <c r="IP44" s="5">
        <v>-9.1000000000000003E-5</v>
      </c>
      <c r="IQ44">
        <v>-7.08870746806876E-4</v>
      </c>
      <c r="IR44" s="5">
        <v>4.6799048450369497E-6</v>
      </c>
      <c r="IS44">
        <v>8.7169733200129196E-4</v>
      </c>
      <c r="IT44">
        <v>3.30532132684922E-4</v>
      </c>
      <c r="IU44">
        <v>1.28127627783338E-4</v>
      </c>
      <c r="IV44">
        <v>1.2014008240243E-4</v>
      </c>
      <c r="IW44">
        <v>1.8269995300583799E-4</v>
      </c>
      <c r="IX44">
        <v>1.10048320317176E-3</v>
      </c>
      <c r="IY44">
        <v>1.6936872927442799E-4</v>
      </c>
      <c r="IZ44" s="5">
        <v>7.20734987484758E-5</v>
      </c>
      <c r="JA44">
        <f t="shared" si="4"/>
        <v>20.695873574384152</v>
      </c>
    </row>
    <row r="45" spans="1:261" x14ac:dyDescent="0.3">
      <c r="A45" t="s">
        <v>154</v>
      </c>
      <c r="B45">
        <v>1.42E-3</v>
      </c>
      <c r="C45" s="5">
        <v>-4.08E-7</v>
      </c>
      <c r="D45" s="5">
        <v>1.1800000000000001E-5</v>
      </c>
      <c r="E45">
        <v>6.3800000000000006E-5</v>
      </c>
      <c r="F45">
        <v>3.1599999999999998E-4</v>
      </c>
      <c r="G45">
        <v>-3.5400000000000002E-7</v>
      </c>
      <c r="H45">
        <v>1.2099999999999999E-3</v>
      </c>
      <c r="I45" s="5"/>
      <c r="J45" s="5">
        <v>7.7400000000000002E-7</v>
      </c>
      <c r="K45" s="5">
        <v>1.2099999999999999E-5</v>
      </c>
      <c r="L45" s="5"/>
      <c r="M45" s="5">
        <v>1.1599999999999999E-6</v>
      </c>
      <c r="N45" s="5">
        <v>4.8700000000000002E-3</v>
      </c>
      <c r="O45" s="5"/>
      <c r="P45" s="5">
        <v>7.7400000000000002E-7</v>
      </c>
      <c r="Q45" s="5">
        <v>1.2500000000000001E-5</v>
      </c>
      <c r="R45" s="5">
        <v>1.31E-6</v>
      </c>
      <c r="S45" s="5">
        <v>4.1800000000000002E-4</v>
      </c>
      <c r="T45" s="5">
        <v>5.94E-5</v>
      </c>
      <c r="U45" s="5">
        <v>7.7400000000000002E-7</v>
      </c>
      <c r="V45" s="5"/>
      <c r="W45" s="5">
        <v>3.14E-3</v>
      </c>
      <c r="X45" s="5">
        <v>7.7400000000000002E-7</v>
      </c>
      <c r="Y45" s="5"/>
      <c r="Z45" s="5">
        <v>7.4200000000000001E-6</v>
      </c>
      <c r="AA45" s="5">
        <v>7.7400000000000002E-7</v>
      </c>
      <c r="AB45" s="5"/>
      <c r="AC45" s="5">
        <v>8.8800000000000001E-4</v>
      </c>
      <c r="AD45" s="5">
        <v>1.11E-4</v>
      </c>
      <c r="AE45" s="5">
        <v>4.2099999999999999E-4</v>
      </c>
      <c r="AF45" s="5">
        <v>3.1000000000000002E-10</v>
      </c>
      <c r="AG45" s="5">
        <v>7.7400000000000002E-7</v>
      </c>
      <c r="AI45" s="5">
        <v>1.2099999999999999E-5</v>
      </c>
      <c r="AJ45">
        <v>1.2800000000000001E-3</v>
      </c>
      <c r="AK45" s="5">
        <v>6.7999999999999999E-5</v>
      </c>
      <c r="AL45" s="5">
        <v>3.1099999999999997E-5</v>
      </c>
      <c r="AM45" s="5">
        <v>2.3499999999999999E-6</v>
      </c>
      <c r="AO45" s="5">
        <v>2.34E-6</v>
      </c>
      <c r="AP45">
        <v>1.8500000000000001E-3</v>
      </c>
      <c r="AQ45" s="5">
        <v>1.1900000000000001E-4</v>
      </c>
      <c r="AR45">
        <v>2.1000000000000001E-4</v>
      </c>
      <c r="AS45" s="5">
        <v>6.1600000000000007E-5</v>
      </c>
      <c r="AT45" s="5">
        <v>7.70564099459736E-5</v>
      </c>
      <c r="AU45" s="5">
        <v>8.7208119026917504E-7</v>
      </c>
      <c r="AV45" s="5">
        <v>7.7336856472204406E-6</v>
      </c>
      <c r="AW45" s="5">
        <v>2.37471421303436E-6</v>
      </c>
      <c r="AX45" s="5">
        <v>7.5630983360829905E-5</v>
      </c>
      <c r="AY45" s="5">
        <v>1.6200000000000001E-5</v>
      </c>
      <c r="AZ45" s="5">
        <v>2.08E-6</v>
      </c>
      <c r="BA45" s="5">
        <v>9.6899999999999996E-7</v>
      </c>
      <c r="BB45">
        <v>1.3899999999999999E-4</v>
      </c>
      <c r="BC45" s="5">
        <v>2.1899999999999999E-7</v>
      </c>
      <c r="BD45" s="5">
        <v>4.8699999999999998E-5</v>
      </c>
      <c r="BE45" s="5">
        <v>3.6699999999999998E-5</v>
      </c>
      <c r="BF45" s="5">
        <v>1.6400000000000001E-7</v>
      </c>
      <c r="BG45" s="5">
        <v>9.0500000000000002E-7</v>
      </c>
      <c r="BH45" s="5">
        <v>3.8999999999999999E-4</v>
      </c>
      <c r="BI45" s="5">
        <v>1.9700000000000001E-5</v>
      </c>
      <c r="BJ45" s="5">
        <v>1.0499999999999999E-6</v>
      </c>
      <c r="BL45" s="5">
        <v>9.2999999999999997E-5</v>
      </c>
      <c r="BM45" s="5">
        <v>3.65E-5</v>
      </c>
      <c r="BN45" s="5">
        <v>4.6999999999999997E-5</v>
      </c>
      <c r="BO45" s="5">
        <v>2.1899999999999999E-7</v>
      </c>
      <c r="BP45" s="5"/>
      <c r="BQ45" s="5">
        <v>1.6699999999999999E-5</v>
      </c>
      <c r="BR45" s="5">
        <v>7.5100000000000001E-6</v>
      </c>
      <c r="BS45" s="5">
        <v>3.21659018331894E-6</v>
      </c>
      <c r="BT45" s="5">
        <v>3.3799999999999998E-4</v>
      </c>
      <c r="BU45" s="5">
        <v>9.5199999999999995E-7</v>
      </c>
      <c r="BV45" s="5"/>
      <c r="BW45" s="5">
        <v>7.0500000000000006E-5</v>
      </c>
      <c r="BX45" s="5">
        <v>2.6800000000000001E-5</v>
      </c>
      <c r="BY45" s="5">
        <v>3.3199999999999999E-4</v>
      </c>
      <c r="BZ45" s="5">
        <v>1.0499999999999999E-6</v>
      </c>
      <c r="CA45" s="5"/>
      <c r="CB45" s="5">
        <v>8.3999999999999995E-5</v>
      </c>
      <c r="CC45" s="5">
        <v>5.3600000000000004E-6</v>
      </c>
      <c r="CD45" s="5">
        <v>8.5799999999999992E-6</v>
      </c>
      <c r="CE45" s="5">
        <v>4.2356632280126798E-4</v>
      </c>
      <c r="CF45" s="5">
        <v>1.0499999999999999E-6</v>
      </c>
      <c r="CG45" s="5"/>
      <c r="CH45" s="5">
        <v>9.2100000000000003E-5</v>
      </c>
      <c r="CI45" s="5">
        <v>6.4300000000000003E-6</v>
      </c>
      <c r="CJ45" s="5">
        <v>2.3600000000000001E-5</v>
      </c>
      <c r="CK45" s="5">
        <v>1.9099999999999999E-6</v>
      </c>
      <c r="CL45" s="5">
        <v>8.7200000000000005E-5</v>
      </c>
      <c r="CM45" s="5">
        <v>1.4300000000000001E-4</v>
      </c>
      <c r="CN45" s="5">
        <v>1.3200000000000001E-6</v>
      </c>
      <c r="CO45" s="5">
        <v>3.7400000000000001E-5</v>
      </c>
      <c r="CP45" s="5">
        <v>2.6266359417123699E-7</v>
      </c>
      <c r="CQ45" s="5">
        <v>6.21178841871703E-6</v>
      </c>
      <c r="CR45" s="5">
        <v>6.1790076647768298E-4</v>
      </c>
      <c r="CS45" s="5">
        <v>1.9680595189114E-6</v>
      </c>
      <c r="CT45" s="5">
        <v>2.10858986005675E-6</v>
      </c>
      <c r="CU45" s="5">
        <v>2.85899101965871E-5</v>
      </c>
      <c r="CV45" s="5">
        <v>1.3200000000000001E-5</v>
      </c>
      <c r="CW45" s="5">
        <v>7.2700000000000004E-3</v>
      </c>
      <c r="CX45" s="5">
        <v>-5.7399999999999997E-4</v>
      </c>
      <c r="CY45" s="5">
        <v>3.4399999999999999E-3</v>
      </c>
      <c r="CZ45" s="5">
        <v>1.6899999999999999E-4</v>
      </c>
      <c r="DA45" s="5">
        <v>2.4499999999999999E-3</v>
      </c>
      <c r="DB45" s="5">
        <v>8.6400000000000003E-6</v>
      </c>
      <c r="DC45" s="5">
        <v>1.51E-8</v>
      </c>
      <c r="DD45" s="5">
        <v>8.4600000000000003E-7</v>
      </c>
      <c r="DE45" s="5">
        <v>5.1199999999999999E-10</v>
      </c>
      <c r="DF45" s="5">
        <v>1.8534506215944801E-4</v>
      </c>
      <c r="DG45" s="5">
        <v>8.5775738221838298E-6</v>
      </c>
      <c r="DH45" s="5">
        <v>4.9400000000000001E-6</v>
      </c>
      <c r="DI45" s="5">
        <v>0.01</v>
      </c>
      <c r="DJ45" s="5">
        <v>5.0300000000000003E-5</v>
      </c>
      <c r="DK45" s="5">
        <v>1.4300000000000001E-4</v>
      </c>
      <c r="DL45" s="5">
        <v>1.01E-5</v>
      </c>
      <c r="DM45" s="5">
        <v>1.31E-5</v>
      </c>
      <c r="DN45" s="5">
        <v>1.1082011622038901E-5</v>
      </c>
      <c r="DO45" s="5">
        <v>4.2092242806096302E-6</v>
      </c>
      <c r="DP45">
        <v>3.0737060918724297E-4</v>
      </c>
      <c r="DQ45" s="5">
        <v>3.7400000000000002E-6</v>
      </c>
      <c r="DR45" s="5">
        <v>2.0900000000000001E-4</v>
      </c>
      <c r="DS45" s="5">
        <v>4.4900000000000001E-3</v>
      </c>
      <c r="DT45" s="5">
        <v>1.7499999999999999E-7</v>
      </c>
      <c r="DU45" s="5">
        <v>2.03E-6</v>
      </c>
      <c r="DV45" s="5">
        <v>7.3658454849708302E-4</v>
      </c>
      <c r="DW45" s="5">
        <v>3.41130316611309E-6</v>
      </c>
      <c r="DX45" s="5">
        <v>1.1082011622038901E-5</v>
      </c>
      <c r="DY45">
        <v>1.5022138864488201E-4</v>
      </c>
      <c r="DZ45" s="5">
        <v>1.3799999999999999E-4</v>
      </c>
      <c r="EA45" s="5">
        <v>1.9500000000000001E-7</v>
      </c>
      <c r="EB45" s="5">
        <v>1.0500000000000001E-2</v>
      </c>
      <c r="EC45" s="5">
        <v>4.28E-3</v>
      </c>
      <c r="ED45" s="5">
        <v>3.0899999999999998E-4</v>
      </c>
      <c r="EE45" s="5">
        <v>1.6422282490928899E-4</v>
      </c>
      <c r="EF45" s="5">
        <v>1.95020262981888E-5</v>
      </c>
      <c r="EG45" s="5">
        <v>3.3291818519089601E-5</v>
      </c>
      <c r="EH45" s="5">
        <v>3.2828703567131501E-6</v>
      </c>
      <c r="EI45" s="5">
        <v>3.5560909373398397E-2</v>
      </c>
      <c r="EJ45" s="5">
        <v>6.4331803666378703E-5</v>
      </c>
      <c r="EK45">
        <v>3.7573904001177101E-4</v>
      </c>
      <c r="EL45" s="5">
        <v>7.7400000000000002E-7</v>
      </c>
      <c r="EM45" s="5">
        <v>1.2400000000000001E-4</v>
      </c>
      <c r="EN45" s="5">
        <v>2.6900000000000001E-3</v>
      </c>
      <c r="EO45" s="5">
        <v>1.2999999999999999E-5</v>
      </c>
      <c r="EP45" s="5">
        <v>1.15E-5</v>
      </c>
      <c r="EQ45" s="5">
        <v>8.7380596201970799E-6</v>
      </c>
      <c r="ER45" s="5">
        <v>-1.14901552697654E-4</v>
      </c>
      <c r="ES45" s="5">
        <v>5.7698402528749498E-5</v>
      </c>
      <c r="ET45" s="5">
        <v>1.09E-2</v>
      </c>
      <c r="EU45" s="5">
        <v>5.5899999999999997E-5</v>
      </c>
      <c r="EV45" s="5">
        <v>9.8300000000000004E-5</v>
      </c>
      <c r="EW45" s="5">
        <v>5.13E-6</v>
      </c>
      <c r="EX45" s="5">
        <v>2.42E-4</v>
      </c>
      <c r="EY45" s="5">
        <v>8.5599999999999994E-5</v>
      </c>
      <c r="EZ45" s="5">
        <v>6.3885907009881798E-6</v>
      </c>
      <c r="FA45" s="5">
        <v>0</v>
      </c>
      <c r="FB45" s="5">
        <v>4.8542945044095399E-5</v>
      </c>
      <c r="FC45" s="5">
        <v>3.82385284666748E-3</v>
      </c>
      <c r="FD45" s="5">
        <v>1.1064546781905499E-3</v>
      </c>
      <c r="FE45" s="5">
        <v>2.1549673967941799E-5</v>
      </c>
      <c r="FF45" s="5">
        <v>1.01061495377498E-5</v>
      </c>
      <c r="FG45" s="5">
        <v>6.1045683318842304E-7</v>
      </c>
      <c r="FH45" s="5">
        <v>5.9800000000000003E-6</v>
      </c>
      <c r="FI45" s="5">
        <v>3.1399999999999998E-5</v>
      </c>
      <c r="FJ45" s="5">
        <v>1.1600000000000001E-5</v>
      </c>
      <c r="FK45" s="5">
        <v>1.0100000000000001E-6</v>
      </c>
      <c r="FL45" s="5">
        <v>4.3300000000000003E-7</v>
      </c>
      <c r="FM45" s="5">
        <v>3.7100000000000001E-5</v>
      </c>
      <c r="FN45" s="5">
        <v>2.8899999999999998E-4</v>
      </c>
      <c r="FO45" s="5">
        <v>1.8899999999999999E-5</v>
      </c>
      <c r="FP45" s="5">
        <v>4.0600000000000001E-7</v>
      </c>
      <c r="FQ45" s="5">
        <v>1.15E-6</v>
      </c>
      <c r="FR45" s="5">
        <v>5.7299999999999996E-7</v>
      </c>
      <c r="FS45" s="5">
        <v>0</v>
      </c>
      <c r="FT45" s="5">
        <v>7.7408583726802302E-6</v>
      </c>
      <c r="FU45" s="5">
        <v>1.73E-3</v>
      </c>
      <c r="FV45" s="5">
        <v>2.3499999999999999E-6</v>
      </c>
      <c r="FW45" s="5">
        <v>5.1199999999999999E-10</v>
      </c>
      <c r="FX45" s="5">
        <v>1.2300000000000001E-5</v>
      </c>
      <c r="FY45" s="5">
        <v>7.5100000000000001E-6</v>
      </c>
      <c r="FZ45" s="5">
        <v>7.08E-5</v>
      </c>
      <c r="GA45" s="5">
        <v>6.5899999999999996E-7</v>
      </c>
      <c r="GB45" s="5">
        <v>1.2999999999999999E-5</v>
      </c>
      <c r="GC45" s="5">
        <v>1.5099999999999999E-5</v>
      </c>
      <c r="GD45" s="5">
        <v>2.22E-7</v>
      </c>
      <c r="GE45" s="5">
        <v>8.4789512227108105E-4</v>
      </c>
      <c r="GF45" s="5">
        <v>1.15E-4</v>
      </c>
      <c r="GG45" s="5">
        <v>1.86E-6</v>
      </c>
      <c r="GH45" s="5">
        <v>2.0000000000000002E-5</v>
      </c>
      <c r="GI45" s="5">
        <v>1.5099999999999999E-5</v>
      </c>
      <c r="GJ45" s="5">
        <v>2.22E-7</v>
      </c>
      <c r="GK45" s="5">
        <v>9.6243925506403895E-4</v>
      </c>
      <c r="GL45" s="5">
        <v>6.43318036663788E-6</v>
      </c>
      <c r="GM45" s="5">
        <v>6.1799999999999995E-4</v>
      </c>
      <c r="GN45" s="5">
        <v>2.7E-4</v>
      </c>
      <c r="GO45" s="5">
        <v>4.9799999999999998E-6</v>
      </c>
      <c r="GP45" s="5">
        <v>-5.7500000000000002E-5</v>
      </c>
      <c r="GQ45" s="5">
        <v>3.3099999999999998E-5</v>
      </c>
      <c r="GR45" s="5">
        <v>6.9398451761372196E-7</v>
      </c>
      <c r="GS45" s="5">
        <v>4.3379408372063496E-3</v>
      </c>
      <c r="GT45" s="5">
        <v>1.6555158842942899E-3</v>
      </c>
      <c r="GU45" s="5">
        <v>8.1853825639309197E-6</v>
      </c>
      <c r="GV45" s="5">
        <v>1.7510906278082501E-6</v>
      </c>
      <c r="GW45" s="5">
        <v>3.9700000000000001E-6</v>
      </c>
      <c r="GX45" s="5">
        <v>1.2E-4</v>
      </c>
      <c r="GY45" s="5">
        <v>1.31E-5</v>
      </c>
      <c r="GZ45" s="5">
        <v>1.9E-6</v>
      </c>
      <c r="HA45" s="5">
        <v>4.3300000000000003E-7</v>
      </c>
      <c r="HB45" s="5">
        <v>6.9800000000000003E-5</v>
      </c>
      <c r="HC45" s="5">
        <v>1.2800000000000001E-3</v>
      </c>
      <c r="HD45" s="5">
        <v>5.7799999999999997E-6</v>
      </c>
      <c r="HE45" s="5">
        <v>2.3800000000000001E-8</v>
      </c>
      <c r="HF45" s="5">
        <v>1.5799999999999999E-6</v>
      </c>
      <c r="HG45" s="5">
        <v>1.3200000000000001E-5</v>
      </c>
      <c r="HH45" s="5">
        <v>1.3568137669829801E-3</v>
      </c>
      <c r="HI45" s="5">
        <v>3.4200000000000002E-4</v>
      </c>
      <c r="HJ45" s="5">
        <v>4.9799999999999998E-6</v>
      </c>
      <c r="HK45" s="5">
        <v>5.9800000000000003E-6</v>
      </c>
      <c r="HL45" s="5">
        <v>9.5000000000000001E-7</v>
      </c>
      <c r="HM45" s="5">
        <v>2.4899999999999999E-5</v>
      </c>
      <c r="HN45" s="5">
        <v>6.5699999999999998E-5</v>
      </c>
      <c r="HO45" s="5">
        <v>2.6E-7</v>
      </c>
      <c r="HP45" s="5">
        <v>1.6400000000000001E-7</v>
      </c>
      <c r="HQ45" s="5">
        <v>1.06E-6</v>
      </c>
      <c r="HR45" s="5">
        <v>7.7600000000000002E-5</v>
      </c>
      <c r="HS45" s="5">
        <v>5.1799999999999995E-7</v>
      </c>
      <c r="HT45" s="5">
        <v>1.6400000000000001E-7</v>
      </c>
      <c r="HU45" s="5">
        <v>1.1599999999999999E-6</v>
      </c>
      <c r="HV45" s="5">
        <v>6.64E-6</v>
      </c>
      <c r="HW45" s="5">
        <v>1.6400000000000001E-7</v>
      </c>
      <c r="HX45" s="5">
        <v>6.3E-7</v>
      </c>
      <c r="HY45">
        <v>3.1419085619543798E-3</v>
      </c>
      <c r="HZ45" s="5">
        <v>4.3855175037005199E-3</v>
      </c>
      <c r="IA45">
        <v>14.8</v>
      </c>
      <c r="IB45" s="5">
        <v>2.5199999999999999E-5</v>
      </c>
      <c r="ID45">
        <f t="shared" si="5"/>
        <v>103.60000000000001</v>
      </c>
      <c r="IE45">
        <f t="shared" si="6"/>
        <v>1.7640000000000001E-4</v>
      </c>
      <c r="IF45">
        <f t="shared" si="7"/>
        <v>0</v>
      </c>
      <c r="IG45" s="5">
        <v>2.9E-5</v>
      </c>
      <c r="IH45">
        <v>1.75E-4</v>
      </c>
      <c r="II45">
        <v>3.5500000000000001E-4</v>
      </c>
      <c r="IJ45">
        <v>1.47E-4</v>
      </c>
      <c r="IK45">
        <v>1.26E-4</v>
      </c>
      <c r="IL45">
        <v>-3.8600000000000001E-3</v>
      </c>
      <c r="IM45">
        <v>-3.85E-2</v>
      </c>
      <c r="IN45">
        <v>-4.9799999999999996E-4</v>
      </c>
      <c r="IO45">
        <v>-5.5100000000000001E-3</v>
      </c>
      <c r="IP45" s="5">
        <v>-4.49E-5</v>
      </c>
      <c r="IQ45">
        <v>-3.7723669677796202E-4</v>
      </c>
      <c r="IR45" s="5">
        <v>4.3499274872429298E-6</v>
      </c>
      <c r="IS45" s="5">
        <v>2.6229273181279199E-5</v>
      </c>
      <c r="IT45">
        <v>2.5513033266319501E-4</v>
      </c>
      <c r="IU45" s="5">
        <v>3.7975267147792198E-5</v>
      </c>
      <c r="IV45">
        <v>1.1260405789330799E-4</v>
      </c>
      <c r="IW45">
        <v>1.10888219591816E-4</v>
      </c>
      <c r="IX45">
        <v>6.6792914329055796E-4</v>
      </c>
      <c r="IY45">
        <v>1.01211219640267E-4</v>
      </c>
      <c r="IZ45" s="5">
        <v>3.7651866489505299E-5</v>
      </c>
      <c r="JA45">
        <f t="shared" si="4"/>
        <v>14.941785859967885</v>
      </c>
    </row>
    <row r="46" spans="1:261" x14ac:dyDescent="0.3">
      <c r="A46" t="s">
        <v>155</v>
      </c>
      <c r="B46">
        <v>2.65E-3</v>
      </c>
      <c r="C46" s="5">
        <v>-4.8400000000000002E-6</v>
      </c>
      <c r="D46" s="5">
        <v>2.4400000000000001E-7</v>
      </c>
      <c r="E46">
        <v>1.9000000000000001E-5</v>
      </c>
      <c r="F46">
        <v>2.5700000000000001E-5</v>
      </c>
      <c r="G46">
        <v>-4.4299999999999999E-6</v>
      </c>
      <c r="H46">
        <v>1.9199999999999999E-5</v>
      </c>
      <c r="I46" s="5"/>
      <c r="J46" s="5">
        <v>-1.2099999999999999E-5</v>
      </c>
      <c r="K46" s="5">
        <v>2.4999999999999999E-7</v>
      </c>
      <c r="L46" s="5"/>
      <c r="M46" s="5">
        <v>-1.8099999999999999E-5</v>
      </c>
      <c r="N46" s="5">
        <v>7.7399999999999998E-5</v>
      </c>
      <c r="O46" s="5"/>
      <c r="P46" s="5">
        <v>-1.2099999999999999E-5</v>
      </c>
      <c r="Q46" s="5">
        <v>2.5699999999999999E-7</v>
      </c>
      <c r="R46" s="5">
        <v>-8.0399999999999993E-6</v>
      </c>
      <c r="S46" s="5">
        <v>1.6200000000000001E-5</v>
      </c>
      <c r="T46" s="5">
        <v>1.22E-6</v>
      </c>
      <c r="U46" s="5">
        <v>-1.2099999999999999E-5</v>
      </c>
      <c r="V46" s="5"/>
      <c r="W46" s="5">
        <v>4.99E-5</v>
      </c>
      <c r="X46" s="5">
        <v>-1.2099999999999999E-5</v>
      </c>
      <c r="Y46" s="5"/>
      <c r="Z46" s="5">
        <v>1.5300000000000001E-7</v>
      </c>
      <c r="AA46" s="5">
        <v>-1.2099999999999999E-5</v>
      </c>
      <c r="AB46" s="5"/>
      <c r="AC46" s="5">
        <v>1.4100000000000001E-5</v>
      </c>
      <c r="AD46" s="5">
        <v>3.9400000000000002E-5</v>
      </c>
      <c r="AE46" s="5">
        <v>8.1600000000000006E-3</v>
      </c>
      <c r="AF46" s="5">
        <v>-4.8300000000000001E-9</v>
      </c>
      <c r="AG46" s="5">
        <v>-1.2099999999999999E-5</v>
      </c>
      <c r="AI46" s="5">
        <v>2.4999999999999999E-7</v>
      </c>
      <c r="AJ46">
        <v>8.3099999999999997E-3</v>
      </c>
      <c r="AK46">
        <v>4.4099999999999999E-4</v>
      </c>
      <c r="AL46" s="5">
        <v>7.1999999999999997E-6</v>
      </c>
      <c r="AM46" s="5">
        <v>5.4300000000000003E-7</v>
      </c>
      <c r="AO46" s="5">
        <v>8.2900000000000002E-7</v>
      </c>
      <c r="AP46">
        <v>8.0400000000000003E-4</v>
      </c>
      <c r="AQ46" s="5">
        <v>4.5500000000000001E-5</v>
      </c>
      <c r="AR46" s="5">
        <v>8.2200000000000006E-5</v>
      </c>
      <c r="AS46" s="5">
        <v>2.1800000000000001E-5</v>
      </c>
      <c r="AT46" s="5">
        <v>2.9772208632121899E-5</v>
      </c>
      <c r="AU46" s="5">
        <v>4.1977868360418898E-5</v>
      </c>
      <c r="AV46" s="5">
        <v>3.6319158984049201E-6</v>
      </c>
      <c r="AW46" s="5">
        <v>-1.3509750182872899E-6</v>
      </c>
      <c r="AX46" s="5">
        <v>1.5546524694668E-6</v>
      </c>
      <c r="AY46" s="5">
        <v>6.2500000000000003E-6</v>
      </c>
      <c r="AZ46" s="5">
        <v>7.3600000000000003E-7</v>
      </c>
      <c r="BA46">
        <v>3.4699999999999998E-4</v>
      </c>
      <c r="BB46" s="5">
        <v>1.2500000000000001E-5</v>
      </c>
      <c r="BC46" s="5">
        <v>-1.3400000000000001E-6</v>
      </c>
      <c r="BD46" s="5">
        <v>9.9999999999999995E-7</v>
      </c>
      <c r="BE46" s="5">
        <v>9.4499999999999995E-7</v>
      </c>
      <c r="BF46" s="5">
        <v>-9.9999999999999995E-7</v>
      </c>
      <c r="BG46" s="5">
        <v>1.8600000000000001E-8</v>
      </c>
      <c r="BH46" s="5">
        <v>1.64E-3</v>
      </c>
      <c r="BI46" s="5">
        <v>5.06E-7</v>
      </c>
      <c r="BJ46" s="5">
        <v>-6.4300000000000003E-6</v>
      </c>
      <c r="BK46" s="5"/>
      <c r="BL46" s="5">
        <v>1.9099999999999999E-6</v>
      </c>
      <c r="BM46" s="5">
        <v>3.0199999999999999E-5</v>
      </c>
      <c r="BN46" s="5">
        <v>1.9799999999999999E-4</v>
      </c>
      <c r="BO46" s="5">
        <v>-1.3400000000000001E-6</v>
      </c>
      <c r="BP46" s="5"/>
      <c r="BQ46" s="5">
        <v>3.4400000000000001E-7</v>
      </c>
      <c r="BR46" s="5">
        <v>6.2199999999999997E-6</v>
      </c>
      <c r="BS46" s="5">
        <v>2.66362329563186E-6</v>
      </c>
      <c r="BT46" s="5">
        <v>1.42E-3</v>
      </c>
      <c r="BU46" s="5">
        <v>-5.8300000000000001E-6</v>
      </c>
      <c r="BV46" s="5"/>
      <c r="BW46" s="5">
        <v>1.4500000000000001E-6</v>
      </c>
      <c r="BX46" s="5">
        <v>2.2200000000000001E-5</v>
      </c>
      <c r="BY46" s="5">
        <v>1.39E-3</v>
      </c>
      <c r="BZ46" s="5">
        <v>-6.4300000000000003E-6</v>
      </c>
      <c r="CA46" s="5"/>
      <c r="CB46" s="5">
        <v>1.73E-6</v>
      </c>
      <c r="CC46" s="5">
        <v>4.4399999999999998E-6</v>
      </c>
      <c r="CD46" s="5">
        <v>7.0999999999999998E-6</v>
      </c>
      <c r="CE46" s="5">
        <v>1.7817663461976599E-3</v>
      </c>
      <c r="CF46" s="5">
        <v>-6.4300000000000003E-6</v>
      </c>
      <c r="CG46" s="5"/>
      <c r="CH46" s="5">
        <v>1.8899999999999999E-6</v>
      </c>
      <c r="CI46" s="5">
        <v>5.3299999999999998E-6</v>
      </c>
      <c r="CJ46" s="5">
        <v>1.95E-5</v>
      </c>
      <c r="CK46" s="5">
        <v>6.75E-7</v>
      </c>
      <c r="CL46" s="5">
        <v>4.0299999999999997E-5</v>
      </c>
      <c r="CM46" s="5">
        <v>5.6199999999999997E-5</v>
      </c>
      <c r="CN46" s="5">
        <v>4.6600000000000002E-7</v>
      </c>
      <c r="CO46" s="5">
        <v>1.4500000000000001E-6</v>
      </c>
      <c r="CP46" s="5">
        <v>1.26023413901632E-5</v>
      </c>
      <c r="CQ46" s="5">
        <v>2.61303955446036E-5</v>
      </c>
      <c r="CR46" s="5">
        <v>1.5892326769830198E-5</v>
      </c>
      <c r="CS46" s="5">
        <v>3.8133131746637202E-5</v>
      </c>
      <c r="CT46" s="5">
        <v>-1.1991265473231301E-6</v>
      </c>
      <c r="CU46" s="5">
        <v>5.8768738040735198E-7</v>
      </c>
      <c r="CV46" s="5">
        <v>8.3299999999999999E-6</v>
      </c>
      <c r="CW46" s="5">
        <v>7.2500000000000004E-3</v>
      </c>
      <c r="CX46" s="5">
        <v>-8.2100000000000001E-4</v>
      </c>
      <c r="CY46" s="5">
        <v>1.9000000000000001E-4</v>
      </c>
      <c r="CZ46" s="5">
        <v>3.4800000000000001E-6</v>
      </c>
      <c r="DA46" s="5">
        <v>9.4700000000000003E-4</v>
      </c>
      <c r="DB46" s="5">
        <v>3.0599999999999999E-6</v>
      </c>
      <c r="DC46" s="5">
        <v>7.2600000000000002E-7</v>
      </c>
      <c r="DD46" s="5">
        <v>1.6399999999999999E-5</v>
      </c>
      <c r="DE46" s="5">
        <v>-2.9099999999999998E-10</v>
      </c>
      <c r="DF46" s="5">
        <v>3.8099089260142599E-6</v>
      </c>
      <c r="DG46" s="5">
        <v>7.1029954550182999E-6</v>
      </c>
      <c r="DH46" s="5">
        <v>1.75E-6</v>
      </c>
      <c r="DI46" s="5">
        <v>4.5300000000000002E-3</v>
      </c>
      <c r="DJ46" s="5">
        <v>1.7799999999999999E-5</v>
      </c>
      <c r="DK46" s="5">
        <v>5.5899999999999997E-5</v>
      </c>
      <c r="DL46" s="5">
        <v>4.7600000000000002E-6</v>
      </c>
      <c r="DM46" s="5">
        <v>2.5399999999999999E-4</v>
      </c>
      <c r="DN46" s="5">
        <v>-6.3046061193393498E-6</v>
      </c>
      <c r="DO46" s="5">
        <v>7.9497843908831498E-7</v>
      </c>
      <c r="DP46" s="5">
        <v>6.3182369893916699E-6</v>
      </c>
      <c r="DQ46" s="5">
        <v>1.3200000000000001E-6</v>
      </c>
      <c r="DR46" s="5">
        <v>5.3700000000000003E-6</v>
      </c>
      <c r="DS46" s="5">
        <v>1.73E-3</v>
      </c>
      <c r="DT46" s="5">
        <v>8.3999999999999992E-6</v>
      </c>
      <c r="DU46" s="5">
        <v>9.5499999999999996E-7</v>
      </c>
      <c r="DV46" s="5">
        <v>1.8944858095990501E-5</v>
      </c>
      <c r="DW46" s="5">
        <v>6.6097428360837796E-5</v>
      </c>
      <c r="DX46" s="5">
        <v>-6.3046061193393498E-6</v>
      </c>
      <c r="DY46" s="5">
        <v>3.0879150639796002E-6</v>
      </c>
      <c r="DZ46" s="5">
        <v>3.4400000000000003E-5</v>
      </c>
      <c r="EA46" s="5">
        <v>4.8499999999999998E-8</v>
      </c>
      <c r="EB46" s="5">
        <v>3.9899999999999996E-3</v>
      </c>
      <c r="EC46" s="5">
        <v>1.6100000000000001E-3</v>
      </c>
      <c r="ED46" s="5">
        <v>1.1400000000000001E-4</v>
      </c>
      <c r="EE46" s="5">
        <v>4.091453020437E-5</v>
      </c>
      <c r="EF46" s="5">
        <v>8.7380098247257396E-6</v>
      </c>
      <c r="EG46" s="5">
        <v>5.0764722862151003E-4</v>
      </c>
      <c r="EH46" s="5">
        <v>-2.0094073707855901E-5</v>
      </c>
      <c r="EI46" s="5">
        <v>5.6505245080095399E-4</v>
      </c>
      <c r="EJ46" s="5">
        <v>5.3272465912637302E-5</v>
      </c>
      <c r="EK46">
        <v>1.6835232262304899E-4</v>
      </c>
      <c r="EL46" s="5">
        <v>4.8699999999999995E-7</v>
      </c>
      <c r="EM46" s="5">
        <v>4.3999999999999999E-5</v>
      </c>
      <c r="EN46" s="5">
        <v>1.17E-3</v>
      </c>
      <c r="EO46" s="5">
        <v>1.77E-6</v>
      </c>
      <c r="EP46" s="5">
        <v>5.4199999999999998E-6</v>
      </c>
      <c r="EQ46" s="5">
        <v>1.6930868985672501E-4</v>
      </c>
      <c r="ER46" s="5">
        <v>-1.6359078238067999E-4</v>
      </c>
      <c r="ES46" s="5">
        <v>1.18603461160425E-6</v>
      </c>
      <c r="ET46" s="5">
        <v>4.6299999999999996E-3</v>
      </c>
      <c r="EU46" s="5">
        <v>2.19E-5</v>
      </c>
      <c r="EV46" s="5">
        <v>3.4799999999999999E-5</v>
      </c>
      <c r="EW46" s="5">
        <v>2.4099999999999998E-6</v>
      </c>
      <c r="EX46" s="5">
        <v>6.2099999999999998E-6</v>
      </c>
      <c r="EY46" s="5">
        <v>1.66E-3</v>
      </c>
      <c r="EZ46" s="5">
        <v>-9.3797815729655303E-7</v>
      </c>
      <c r="FA46" s="5">
        <v>0</v>
      </c>
      <c r="FB46" s="5">
        <v>9.9783720949315696E-7</v>
      </c>
      <c r="FC46" s="5">
        <v>1.76772815216907E-3</v>
      </c>
      <c r="FD46" s="5">
        <v>4.51175722511879E-4</v>
      </c>
      <c r="FE46" s="5">
        <v>8.3261261428815605E-6</v>
      </c>
      <c r="FF46" s="5">
        <v>3.5748403814899399E-6</v>
      </c>
      <c r="FG46" s="5">
        <v>2.93845078522932E-5</v>
      </c>
      <c r="FH46" s="5">
        <v>2.8100000000000002E-6</v>
      </c>
      <c r="FI46" s="5">
        <v>8.0800000000000004E-7</v>
      </c>
      <c r="FJ46" s="5">
        <v>2.2599999999999999E-4</v>
      </c>
      <c r="FK46" s="5">
        <v>-5.7599999999999997E-7</v>
      </c>
      <c r="FL46" s="5">
        <v>2.28E-7</v>
      </c>
      <c r="FM46" s="5">
        <v>7.6300000000000004E-7</v>
      </c>
      <c r="FN46" s="5">
        <v>1.12E-4</v>
      </c>
      <c r="FO46" s="5">
        <v>7.3200000000000002E-6</v>
      </c>
      <c r="FP46" s="5">
        <v>1.9600000000000001E-7</v>
      </c>
      <c r="FQ46" s="5">
        <v>2.23E-5</v>
      </c>
      <c r="FR46" s="5">
        <v>-3.5099999999999999E-6</v>
      </c>
      <c r="FS46" s="5">
        <v>0</v>
      </c>
      <c r="FT46" s="5">
        <v>1.59119239894913E-7</v>
      </c>
      <c r="FU46" s="5">
        <v>3.2400000000000001E-4</v>
      </c>
      <c r="FV46" s="5">
        <v>8.3099999999999996E-7</v>
      </c>
      <c r="FW46" s="5">
        <v>-2.9099999999999998E-10</v>
      </c>
      <c r="FX46" s="5">
        <v>2.53E-7</v>
      </c>
      <c r="FY46" s="5">
        <v>6.2199999999999997E-6</v>
      </c>
      <c r="FZ46" s="5">
        <v>2.6100000000000001E-5</v>
      </c>
      <c r="GA46" s="5">
        <v>2.4600000000000001E-7</v>
      </c>
      <c r="GB46" s="5">
        <v>5.0500000000000004E-7</v>
      </c>
      <c r="GC46" s="5">
        <v>6.3700000000000003E-5</v>
      </c>
      <c r="GD46" s="5">
        <v>-1.7800000000000001E-7</v>
      </c>
      <c r="GE46" s="5">
        <v>1.3533877684852501E-5</v>
      </c>
      <c r="GF46" s="5">
        <v>4.2299999999999998E-5</v>
      </c>
      <c r="GG46" s="5">
        <v>4.6400000000000003E-7</v>
      </c>
      <c r="GH46" s="5">
        <v>7.7800000000000001E-7</v>
      </c>
      <c r="GI46" s="5">
        <v>6.3700000000000003E-5</v>
      </c>
      <c r="GJ46" s="5">
        <v>-1.7800000000000001E-7</v>
      </c>
      <c r="GK46" s="5">
        <v>1.5353950458580499E-5</v>
      </c>
      <c r="GL46" s="5">
        <v>5.3272465912637302E-6</v>
      </c>
      <c r="GM46" s="5">
        <v>2.42E-4</v>
      </c>
      <c r="GN46" s="5">
        <v>1.3300000000000001E-4</v>
      </c>
      <c r="GO46" s="5">
        <v>1.7600000000000001E-6</v>
      </c>
      <c r="GP46" s="5">
        <v>-8.2700000000000004E-5</v>
      </c>
      <c r="GQ46" s="5">
        <v>6.7999999999999995E-7</v>
      </c>
      <c r="GR46" s="5">
        <v>2.4548260130402999E-7</v>
      </c>
      <c r="GS46" s="5">
        <v>2.2581510513011399E-3</v>
      </c>
      <c r="GT46" s="5">
        <v>6.4022315532988804E-4</v>
      </c>
      <c r="GU46" s="5">
        <v>2.89540898026322E-6</v>
      </c>
      <c r="GV46" s="5">
        <v>8.4015609267754494E-5</v>
      </c>
      <c r="GW46" s="5">
        <v>1.86E-6</v>
      </c>
      <c r="GX46" s="5">
        <v>3.0900000000000001E-6</v>
      </c>
      <c r="GY46" s="5">
        <v>2.5399999999999999E-4</v>
      </c>
      <c r="GZ46" s="5">
        <v>-1.08E-6</v>
      </c>
      <c r="HA46" s="5">
        <v>2.28E-7</v>
      </c>
      <c r="HB46" s="5">
        <v>1.4300000000000001E-6</v>
      </c>
      <c r="HC46" s="5">
        <v>5.0100000000000003E-4</v>
      </c>
      <c r="HD46" s="5">
        <v>2.0499999999999999E-6</v>
      </c>
      <c r="HE46" s="5">
        <v>1.1400000000000001E-6</v>
      </c>
      <c r="HF46" s="5">
        <v>-8.9999999999999996E-7</v>
      </c>
      <c r="HG46" s="5">
        <v>2.7099999999999998E-7</v>
      </c>
      <c r="HH46" s="5">
        <v>6.6023094021355603E-4</v>
      </c>
      <c r="HI46" s="5">
        <v>1.3200000000000001E-4</v>
      </c>
      <c r="HJ46" s="5">
        <v>1.7600000000000001E-6</v>
      </c>
      <c r="HK46" s="5">
        <v>2.8100000000000002E-6</v>
      </c>
      <c r="HL46" s="5">
        <v>-5.4000000000000002E-7</v>
      </c>
      <c r="HM46" s="5">
        <v>5.13E-7</v>
      </c>
      <c r="HN46" s="5">
        <v>2.5700000000000001E-5</v>
      </c>
      <c r="HO46" s="5">
        <v>9.2099999999999998E-8</v>
      </c>
      <c r="HP46" s="5">
        <v>-9.9999999999999995E-7</v>
      </c>
      <c r="HQ46" s="5">
        <v>2.18E-8</v>
      </c>
      <c r="HR46" s="5">
        <v>3.04E-5</v>
      </c>
      <c r="HS46" s="5">
        <v>1.8400000000000001E-7</v>
      </c>
      <c r="HT46" s="5">
        <v>-9.9999999999999995E-7</v>
      </c>
      <c r="HU46" s="5">
        <v>2.3800000000000001E-8</v>
      </c>
      <c r="HV46" s="5">
        <v>2.6000000000000001E-6</v>
      </c>
      <c r="HW46" s="5">
        <v>-9.9999999999999995E-7</v>
      </c>
      <c r="HX46" s="5">
        <v>1.29E-8</v>
      </c>
      <c r="HY46">
        <v>-7.5310292532673197E-4</v>
      </c>
      <c r="HZ46" s="5">
        <v>9.0147652642435106E-5</v>
      </c>
      <c r="IA46">
        <v>0.23499999999999999</v>
      </c>
      <c r="IB46" s="5"/>
      <c r="ID46">
        <f t="shared" si="5"/>
        <v>1.645</v>
      </c>
      <c r="IE46">
        <f t="shared" si="6"/>
        <v>0</v>
      </c>
      <c r="IF46">
        <f t="shared" si="7"/>
        <v>0</v>
      </c>
      <c r="IG46" s="5">
        <v>1.9700000000000002E-6</v>
      </c>
      <c r="IH46">
        <v>5.6299999999999996E-3</v>
      </c>
      <c r="II46">
        <v>1.02E-4</v>
      </c>
      <c r="IJ46" s="5">
        <v>6.2000000000000003E-5</v>
      </c>
      <c r="IK46" s="5">
        <v>3.7000000000000002E-6</v>
      </c>
      <c r="IL46">
        <v>-2.2699999999999999E-3</v>
      </c>
      <c r="IM46">
        <v>-1.4500000000000001E-2</v>
      </c>
      <c r="IN46">
        <v>-9.2299999999999999E-4</v>
      </c>
      <c r="IO46">
        <v>-8.4100000000000008E-3</v>
      </c>
      <c r="IP46" s="5">
        <v>-4.6699999999999997E-5</v>
      </c>
      <c r="IQ46">
        <v>-3.92895799606613E-4</v>
      </c>
      <c r="IR46" s="5">
        <v>2.94719591399744E-7</v>
      </c>
      <c r="IS46">
        <v>8.4525547384443596E-4</v>
      </c>
      <c r="IT46" s="5">
        <v>7.3612405776138899E-5</v>
      </c>
      <c r="IU46" s="5">
        <v>1.5984130803902101E-5</v>
      </c>
      <c r="IV46" s="5">
        <v>3.3161923593645698E-6</v>
      </c>
      <c r="IW46" s="5">
        <v>7.1083810716482997E-5</v>
      </c>
      <c r="IX46">
        <v>4.2816945721070099E-4</v>
      </c>
      <c r="IY46" s="5">
        <v>6.7505729007315897E-5</v>
      </c>
      <c r="IZ46" s="5">
        <v>3.4210716381175599E-5</v>
      </c>
      <c r="JA46">
        <f t="shared" si="4"/>
        <v>0.29920300044667242</v>
      </c>
    </row>
    <row r="47" spans="1:261" x14ac:dyDescent="0.3">
      <c r="A47" t="s">
        <v>156</v>
      </c>
      <c r="B47">
        <v>1.9000000000000001E-5</v>
      </c>
      <c r="C47" s="5">
        <v>1.06E-7</v>
      </c>
      <c r="D47" s="5">
        <v>1.4600000000000001E-7</v>
      </c>
      <c r="E47">
        <v>4.4799999999999999E-7</v>
      </c>
      <c r="F47">
        <v>3.58E-6</v>
      </c>
      <c r="G47">
        <v>9.8099999999999998E-8</v>
      </c>
      <c r="H47">
        <v>9.8200000000000008E-6</v>
      </c>
      <c r="I47" s="5"/>
      <c r="J47" s="5">
        <v>3.0800000000000001E-7</v>
      </c>
      <c r="K47" s="5">
        <v>1.4999999999999999E-7</v>
      </c>
      <c r="L47" s="5"/>
      <c r="M47" s="5">
        <v>4.6199999999999998E-7</v>
      </c>
      <c r="N47" s="5">
        <v>3.9499999999999998E-5</v>
      </c>
      <c r="O47" s="5"/>
      <c r="P47" s="5">
        <v>3.0800000000000001E-7</v>
      </c>
      <c r="Q47" s="5">
        <v>1.54E-7</v>
      </c>
      <c r="R47" s="5">
        <v>2.2399999999999999E-7</v>
      </c>
      <c r="S47" s="5">
        <v>7.7999999999999999E-6</v>
      </c>
      <c r="T47" s="5">
        <v>7.3099999999999997E-7</v>
      </c>
      <c r="U47" s="5">
        <v>3.0800000000000001E-7</v>
      </c>
      <c r="V47" s="5"/>
      <c r="W47" s="5">
        <v>2.55E-5</v>
      </c>
      <c r="X47" s="5">
        <v>3.0800000000000001E-7</v>
      </c>
      <c r="Y47" s="5"/>
      <c r="Z47" s="5">
        <v>9.1399999999999998E-8</v>
      </c>
      <c r="AA47" s="5">
        <v>3.0800000000000001E-7</v>
      </c>
      <c r="AB47" s="5"/>
      <c r="AC47" s="5">
        <v>7.2099999999999996E-6</v>
      </c>
      <c r="AD47" s="5">
        <v>7.7599999999999996E-7</v>
      </c>
      <c r="AE47" s="5">
        <v>1.3599999999999999E-2</v>
      </c>
      <c r="AF47" s="5">
        <v>1.2299999999999999E-10</v>
      </c>
      <c r="AG47" s="5">
        <v>3.0800000000000001E-7</v>
      </c>
      <c r="AI47" s="5">
        <v>1.4999999999999999E-7</v>
      </c>
      <c r="AJ47" s="5">
        <v>9.7899999999999994E-6</v>
      </c>
      <c r="AK47" s="5">
        <v>5.1900000000000003E-7</v>
      </c>
      <c r="AL47" s="5">
        <v>8.3200000000000004E-7</v>
      </c>
      <c r="AM47" s="5">
        <v>6.2800000000000006E-8</v>
      </c>
      <c r="AO47" s="5">
        <v>1.63E-8</v>
      </c>
      <c r="AP47" s="5">
        <v>8.4300000000000003E-5</v>
      </c>
      <c r="AQ47" s="5">
        <v>5.6799999999999998E-6</v>
      </c>
      <c r="AR47" s="5">
        <v>1.0200000000000001E-5</v>
      </c>
      <c r="AS47" s="5">
        <v>4.2899999999999999E-7</v>
      </c>
      <c r="AT47" s="5">
        <v>3.7183123203046899E-6</v>
      </c>
      <c r="AU47" s="5">
        <v>2.3437043031848701E-7</v>
      </c>
      <c r="AV47" s="5">
        <v>4.1820238351373397E-8</v>
      </c>
      <c r="AW47" s="5">
        <v>3.5887165430600202E-8</v>
      </c>
      <c r="AX47" s="5">
        <v>9.3180706049047401E-7</v>
      </c>
      <c r="AY47" s="5">
        <v>7.7700000000000004E-7</v>
      </c>
      <c r="AZ47" s="5">
        <v>1.4500000000000001E-8</v>
      </c>
      <c r="BA47" s="5">
        <v>1.8300000000000001E-6</v>
      </c>
      <c r="BB47" s="5">
        <v>9.3799999999999996E-7</v>
      </c>
      <c r="BC47" s="5">
        <v>3.7300000000000003E-8</v>
      </c>
      <c r="BD47" s="5">
        <v>5.9999999999999997E-7</v>
      </c>
      <c r="BE47" s="5">
        <v>3.9099999999999999E-7</v>
      </c>
      <c r="BF47" s="5">
        <v>2.7999999999999999E-8</v>
      </c>
      <c r="BG47" s="5">
        <v>1.11E-8</v>
      </c>
      <c r="BH47" s="5">
        <v>2.61E-6</v>
      </c>
      <c r="BI47" s="5">
        <v>2.1E-7</v>
      </c>
      <c r="BJ47" s="5">
        <v>1.79E-7</v>
      </c>
      <c r="BK47" s="5"/>
      <c r="BL47" s="5">
        <v>1.15E-6</v>
      </c>
      <c r="BM47" s="5">
        <v>3.8299999999999998E-7</v>
      </c>
      <c r="BN47" s="5">
        <v>3.15E-7</v>
      </c>
      <c r="BO47" s="5">
        <v>3.7300000000000003E-8</v>
      </c>
      <c r="BP47" s="5"/>
      <c r="BQ47" s="5">
        <v>2.0599999999999999E-7</v>
      </c>
      <c r="BR47" s="5">
        <v>7.8800000000000004E-8</v>
      </c>
      <c r="BS47" s="5">
        <v>3.3770045252068001E-8</v>
      </c>
      <c r="BT47" s="5">
        <v>2.26E-6</v>
      </c>
      <c r="BU47" s="5">
        <v>1.6199999999999999E-7</v>
      </c>
      <c r="BV47" s="5"/>
      <c r="BW47" s="5">
        <v>8.6899999999999996E-7</v>
      </c>
      <c r="BX47" s="5">
        <v>2.8099999999999999E-7</v>
      </c>
      <c r="BY47" s="5">
        <v>2.2199999999999999E-6</v>
      </c>
      <c r="BZ47" s="5">
        <v>1.79E-7</v>
      </c>
      <c r="CA47" s="5"/>
      <c r="CB47" s="5">
        <v>1.04E-6</v>
      </c>
      <c r="CC47" s="5">
        <v>5.6300000000000001E-8</v>
      </c>
      <c r="CD47" s="5">
        <v>9.0100000000000006E-8</v>
      </c>
      <c r="CE47" s="5">
        <v>2.8365518420235002E-6</v>
      </c>
      <c r="CF47" s="5">
        <v>1.79E-7</v>
      </c>
      <c r="CG47" s="5"/>
      <c r="CH47" s="5">
        <v>1.13E-6</v>
      </c>
      <c r="CI47" s="5">
        <v>6.7500000000000002E-8</v>
      </c>
      <c r="CJ47" s="5">
        <v>2.48E-7</v>
      </c>
      <c r="CK47" s="5">
        <v>1.33E-8</v>
      </c>
      <c r="CL47" s="5">
        <v>3.8299999999999998E-6</v>
      </c>
      <c r="CM47" s="5">
        <v>6.9800000000000001E-6</v>
      </c>
      <c r="CN47" s="5">
        <v>9.1800000000000001E-9</v>
      </c>
      <c r="CO47" s="5">
        <v>6.99E-7</v>
      </c>
      <c r="CP47" s="5">
        <v>7.0315455221820393E-8</v>
      </c>
      <c r="CQ47" s="5">
        <v>4.1599293741866202E-8</v>
      </c>
      <c r="CR47" s="5">
        <v>6.5810778748463498E-6</v>
      </c>
      <c r="CS47" s="5">
        <v>6.3614885580762196E-5</v>
      </c>
      <c r="CT47" s="5">
        <v>3.1858778569250798E-8</v>
      </c>
      <c r="CU47" s="5">
        <v>3.5224029883189102E-7</v>
      </c>
      <c r="CV47" s="5">
        <v>1.31E-7</v>
      </c>
      <c r="CW47" s="5">
        <v>6.3499999999999999E-5</v>
      </c>
      <c r="CX47" s="5">
        <v>-4.6E-6</v>
      </c>
      <c r="CY47" s="5">
        <v>4.3900000000000003E-6</v>
      </c>
      <c r="CZ47" s="5">
        <v>2.08E-6</v>
      </c>
      <c r="DA47" s="5">
        <v>1.18E-4</v>
      </c>
      <c r="DB47" s="5">
        <v>6.0199999999999996E-8</v>
      </c>
      <c r="DC47" s="5">
        <v>4.0499999999999999E-9</v>
      </c>
      <c r="DD47" s="5">
        <v>2.73E-5</v>
      </c>
      <c r="DE47" s="5">
        <v>7.7300000000000004E-12</v>
      </c>
      <c r="DF47" s="5">
        <v>2.2835328839141499E-6</v>
      </c>
      <c r="DG47" s="5">
        <v>9.0053454005514606E-8</v>
      </c>
      <c r="DH47" s="5">
        <v>3.4399999999999997E-8</v>
      </c>
      <c r="DI47" s="5">
        <v>4.46E-4</v>
      </c>
      <c r="DJ47" s="5">
        <v>3.4999999999999998E-7</v>
      </c>
      <c r="DK47" s="5">
        <v>6.9600000000000003E-6</v>
      </c>
      <c r="DL47" s="5">
        <v>5.4900000000000002E-8</v>
      </c>
      <c r="DM47" s="5">
        <v>4.2400000000000001E-4</v>
      </c>
      <c r="DN47" s="5">
        <v>1.6747498882298001E-7</v>
      </c>
      <c r="DO47" s="5">
        <v>3.1553457754967799E-8</v>
      </c>
      <c r="DP47" s="5">
        <v>3.78694142401257E-6</v>
      </c>
      <c r="DQ47" s="5">
        <v>2.6000000000000001E-8</v>
      </c>
      <c r="DR47" s="5">
        <v>2.2199999999999999E-6</v>
      </c>
      <c r="DS47" s="5">
        <v>2.1699999999999999E-4</v>
      </c>
      <c r="DT47" s="5">
        <v>4.6900000000000003E-8</v>
      </c>
      <c r="DU47" s="5">
        <v>1.0999999999999999E-8</v>
      </c>
      <c r="DV47" s="5">
        <v>7.8451436509796294E-6</v>
      </c>
      <c r="DW47" s="5">
        <v>1.10265801673321E-4</v>
      </c>
      <c r="DX47" s="5">
        <v>1.6747498882298001E-7</v>
      </c>
      <c r="DY47" s="5">
        <v>1.85079374028714E-6</v>
      </c>
      <c r="DZ47" s="5">
        <v>1.48E-6</v>
      </c>
      <c r="EA47" s="5">
        <v>2.09E-9</v>
      </c>
      <c r="EB47" s="5">
        <v>4.6099999999999998E-4</v>
      </c>
      <c r="EC47" s="5">
        <v>1.93E-4</v>
      </c>
      <c r="ED47" s="5">
        <v>1.4800000000000001E-5</v>
      </c>
      <c r="EE47" s="5">
        <v>1.7625537334177999E-6</v>
      </c>
      <c r="EF47" s="5">
        <v>1.06179540843477E-7</v>
      </c>
      <c r="EG47" s="5">
        <v>8.5885492806653003E-4</v>
      </c>
      <c r="EH47" s="5">
        <v>5.59718946758658E-7</v>
      </c>
      <c r="EI47" s="5">
        <v>2.8870891593293799E-4</v>
      </c>
      <c r="EJ47" s="5">
        <v>6.7540090504136001E-7</v>
      </c>
      <c r="EK47" s="5">
        <v>2.0457258202509998E-6</v>
      </c>
      <c r="EL47" s="5">
        <v>7.6299999999999995E-9</v>
      </c>
      <c r="EM47" s="5">
        <v>8.6600000000000005E-7</v>
      </c>
      <c r="EN47" s="5">
        <v>1.2300000000000001E-4</v>
      </c>
      <c r="EO47" s="5">
        <v>7.1499999999999998E-8</v>
      </c>
      <c r="EP47" s="5">
        <v>6.2400000000000003E-8</v>
      </c>
      <c r="EQ47" s="5">
        <v>2.82446063035831E-4</v>
      </c>
      <c r="ER47" s="5">
        <v>-9.3814300102723602E-7</v>
      </c>
      <c r="ES47" s="5">
        <v>7.1086975821545504E-7</v>
      </c>
      <c r="ET47" s="5">
        <v>5.04E-4</v>
      </c>
      <c r="EU47" s="5">
        <v>2.6800000000000002E-6</v>
      </c>
      <c r="EV47" s="5">
        <v>6.8500000000000001E-7</v>
      </c>
      <c r="EW47" s="5">
        <v>2.77E-8</v>
      </c>
      <c r="EX47" s="5">
        <v>2.57E-6</v>
      </c>
      <c r="EY47" s="5">
        <v>2.7699999999999999E-3</v>
      </c>
      <c r="EZ47" s="5">
        <v>5.4003638484580603E-8</v>
      </c>
      <c r="FA47" s="5">
        <v>0</v>
      </c>
      <c r="FB47" s="5">
        <v>5.9807048538940002E-7</v>
      </c>
      <c r="FC47" s="5">
        <v>1.6756951962083999E-4</v>
      </c>
      <c r="FD47" s="5">
        <v>5.2009128599140698E-5</v>
      </c>
      <c r="FE47" s="5">
        <v>1.03986700483097E-6</v>
      </c>
      <c r="FF47" s="5">
        <v>7.0393176286865896E-8</v>
      </c>
      <c r="FG47" s="5">
        <v>1.6405930122294101E-7</v>
      </c>
      <c r="FH47" s="5">
        <v>3.2299999999999998E-8</v>
      </c>
      <c r="FI47" s="5">
        <v>3.34E-7</v>
      </c>
      <c r="FJ47" s="5">
        <v>3.7599999999999998E-4</v>
      </c>
      <c r="FK47" s="5">
        <v>1.5300000000000001E-8</v>
      </c>
      <c r="FL47" s="5">
        <v>2.3199999999999998E-9</v>
      </c>
      <c r="FM47" s="5">
        <v>4.5699999999999998E-7</v>
      </c>
      <c r="FN47" s="5">
        <v>1.3900000000000001E-5</v>
      </c>
      <c r="FO47" s="5">
        <v>9.1399999999999995E-7</v>
      </c>
      <c r="FP47" s="5">
        <v>-5.2199999999999996E-10</v>
      </c>
      <c r="FQ47" s="5">
        <v>3.7100000000000001E-5</v>
      </c>
      <c r="FR47" s="5">
        <v>9.7800000000000002E-8</v>
      </c>
      <c r="FS47" s="5">
        <v>0</v>
      </c>
      <c r="FT47" s="5">
        <v>9.5370788073819106E-8</v>
      </c>
      <c r="FU47" s="5">
        <v>4.0200000000000001E-5</v>
      </c>
      <c r="FV47" s="5">
        <v>1.6400000000000001E-8</v>
      </c>
      <c r="FW47" s="5">
        <v>7.7300000000000004E-12</v>
      </c>
      <c r="FX47" s="5">
        <v>1.5200000000000001E-7</v>
      </c>
      <c r="FY47" s="5">
        <v>7.8800000000000004E-8</v>
      </c>
      <c r="FZ47" s="5">
        <v>3.4000000000000001E-6</v>
      </c>
      <c r="GA47" s="5">
        <v>3.1599999999999998E-8</v>
      </c>
      <c r="GB47" s="5">
        <v>2.4299999999999999E-7</v>
      </c>
      <c r="GC47" s="5">
        <v>1.01E-7</v>
      </c>
      <c r="GD47" s="5">
        <v>4.2400000000000002E-9</v>
      </c>
      <c r="GE47" s="5">
        <v>6.9388142297799998E-6</v>
      </c>
      <c r="GF47" s="5">
        <v>5.5099999999999998E-6</v>
      </c>
      <c r="GG47" s="5">
        <v>1.9799999999999999E-8</v>
      </c>
      <c r="GH47" s="5">
        <v>3.7399999999999999E-7</v>
      </c>
      <c r="GI47" s="5">
        <v>1.01E-7</v>
      </c>
      <c r="GJ47" s="5">
        <v>4.2400000000000002E-9</v>
      </c>
      <c r="GK47" s="5">
        <v>7.8687654877158104E-6</v>
      </c>
      <c r="GL47" s="5">
        <v>6.7540090504136001E-8</v>
      </c>
      <c r="GM47" s="5">
        <v>3.01E-5</v>
      </c>
      <c r="GN47" s="5">
        <v>1.0900000000000001E-5</v>
      </c>
      <c r="GO47" s="5">
        <v>3.47E-8</v>
      </c>
      <c r="GP47" s="5">
        <v>-4.4900000000000001E-7</v>
      </c>
      <c r="GQ47" s="5">
        <v>4.0699999999999998E-7</v>
      </c>
      <c r="GR47" s="5">
        <v>4.8338661827890796E-9</v>
      </c>
      <c r="GS47" s="5">
        <v>1.7534154557894099E-4</v>
      </c>
      <c r="GT47" s="5">
        <v>7.9532448103513995E-5</v>
      </c>
      <c r="GU47" s="5">
        <v>5.7014303582778802E-8</v>
      </c>
      <c r="GV47" s="5">
        <v>4.6876970147880201E-7</v>
      </c>
      <c r="GW47" s="5">
        <v>2.14E-8</v>
      </c>
      <c r="GX47" s="5">
        <v>1.28E-6</v>
      </c>
      <c r="GY47" s="5">
        <v>4.2400000000000001E-4</v>
      </c>
      <c r="GZ47" s="5">
        <v>2.8699999999999999E-8</v>
      </c>
      <c r="HA47" s="5">
        <v>2.3199999999999998E-9</v>
      </c>
      <c r="HB47" s="5">
        <v>8.6000000000000002E-7</v>
      </c>
      <c r="HC47" s="5">
        <v>6.2299999999999996E-5</v>
      </c>
      <c r="HD47" s="5">
        <v>4.0299999999999997E-8</v>
      </c>
      <c r="HE47" s="5">
        <v>6.3899999999999996E-9</v>
      </c>
      <c r="HF47" s="5">
        <v>2.3899999999999999E-8</v>
      </c>
      <c r="HG47" s="5">
        <v>1.6199999999999999E-7</v>
      </c>
      <c r="HH47" s="5">
        <v>5.7532578247648898E-5</v>
      </c>
      <c r="HI47" s="5">
        <v>1.6399999999999999E-5</v>
      </c>
      <c r="HJ47" s="5">
        <v>3.47E-8</v>
      </c>
      <c r="HK47" s="5">
        <v>3.2299999999999998E-8</v>
      </c>
      <c r="HL47" s="5">
        <v>1.44E-8</v>
      </c>
      <c r="HM47" s="5">
        <v>3.0699999999999998E-7</v>
      </c>
      <c r="HN47" s="5">
        <v>3.1999999999999999E-6</v>
      </c>
      <c r="HO47" s="5">
        <v>1.81E-9</v>
      </c>
      <c r="HP47" s="5">
        <v>2.7999999999999999E-8</v>
      </c>
      <c r="HQ47" s="5">
        <v>1.3000000000000001E-8</v>
      </c>
      <c r="HR47" s="5">
        <v>3.7799999999999998E-6</v>
      </c>
      <c r="HS47" s="5">
        <v>3.5600000000000001E-9</v>
      </c>
      <c r="HT47" s="5">
        <v>2.7999999999999999E-8</v>
      </c>
      <c r="HU47" s="5">
        <v>1.42E-8</v>
      </c>
      <c r="HV47" s="5">
        <v>3.2300000000000002E-7</v>
      </c>
      <c r="HW47" s="5">
        <v>2.7999999999999999E-8</v>
      </c>
      <c r="HX47" s="5">
        <v>7.7599999999999997E-9</v>
      </c>
      <c r="HY47" s="5">
        <v>3.2413675654510499E-5</v>
      </c>
      <c r="HZ47" s="5">
        <v>5.4031509207761201E-5</v>
      </c>
      <c r="IA47" s="5">
        <v>0.11700000000000001</v>
      </c>
      <c r="IB47" s="5">
        <v>3.48E-3</v>
      </c>
      <c r="ID47">
        <f t="shared" si="5"/>
        <v>0.81900000000000006</v>
      </c>
      <c r="IE47">
        <f t="shared" si="6"/>
        <v>2.436E-2</v>
      </c>
      <c r="IF47">
        <f t="shared" si="7"/>
        <v>0</v>
      </c>
      <c r="IG47" s="5">
        <v>2.35E-7</v>
      </c>
      <c r="IH47" s="5">
        <v>1.42E-6</v>
      </c>
      <c r="II47" s="5">
        <v>2.4899999999999999E-6</v>
      </c>
      <c r="IJ47">
        <v>2.8800000000000001E-4</v>
      </c>
      <c r="IK47" s="5">
        <v>4.7099999999999998E-6</v>
      </c>
      <c r="IL47" s="5">
        <v>-2.3600000000000001E-5</v>
      </c>
      <c r="IM47">
        <v>-1.8600000000000001E-3</v>
      </c>
      <c r="IN47">
        <v>-6.7800000000000003E-6</v>
      </c>
      <c r="IO47">
        <v>-8.1700000000000002E-3</v>
      </c>
      <c r="IP47" s="5">
        <v>5.6400000000000002E-7</v>
      </c>
      <c r="IQ47" s="5">
        <v>6.1261749577699507E-5</v>
      </c>
      <c r="IR47" s="5">
        <v>3.5257766394274701E-8</v>
      </c>
      <c r="IS47" s="5">
        <v>2.1258497557655501E-7</v>
      </c>
      <c r="IT47" s="5">
        <v>1.78939424558828E-6</v>
      </c>
      <c r="IU47" s="5">
        <v>7.4168229831644193E-5</v>
      </c>
      <c r="IV47" s="5">
        <v>4.2198321497575501E-6</v>
      </c>
      <c r="IW47" s="5">
        <v>7.2792269753977303E-7</v>
      </c>
      <c r="IX47" s="5">
        <v>4.3846026705020602E-6</v>
      </c>
      <c r="IY47" s="5">
        <v>6.5178062684501296E-7</v>
      </c>
      <c r="IZ47" s="5">
        <v>2.1091587779485801E-7</v>
      </c>
      <c r="JA47">
        <f t="shared" si="4"/>
        <v>0.14303037899293078</v>
      </c>
    </row>
    <row r="48" spans="1:261" x14ac:dyDescent="0.3">
      <c r="A48" t="s">
        <v>157</v>
      </c>
      <c r="B48" s="5">
        <v>1.9400000000000001E-5</v>
      </c>
      <c r="C48" s="5">
        <v>2.0699999999999999E-7</v>
      </c>
      <c r="D48" s="5">
        <v>9.7699999999999995E-8</v>
      </c>
      <c r="E48">
        <v>5.4700000000000001E-7</v>
      </c>
      <c r="F48">
        <v>1.28E-6</v>
      </c>
      <c r="G48">
        <v>2.03E-6</v>
      </c>
      <c r="H48">
        <v>5.4099999999999999E-7</v>
      </c>
      <c r="I48" s="5">
        <v>0.376</v>
      </c>
      <c r="J48" s="5">
        <v>1.66E-4</v>
      </c>
      <c r="K48" s="5">
        <v>9.9999999999999995E-8</v>
      </c>
      <c r="L48" s="5">
        <v>0.13700000000000001</v>
      </c>
      <c r="M48" s="5">
        <v>2.4899999999999998E-4</v>
      </c>
      <c r="N48" s="5">
        <v>2.1799999999999999E-6</v>
      </c>
      <c r="O48" s="5">
        <v>7.3800000000000004E-2</v>
      </c>
      <c r="P48" s="5">
        <v>1.66E-4</v>
      </c>
      <c r="Q48" s="5">
        <v>1.03E-7</v>
      </c>
      <c r="R48" s="5">
        <v>1.84E-4</v>
      </c>
      <c r="S48" s="5">
        <v>2.7399999999999999E-5</v>
      </c>
      <c r="T48" s="5">
        <v>4.8999999999999997E-7</v>
      </c>
      <c r="U48" s="5">
        <v>1.66E-4</v>
      </c>
      <c r="V48" s="5">
        <v>1.7299999999999999E-2</v>
      </c>
      <c r="W48" s="5">
        <v>1.3999999999999999E-6</v>
      </c>
      <c r="X48" s="5">
        <v>1.66E-4</v>
      </c>
      <c r="Y48" s="5">
        <v>5.79E-2</v>
      </c>
      <c r="Z48" s="5">
        <v>6.1200000000000005E-8</v>
      </c>
      <c r="AA48" s="5">
        <v>1.66E-4</v>
      </c>
      <c r="AB48" s="5">
        <v>3.8E-3</v>
      </c>
      <c r="AC48" s="5">
        <v>3.9700000000000002E-7</v>
      </c>
      <c r="AD48" s="5">
        <v>9.7699999999999992E-7</v>
      </c>
      <c r="AE48" s="5">
        <v>2.0000000000000001E-4</v>
      </c>
      <c r="AF48" s="5">
        <v>6.6399999999999999E-8</v>
      </c>
      <c r="AG48">
        <v>1.66E-4</v>
      </c>
      <c r="AH48">
        <v>0.753</v>
      </c>
      <c r="AI48" s="5">
        <v>9.9999999999999995E-8</v>
      </c>
      <c r="AJ48" s="5">
        <v>2.23E-5</v>
      </c>
      <c r="AK48" s="5">
        <v>1.1799999999999999E-6</v>
      </c>
      <c r="AL48" s="5">
        <v>3.4499999999999998E-7</v>
      </c>
      <c r="AM48" s="5">
        <v>2.6000000000000001E-8</v>
      </c>
      <c r="AN48" s="5">
        <v>1.9400000000000001E-6</v>
      </c>
      <c r="AO48" s="5">
        <v>2.0500000000000002E-8</v>
      </c>
      <c r="AP48" s="5">
        <v>6.6299999999999999E-5</v>
      </c>
      <c r="AQ48" s="5">
        <v>4.8999999999999997E-7</v>
      </c>
      <c r="AR48" s="5">
        <v>8.4E-7</v>
      </c>
      <c r="AS48" s="5">
        <v>5.4000000000000002E-7</v>
      </c>
      <c r="AT48" s="5">
        <v>3.1793112801901198E-7</v>
      </c>
      <c r="AU48" s="5">
        <v>1.37566032407964E-6</v>
      </c>
      <c r="AV48" s="5">
        <v>6.50514519410837E-8</v>
      </c>
      <c r="AW48" s="5">
        <v>9.9462339202795306E-7</v>
      </c>
      <c r="AX48" s="5">
        <v>6.2369387162974195E-7</v>
      </c>
      <c r="AY48" s="5">
        <v>6.4399999999999994E-8</v>
      </c>
      <c r="AZ48" s="5">
        <v>1.8299999999999998E-8</v>
      </c>
      <c r="BA48" s="5">
        <v>3.1900000000000001E-8</v>
      </c>
      <c r="BB48" s="5">
        <v>6.46E-6</v>
      </c>
      <c r="BC48" s="5">
        <v>3.4100000000000002E-5</v>
      </c>
      <c r="BD48" s="5">
        <v>4.0200000000000003E-7</v>
      </c>
      <c r="BE48" s="5">
        <v>5.0100000000000003E-6</v>
      </c>
      <c r="BF48" s="5">
        <v>2.5599999999999999E-5</v>
      </c>
      <c r="BG48" s="5">
        <v>7.4600000000000003E-9</v>
      </c>
      <c r="BH48" s="5">
        <v>1.5400000000000002E-5</v>
      </c>
      <c r="BI48" s="5">
        <v>2.6800000000000002E-6</v>
      </c>
      <c r="BJ48" s="5">
        <v>1.64E-4</v>
      </c>
      <c r="BK48" s="5">
        <v>1.09E-3</v>
      </c>
      <c r="BL48" s="5">
        <v>7.6700000000000003E-7</v>
      </c>
      <c r="BM48" s="5">
        <v>3.8000000000000001E-7</v>
      </c>
      <c r="BN48" s="5">
        <v>1.8500000000000001E-6</v>
      </c>
      <c r="BO48" s="5">
        <v>3.4100000000000002E-5</v>
      </c>
      <c r="BP48" s="5">
        <v>6.4899999999999995E-4</v>
      </c>
      <c r="BQ48" s="5">
        <v>1.3799999999999999E-7</v>
      </c>
      <c r="BR48" s="5">
        <v>7.8300000000000006E-8</v>
      </c>
      <c r="BS48" s="5">
        <v>3.3572474739944401E-8</v>
      </c>
      <c r="BT48" s="5">
        <v>1.33E-5</v>
      </c>
      <c r="BU48" s="5">
        <v>1.4799999999999999E-4</v>
      </c>
      <c r="BV48" s="5">
        <v>1.42E-3</v>
      </c>
      <c r="BW48" s="5">
        <v>5.8100000000000003E-7</v>
      </c>
      <c r="BX48" s="5">
        <v>2.8000000000000002E-7</v>
      </c>
      <c r="BY48" s="5">
        <v>1.2999999999999999E-5</v>
      </c>
      <c r="BZ48" s="5">
        <v>1.64E-4</v>
      </c>
      <c r="CA48" s="5">
        <v>2.64E-3</v>
      </c>
      <c r="CB48" s="5">
        <v>6.9299999999999997E-7</v>
      </c>
      <c r="CC48" s="5">
        <v>5.5999999999999999E-8</v>
      </c>
      <c r="CD48" s="5">
        <v>8.9500000000000001E-8</v>
      </c>
      <c r="CE48" s="5">
        <v>1.6667157773702101E-5</v>
      </c>
      <c r="CF48" s="5">
        <v>1.64E-4</v>
      </c>
      <c r="CG48" s="5">
        <v>2.5600000000000002E-3</v>
      </c>
      <c r="CH48" s="5">
        <v>7.6000000000000003E-7</v>
      </c>
      <c r="CI48" s="5">
        <v>6.7099999999999999E-8</v>
      </c>
      <c r="CJ48" s="5">
        <v>2.4600000000000001E-7</v>
      </c>
      <c r="CK48" s="5">
        <v>1.6700000000000001E-8</v>
      </c>
      <c r="CL48" s="5">
        <v>3.3699999999999999E-6</v>
      </c>
      <c r="CM48" s="5">
        <v>5.7400000000000003E-7</v>
      </c>
      <c r="CN48" s="5">
        <v>1.16E-8</v>
      </c>
      <c r="CO48" s="5">
        <v>2.4600000000000002E-6</v>
      </c>
      <c r="CP48" s="5">
        <v>4.12719552731943E-7</v>
      </c>
      <c r="CQ48" s="5">
        <v>2.4443127807445902E-7</v>
      </c>
      <c r="CR48" s="5">
        <v>8.42447014142636E-5</v>
      </c>
      <c r="CS48" s="5">
        <v>9.3287302817747097E-7</v>
      </c>
      <c r="CT48" s="5">
        <v>8.8362583133614703E-7</v>
      </c>
      <c r="CU48" s="5">
        <v>2.3576781614730601E-7</v>
      </c>
      <c r="CV48" s="5">
        <v>1.5800000000000001E-7</v>
      </c>
      <c r="CW48" s="5">
        <v>9.01E-4</v>
      </c>
      <c r="CX48" s="5">
        <v>2.0100000000000001E-3</v>
      </c>
      <c r="CY48" s="5">
        <v>5.6199999999999997E-5</v>
      </c>
      <c r="CZ48" s="5">
        <v>1.3999999999999999E-6</v>
      </c>
      <c r="DA48" s="5">
        <v>9.7599999999999997E-6</v>
      </c>
      <c r="DB48" s="5">
        <v>7.5800000000000004E-8</v>
      </c>
      <c r="DC48" s="5">
        <v>2.3800000000000001E-8</v>
      </c>
      <c r="DD48" s="5">
        <v>4.01E-7</v>
      </c>
      <c r="DE48" s="5">
        <v>2.1500000000000001E-10</v>
      </c>
      <c r="DF48" s="5">
        <v>1.5284553270207899E-6</v>
      </c>
      <c r="DG48" s="5">
        <v>8.9526599306518505E-8</v>
      </c>
      <c r="DH48" s="5">
        <v>4.3399999999999998E-8</v>
      </c>
      <c r="DI48" s="5">
        <v>3.6699999999999998E-4</v>
      </c>
      <c r="DJ48" s="5">
        <v>4.4099999999999999E-7</v>
      </c>
      <c r="DK48" s="5">
        <v>5.6899999999999997E-7</v>
      </c>
      <c r="DL48" s="5">
        <v>8.5300000000000003E-8</v>
      </c>
      <c r="DM48" s="5">
        <v>6.2199999999999997E-6</v>
      </c>
      <c r="DN48" s="5">
        <v>4.6428049330790399E-6</v>
      </c>
      <c r="DO48" s="5">
        <v>1.4269701697514999E-8</v>
      </c>
      <c r="DP48" s="5">
        <v>2.5347437881981901E-6</v>
      </c>
      <c r="DQ48" s="5">
        <v>3.2800000000000003E-8</v>
      </c>
      <c r="DR48" s="5">
        <v>2.8399999999999999E-5</v>
      </c>
      <c r="DS48" s="5">
        <v>1.06E-4</v>
      </c>
      <c r="DT48" s="5">
        <v>2.7500000000000001E-7</v>
      </c>
      <c r="DU48" s="5">
        <v>1.7100000000000001E-8</v>
      </c>
      <c r="DV48" s="5">
        <v>1.0042606955843301E-4</v>
      </c>
      <c r="DW48" s="5">
        <v>1.6169799155076201E-6</v>
      </c>
      <c r="DX48" s="5">
        <v>4.6428049330790399E-6</v>
      </c>
      <c r="DY48" s="5">
        <v>1.2388065753227599E-6</v>
      </c>
      <c r="DZ48" s="5">
        <v>3.7299999999999999E-6</v>
      </c>
      <c r="EA48" s="5">
        <v>5.2700000000000002E-9</v>
      </c>
      <c r="EB48" s="5">
        <v>3.0699999999999998E-4</v>
      </c>
      <c r="EC48" s="5">
        <v>1.76E-4</v>
      </c>
      <c r="ED48" s="5">
        <v>1.4100000000000001E-6</v>
      </c>
      <c r="EE48" s="5">
        <v>4.4439993141596699E-6</v>
      </c>
      <c r="EF48" s="5">
        <v>1.7290400380235099E-7</v>
      </c>
      <c r="EG48" s="5">
        <v>1.28677909844559E-5</v>
      </c>
      <c r="EH48" s="5">
        <v>4.6076576588422298E-4</v>
      </c>
      <c r="EI48" s="5">
        <v>1.5908496775473301E-5</v>
      </c>
      <c r="EJ48" s="5">
        <v>6.7144949479888898E-7</v>
      </c>
      <c r="EK48" s="5">
        <v>3.3312838065919601E-6</v>
      </c>
      <c r="EL48" s="5">
        <v>9.2599999999999999E-9</v>
      </c>
      <c r="EM48" s="5">
        <v>1.0899999999999999E-6</v>
      </c>
      <c r="EN48" s="5">
        <v>5.5999999999999999E-5</v>
      </c>
      <c r="EO48" s="5">
        <v>8.6700000000000002E-8</v>
      </c>
      <c r="EP48" s="5">
        <v>9.6999999999999995E-8</v>
      </c>
      <c r="EQ48" s="5">
        <v>4.14189716314952E-6</v>
      </c>
      <c r="ER48" s="5">
        <v>3.9739419824184701E-4</v>
      </c>
      <c r="ES48" s="5">
        <v>4.75812140221949E-7</v>
      </c>
      <c r="ET48" s="5">
        <v>1.73E-4</v>
      </c>
      <c r="EU48" s="5">
        <v>1.2300000000000001E-4</v>
      </c>
      <c r="EV48" s="5">
        <v>8.6199999999999996E-7</v>
      </c>
      <c r="EW48" s="5">
        <v>4.3100000000000002E-8</v>
      </c>
      <c r="EX48" s="5">
        <v>3.29E-5</v>
      </c>
      <c r="EY48" s="5">
        <v>4.0599999999999998E-5</v>
      </c>
      <c r="EZ48" s="5">
        <v>1.8753991681123001E-7</v>
      </c>
      <c r="FA48" s="5">
        <v>7.1737665196862602E-6</v>
      </c>
      <c r="FB48" s="5">
        <v>4.0031130086484999E-7</v>
      </c>
      <c r="FC48" s="5">
        <v>8.0584504583261106E-5</v>
      </c>
      <c r="FD48" s="5">
        <v>1.62664138760845E-5</v>
      </c>
      <c r="FE48" s="5">
        <v>8.8912942581588E-8</v>
      </c>
      <c r="FF48" s="5">
        <v>8.8631828009007806E-8</v>
      </c>
      <c r="FG48" s="5">
        <v>9.6296222685574607E-7</v>
      </c>
      <c r="FH48" s="5">
        <v>5.03E-8</v>
      </c>
      <c r="FI48" s="5">
        <v>4.2799999999999997E-6</v>
      </c>
      <c r="FJ48" s="5">
        <v>5.5199999999999997E-6</v>
      </c>
      <c r="FK48" s="5">
        <v>4.2399999999999999E-7</v>
      </c>
      <c r="FL48" s="5">
        <v>6.2300000000000002E-9</v>
      </c>
      <c r="FM48" s="5">
        <v>3.0600000000000001E-7</v>
      </c>
      <c r="FN48" s="5">
        <v>1.19E-6</v>
      </c>
      <c r="FO48" s="5">
        <v>7.8100000000000005E-8</v>
      </c>
      <c r="FP48" s="5">
        <v>3.6800000000000001E-9</v>
      </c>
      <c r="FQ48" s="5">
        <v>5.44E-7</v>
      </c>
      <c r="FR48" s="5">
        <v>1.15E-4</v>
      </c>
      <c r="FS48" s="5">
        <v>6.49225870031607E-4</v>
      </c>
      <c r="FT48" s="5">
        <v>6.3835292279101501E-8</v>
      </c>
      <c r="FU48" s="5">
        <v>5.4399999999999996E-6</v>
      </c>
      <c r="FV48" s="5">
        <v>2.0599999999999999E-8</v>
      </c>
      <c r="FW48" s="5">
        <v>2.1500000000000001E-10</v>
      </c>
      <c r="FX48" s="5">
        <v>1.02E-7</v>
      </c>
      <c r="FY48" s="5">
        <v>7.8300000000000006E-8</v>
      </c>
      <c r="FZ48" s="5">
        <v>3.2300000000000002E-7</v>
      </c>
      <c r="GA48" s="5">
        <v>2.9400000000000002E-9</v>
      </c>
      <c r="GB48" s="5">
        <v>8.5600000000000004E-7</v>
      </c>
      <c r="GC48" s="5">
        <v>5.9599999999999999E-7</v>
      </c>
      <c r="GD48" s="5">
        <v>2.5800000000000001E-7</v>
      </c>
      <c r="GE48" s="5">
        <v>4.8139400267869003E-7</v>
      </c>
      <c r="GF48" s="5">
        <v>5.2399999999999998E-7</v>
      </c>
      <c r="GG48" s="5">
        <v>5.0400000000000001E-8</v>
      </c>
      <c r="GH48" s="5">
        <v>1.3200000000000001E-6</v>
      </c>
      <c r="GI48" s="5">
        <v>5.9599999999999999E-7</v>
      </c>
      <c r="GJ48" s="5">
        <v>2.5800000000000001E-7</v>
      </c>
      <c r="GK48" s="5">
        <v>5.3263636400450196E-7</v>
      </c>
      <c r="GL48" s="5">
        <v>6.7144949479888896E-8</v>
      </c>
      <c r="GM48" s="5">
        <v>2.48E-6</v>
      </c>
      <c r="GN48" s="5">
        <v>8.1699999999999997E-7</v>
      </c>
      <c r="GO48" s="5">
        <v>4.36E-8</v>
      </c>
      <c r="GP48" s="5">
        <v>2.0100000000000001E-4</v>
      </c>
      <c r="GQ48" s="5">
        <v>2.7300000000000002E-7</v>
      </c>
      <c r="GR48" s="5">
        <v>6.0863057860262797E-9</v>
      </c>
      <c r="GS48" s="5">
        <v>8.2949805272972498E-5</v>
      </c>
      <c r="GT48" s="5">
        <v>6.5968168793732502E-6</v>
      </c>
      <c r="GU48" s="5">
        <v>7.1786531248555901E-8</v>
      </c>
      <c r="GV48" s="5">
        <v>2.7514636848796198E-6</v>
      </c>
      <c r="GW48" s="5">
        <v>3.3400000000000001E-8</v>
      </c>
      <c r="GX48" s="5">
        <v>1.6399999999999999E-5</v>
      </c>
      <c r="GY48" s="5">
        <v>6.2199999999999997E-6</v>
      </c>
      <c r="GZ48" s="5">
        <v>7.9599999999999998E-7</v>
      </c>
      <c r="HA48" s="5">
        <v>6.2300000000000002E-9</v>
      </c>
      <c r="HB48" s="5">
        <v>5.75E-7</v>
      </c>
      <c r="HC48" s="5">
        <v>5.13E-6</v>
      </c>
      <c r="HD48" s="5">
        <v>5.0699999999999997E-8</v>
      </c>
      <c r="HE48" s="5">
        <v>3.7499999999999998E-8</v>
      </c>
      <c r="HF48" s="5">
        <v>6.6199999999999997E-7</v>
      </c>
      <c r="HG48" s="5">
        <v>1.09E-7</v>
      </c>
      <c r="HH48" s="5">
        <v>9.5306980985787094E-5</v>
      </c>
      <c r="HI48" s="5">
        <v>1.35E-6</v>
      </c>
      <c r="HJ48" s="5">
        <v>4.36E-8</v>
      </c>
      <c r="HK48" s="5">
        <v>5.03E-8</v>
      </c>
      <c r="HL48" s="5">
        <v>3.9799999999999999E-7</v>
      </c>
      <c r="HM48" s="5">
        <v>2.0599999999999999E-7</v>
      </c>
      <c r="HN48" s="5">
        <v>2.6300000000000001E-7</v>
      </c>
      <c r="HO48" s="5">
        <v>2.28E-9</v>
      </c>
      <c r="HP48" s="5">
        <v>2.5599999999999999E-5</v>
      </c>
      <c r="HQ48" s="5">
        <v>8.7299999999999994E-9</v>
      </c>
      <c r="HR48" s="5">
        <v>3.1100000000000002E-7</v>
      </c>
      <c r="HS48" s="5">
        <v>4.5200000000000001E-9</v>
      </c>
      <c r="HT48" s="5">
        <v>2.5599999999999999E-5</v>
      </c>
      <c r="HU48" s="5">
        <v>9.5399999999999997E-9</v>
      </c>
      <c r="HV48" s="5">
        <v>2.66E-8</v>
      </c>
      <c r="HW48" s="5">
        <v>2.5599999999999999E-5</v>
      </c>
      <c r="HX48" s="5">
        <v>5.1899999999999997E-9</v>
      </c>
      <c r="HY48" s="5">
        <v>1.9492218365760601E-3</v>
      </c>
      <c r="HZ48" s="5">
        <v>3.6165342157901699E-5</v>
      </c>
      <c r="IA48" s="5">
        <v>6.6299999999999996E-3</v>
      </c>
      <c r="IB48" s="5"/>
      <c r="IC48">
        <v>6.1599999999999997E-3</v>
      </c>
      <c r="ID48">
        <f t="shared" si="5"/>
        <v>4.641E-2</v>
      </c>
      <c r="IE48">
        <f t="shared" si="6"/>
        <v>0</v>
      </c>
      <c r="IF48">
        <f t="shared" si="7"/>
        <v>4.3119999999999999E-2</v>
      </c>
      <c r="IG48" s="5">
        <v>1.8199999999999999E-7</v>
      </c>
      <c r="IH48" s="5">
        <v>1.1000000000000001E-6</v>
      </c>
      <c r="II48" s="5">
        <v>3.4300000000000002E-6</v>
      </c>
      <c r="IJ48">
        <v>1.76E-4</v>
      </c>
      <c r="IK48" s="5">
        <v>1.9700000000000001E-5</v>
      </c>
      <c r="IL48" s="5">
        <v>-3.2400000000000001E-5</v>
      </c>
      <c r="IM48">
        <v>-1.56E-4</v>
      </c>
      <c r="IN48">
        <v>-0.497</v>
      </c>
      <c r="IO48">
        <v>-6.1200000000000002E-4</v>
      </c>
      <c r="IP48" s="5">
        <v>-9.09E-7</v>
      </c>
      <c r="IQ48" s="5">
        <v>-7.4615432684834198E-6</v>
      </c>
      <c r="IR48" s="5">
        <v>2.7328403665339401E-8</v>
      </c>
      <c r="IS48" s="5">
        <v>1.6483496236239701E-7</v>
      </c>
      <c r="IT48" s="5">
        <v>2.4688874826003599E-6</v>
      </c>
      <c r="IU48" s="5">
        <v>4.5367569080369601E-5</v>
      </c>
      <c r="IV48" s="5">
        <v>1.7618707110731601E-5</v>
      </c>
      <c r="IW48" s="5">
        <v>1.4343631491682599E-6</v>
      </c>
      <c r="IX48" s="5">
        <v>8.6398082043172506E-6</v>
      </c>
      <c r="IY48" s="5">
        <v>1.3585483320227299E-6</v>
      </c>
      <c r="IZ48" s="5">
        <v>8.0427240430487704E-7</v>
      </c>
      <c r="JA48">
        <f t="shared" si="4"/>
        <v>1.4514409606707057</v>
      </c>
    </row>
    <row r="49" spans="1:261" x14ac:dyDescent="0.3">
      <c r="A49" t="s">
        <v>158</v>
      </c>
      <c r="B49">
        <v>4.0299999999999998E-4</v>
      </c>
      <c r="C49" s="5">
        <v>6.6800000000000004E-6</v>
      </c>
      <c r="D49" s="5">
        <v>7.9100000000000005E-6</v>
      </c>
      <c r="E49">
        <v>6.6500000000000004E-5</v>
      </c>
      <c r="F49">
        <v>5.5899999999999997E-5</v>
      </c>
      <c r="G49">
        <v>6.4899999999999997E-6</v>
      </c>
      <c r="H49">
        <v>4.9700000000000005E-4</v>
      </c>
      <c r="I49" s="5">
        <v>2.53E-2</v>
      </c>
      <c r="J49" s="5">
        <v>4.9799999999999998E-5</v>
      </c>
      <c r="K49" s="5">
        <v>8.1100000000000003E-6</v>
      </c>
      <c r="L49" s="5">
        <v>3.7499999999999999E-2</v>
      </c>
      <c r="M49" s="5">
        <v>7.4599999999999997E-5</v>
      </c>
      <c r="N49" s="5">
        <v>2E-3</v>
      </c>
      <c r="O49" s="5">
        <v>1.32E-2</v>
      </c>
      <c r="P49" s="5">
        <v>4.9799999999999998E-5</v>
      </c>
      <c r="Q49" s="5">
        <v>8.3399999999999998E-6</v>
      </c>
      <c r="R49" s="5">
        <v>4.7899999999999999E-5</v>
      </c>
      <c r="S49" s="5">
        <v>1.8900000000000001E-4</v>
      </c>
      <c r="T49" s="5">
        <v>3.96E-5</v>
      </c>
      <c r="U49" s="5">
        <v>4.9799999999999998E-5</v>
      </c>
      <c r="V49" s="5">
        <v>1.1999999999999999E-3</v>
      </c>
      <c r="W49" s="5">
        <v>1.2899999999999999E-3</v>
      </c>
      <c r="X49" s="5">
        <v>4.9799999999999998E-5</v>
      </c>
      <c r="Y49" s="5">
        <v>3.8300000000000001E-3</v>
      </c>
      <c r="Z49" s="5">
        <v>4.9599999999999999E-6</v>
      </c>
      <c r="AA49" s="5">
        <v>4.9799999999999998E-5</v>
      </c>
      <c r="AB49" s="5">
        <v>3.57E-4</v>
      </c>
      <c r="AC49" s="5">
        <v>3.6499999999999998E-4</v>
      </c>
      <c r="AD49" s="5">
        <v>1.18E-4</v>
      </c>
      <c r="AE49" s="5">
        <v>3.4200000000000002E-4</v>
      </c>
      <c r="AF49" s="5">
        <v>1.99E-8</v>
      </c>
      <c r="AG49" s="5">
        <v>4.9799999999999998E-5</v>
      </c>
      <c r="AH49">
        <v>5.0599999999999999E-2</v>
      </c>
      <c r="AI49" s="5">
        <v>8.1100000000000003E-6</v>
      </c>
      <c r="AJ49">
        <v>3.7399999999999998E-4</v>
      </c>
      <c r="AK49" s="5">
        <v>1.98E-5</v>
      </c>
      <c r="AL49">
        <v>2.14E-4</v>
      </c>
      <c r="AM49" s="5">
        <v>1.6099999999999998E-5</v>
      </c>
      <c r="AN49" s="5">
        <v>2.11E-7</v>
      </c>
      <c r="AO49" s="5">
        <v>2.48E-6</v>
      </c>
      <c r="AP49">
        <v>1.0200000000000001E-3</v>
      </c>
      <c r="AQ49" s="5">
        <v>5.4799999999999997E-5</v>
      </c>
      <c r="AR49">
        <v>1.0399999999999999E-4</v>
      </c>
      <c r="AS49" s="5">
        <v>6.5199999999999999E-5</v>
      </c>
      <c r="AT49" s="5">
        <v>3.5818332495575501E-5</v>
      </c>
      <c r="AU49" s="5">
        <v>2.44014149081642E-6</v>
      </c>
      <c r="AV49" s="5">
        <v>4.6031648669538799E-6</v>
      </c>
      <c r="AW49" s="5">
        <v>2.0353708839753101E-6</v>
      </c>
      <c r="AX49" s="5">
        <v>5.0501714880288697E-5</v>
      </c>
      <c r="AY49" s="5">
        <v>7.9000000000000006E-6</v>
      </c>
      <c r="AZ49" s="5">
        <v>2.2000000000000001E-6</v>
      </c>
      <c r="BA49" s="5">
        <v>6.2900000000000003E-7</v>
      </c>
      <c r="BB49" s="5">
        <v>1.56E-5</v>
      </c>
      <c r="BC49" s="5">
        <v>7.9200000000000004E-6</v>
      </c>
      <c r="BD49" s="5">
        <v>3.2499999999999997E-5</v>
      </c>
      <c r="BE49" s="5">
        <v>5.2499999999999997E-6</v>
      </c>
      <c r="BF49" s="5">
        <v>5.9399999999999999E-6</v>
      </c>
      <c r="BG49" s="5">
        <v>6.0399999999999996E-7</v>
      </c>
      <c r="BH49" s="5">
        <v>1.25E-4</v>
      </c>
      <c r="BI49" s="5">
        <v>2.8200000000000001E-6</v>
      </c>
      <c r="BJ49" s="5">
        <v>3.8000000000000002E-5</v>
      </c>
      <c r="BK49" s="5">
        <v>1.8E-3</v>
      </c>
      <c r="BL49" s="5">
        <v>6.2100000000000005E-5</v>
      </c>
      <c r="BM49" s="5">
        <v>7.4000000000000003E-6</v>
      </c>
      <c r="BN49" s="5">
        <v>1.5099999999999999E-5</v>
      </c>
      <c r="BO49" s="5">
        <v>7.9200000000000004E-6</v>
      </c>
      <c r="BP49" s="5">
        <v>1.07E-3</v>
      </c>
      <c r="BQ49" s="5">
        <v>1.1199999999999999E-5</v>
      </c>
      <c r="BR49" s="5">
        <v>1.5200000000000001E-6</v>
      </c>
      <c r="BS49" s="5">
        <v>6.5288450832462596E-7</v>
      </c>
      <c r="BT49" s="5">
        <v>1.08E-4</v>
      </c>
      <c r="BU49" s="5">
        <v>3.4499999999999998E-5</v>
      </c>
      <c r="BV49" s="5">
        <v>2.33E-3</v>
      </c>
      <c r="BW49" s="5">
        <v>4.71E-5</v>
      </c>
      <c r="BX49" s="5">
        <v>5.4399999999999996E-6</v>
      </c>
      <c r="BY49" s="5">
        <v>1.06E-4</v>
      </c>
      <c r="BZ49" s="5">
        <v>3.8000000000000002E-5</v>
      </c>
      <c r="CA49" s="5">
        <v>4.3299999999999996E-3</v>
      </c>
      <c r="CB49" s="5">
        <v>5.6100000000000002E-5</v>
      </c>
      <c r="CC49" s="5">
        <v>1.0899999999999999E-6</v>
      </c>
      <c r="CD49" s="5">
        <v>1.7400000000000001E-6</v>
      </c>
      <c r="CE49" s="5">
        <v>1.3585358475305499E-4</v>
      </c>
      <c r="CF49" s="5">
        <v>3.8000000000000002E-5</v>
      </c>
      <c r="CG49" s="5">
        <v>4.2100000000000002E-3</v>
      </c>
      <c r="CH49" s="5">
        <v>6.1500000000000004E-5</v>
      </c>
      <c r="CI49" s="5">
        <v>1.31E-6</v>
      </c>
      <c r="CJ49" s="5">
        <v>4.7899999999999999E-6</v>
      </c>
      <c r="CK49" s="5">
        <v>2.0200000000000001E-6</v>
      </c>
      <c r="CL49" s="5">
        <v>5.0399999999999999E-5</v>
      </c>
      <c r="CM49" s="5">
        <v>7.1000000000000005E-5</v>
      </c>
      <c r="CN49" s="5">
        <v>1.3999999999999999E-6</v>
      </c>
      <c r="CO49" s="5">
        <v>1.6900000000000001E-5</v>
      </c>
      <c r="CP49" s="5">
        <v>7.2377773749208102E-7</v>
      </c>
      <c r="CQ49" s="5">
        <v>1.9923532136103399E-6</v>
      </c>
      <c r="CR49" s="5">
        <v>8.83376967170679E-5</v>
      </c>
      <c r="CS49" s="5">
        <v>1.59695687905238E-6</v>
      </c>
      <c r="CT49" s="5">
        <v>1.80681171746087E-6</v>
      </c>
      <c r="CU49" s="5">
        <v>1.9090582047738899E-5</v>
      </c>
      <c r="CV49" s="5">
        <v>1.9300000000000002E-5</v>
      </c>
      <c r="CW49" s="5">
        <v>8.5599999999999999E-4</v>
      </c>
      <c r="CX49" s="5">
        <v>9.8300000000000004E-5</v>
      </c>
      <c r="CY49" s="5">
        <v>1.37E-4</v>
      </c>
      <c r="CZ49" s="5">
        <v>1.13E-4</v>
      </c>
      <c r="DA49" s="5">
        <v>1.1999999999999999E-3</v>
      </c>
      <c r="DB49" s="5">
        <v>9.1500000000000005E-6</v>
      </c>
      <c r="DC49" s="5">
        <v>4.2200000000000001E-8</v>
      </c>
      <c r="DD49" s="5">
        <v>6.8599999999999998E-7</v>
      </c>
      <c r="DE49" s="5">
        <v>4.3799999999999999E-10</v>
      </c>
      <c r="DF49" s="5">
        <v>1.2376202275446801E-4</v>
      </c>
      <c r="DG49" s="5">
        <v>1.74102535553234E-6</v>
      </c>
      <c r="DH49" s="5">
        <v>5.2399999999999998E-6</v>
      </c>
      <c r="DI49" s="5">
        <v>5.6800000000000002E-3</v>
      </c>
      <c r="DJ49" s="5">
        <v>5.3300000000000001E-5</v>
      </c>
      <c r="DK49" s="5">
        <v>7.1199999999999996E-5</v>
      </c>
      <c r="DL49" s="5">
        <v>6.0399999999999998E-6</v>
      </c>
      <c r="DM49" s="5">
        <v>1.06E-5</v>
      </c>
      <c r="DN49" s="5">
        <v>9.49871986072372E-6</v>
      </c>
      <c r="DO49" s="5">
        <v>3.5332651330724802E-7</v>
      </c>
      <c r="DP49">
        <v>2.0524317122384801E-4</v>
      </c>
      <c r="DQ49" s="5">
        <v>3.9600000000000002E-6</v>
      </c>
      <c r="DR49" s="5">
        <v>2.9799999999999999E-5</v>
      </c>
      <c r="DS49" s="5">
        <v>2.2100000000000002E-3</v>
      </c>
      <c r="DT49" s="5">
        <v>4.8299999999999997E-7</v>
      </c>
      <c r="DU49" s="5">
        <v>1.2100000000000001E-6</v>
      </c>
      <c r="DV49" s="5">
        <v>1.0530523019502301E-4</v>
      </c>
      <c r="DW49" s="5">
        <v>2.7680585903574502E-6</v>
      </c>
      <c r="DX49" s="5">
        <v>9.49871986072372E-6</v>
      </c>
      <c r="DY49">
        <v>1.00308595778406E-4</v>
      </c>
      <c r="DZ49" s="5">
        <v>1.2E-4</v>
      </c>
      <c r="EA49" s="5">
        <v>1.6999999999999999E-7</v>
      </c>
      <c r="EB49" s="5">
        <v>5.9300000000000004E-3</v>
      </c>
      <c r="EC49" s="5">
        <v>2.4099999999999998E-3</v>
      </c>
      <c r="ED49" s="5">
        <v>1.55E-4</v>
      </c>
      <c r="EE49" s="5">
        <v>1.43034690798558E-4</v>
      </c>
      <c r="EF49" s="5">
        <v>1.1729434007227999E-5</v>
      </c>
      <c r="EG49" s="5">
        <v>2.8494904140524099E-5</v>
      </c>
      <c r="EH49" s="5">
        <v>1.1965180862243799E-4</v>
      </c>
      <c r="EI49" s="5">
        <v>1.46132846252875E-2</v>
      </c>
      <c r="EJ49" s="5">
        <v>1.3057690166492499E-5</v>
      </c>
      <c r="EK49">
        <v>2.2598709520592499E-4</v>
      </c>
      <c r="EL49" s="5">
        <v>1.13E-6</v>
      </c>
      <c r="EM49" s="5">
        <v>1.3200000000000001E-4</v>
      </c>
      <c r="EN49" s="5">
        <v>1.42E-3</v>
      </c>
      <c r="EO49" s="5">
        <v>1.1400000000000001E-6</v>
      </c>
      <c r="EP49" s="5">
        <v>6.8700000000000003E-6</v>
      </c>
      <c r="EQ49" s="5">
        <v>7.09038740239021E-6</v>
      </c>
      <c r="ER49" s="5">
        <v>1.55718711190818E-5</v>
      </c>
      <c r="ES49" s="5">
        <v>3.8527441321940498E-5</v>
      </c>
      <c r="ET49" s="5">
        <v>5.6100000000000004E-3</v>
      </c>
      <c r="EU49" s="5">
        <v>1.94E-4</v>
      </c>
      <c r="EV49" s="5">
        <v>1.0399999999999999E-4</v>
      </c>
      <c r="EW49" s="5">
        <v>3.05E-6</v>
      </c>
      <c r="EX49" s="5">
        <v>3.4499999999999998E-5</v>
      </c>
      <c r="EY49" s="5">
        <v>6.9499999999999995E-5</v>
      </c>
      <c r="EZ49" s="5">
        <v>1.6173747144624299E-6</v>
      </c>
      <c r="FA49" s="5">
        <v>1.1779898559059099E-5</v>
      </c>
      <c r="FB49" s="5">
        <v>3.2413990419382598E-5</v>
      </c>
      <c r="FC49" s="5">
        <v>2.11895114823047E-3</v>
      </c>
      <c r="FD49" s="5">
        <v>5.5094908473922401E-4</v>
      </c>
      <c r="FE49" s="5">
        <v>1.00169912911355E-5</v>
      </c>
      <c r="FF49" s="5">
        <v>1.07021679170165E-5</v>
      </c>
      <c r="FG49" s="5">
        <v>1.70809904357149E-6</v>
      </c>
      <c r="FH49" s="5">
        <v>3.5599999999999998E-6</v>
      </c>
      <c r="FI49" s="5">
        <v>4.4900000000000002E-6</v>
      </c>
      <c r="FJ49" s="5">
        <v>9.4499999999999993E-6</v>
      </c>
      <c r="FK49" s="5">
        <v>8.6799999999999999E-7</v>
      </c>
      <c r="FL49" s="5">
        <v>1.6199999999999999E-7</v>
      </c>
      <c r="FM49" s="5">
        <v>2.48E-5</v>
      </c>
      <c r="FN49" s="5">
        <v>1.34E-4</v>
      </c>
      <c r="FO49" s="5">
        <v>8.8000000000000004E-6</v>
      </c>
      <c r="FP49" s="5">
        <v>2.48E-7</v>
      </c>
      <c r="FQ49" s="5">
        <v>9.2200000000000002E-7</v>
      </c>
      <c r="FR49" s="5">
        <v>2.0299999999999999E-5</v>
      </c>
      <c r="FS49" s="5">
        <v>1.06608081959485E-3</v>
      </c>
      <c r="FT49" s="5">
        <v>5.1688686976435299E-6</v>
      </c>
      <c r="FU49" s="5">
        <v>4.1599999999999997E-4</v>
      </c>
      <c r="FV49" s="5">
        <v>2.4899999999999999E-6</v>
      </c>
      <c r="FW49" s="5">
        <v>4.3799999999999999E-10</v>
      </c>
      <c r="FX49" s="5">
        <v>8.2199999999999992E-6</v>
      </c>
      <c r="FY49" s="5">
        <v>1.5200000000000001E-6</v>
      </c>
      <c r="FZ49" s="5">
        <v>3.5599999999999998E-5</v>
      </c>
      <c r="GA49" s="5">
        <v>3.1E-7</v>
      </c>
      <c r="GB49" s="5">
        <v>5.8900000000000004E-6</v>
      </c>
      <c r="GC49" s="5">
        <v>4.8600000000000001E-6</v>
      </c>
      <c r="GD49" s="5">
        <v>2.8900000000000001E-7</v>
      </c>
      <c r="GE49" s="5">
        <v>3.5179244437127499E-4</v>
      </c>
      <c r="GF49" s="5">
        <v>5.77E-5</v>
      </c>
      <c r="GG49" s="5">
        <v>1.59E-6</v>
      </c>
      <c r="GH49" s="5">
        <v>9.0699999999999996E-6</v>
      </c>
      <c r="GI49" s="5">
        <v>4.8600000000000001E-6</v>
      </c>
      <c r="GJ49" s="5">
        <v>2.8900000000000001E-7</v>
      </c>
      <c r="GK49" s="5">
        <v>3.9886283835597898E-4</v>
      </c>
      <c r="GL49" s="5">
        <v>1.30576901664925E-6</v>
      </c>
      <c r="GM49" s="5">
        <v>3.0600000000000001E-4</v>
      </c>
      <c r="GN49" s="5">
        <v>1.2E-4</v>
      </c>
      <c r="GO49" s="5">
        <v>5.2700000000000004E-6</v>
      </c>
      <c r="GP49" s="5">
        <v>9.8400000000000007E-6</v>
      </c>
      <c r="GQ49" s="5">
        <v>2.2099999999999998E-5</v>
      </c>
      <c r="GR49" s="5">
        <v>7.34912818335895E-7</v>
      </c>
      <c r="GS49" s="5">
        <v>2.6123338687467999E-3</v>
      </c>
      <c r="GT49" s="5">
        <v>8.0896983148313797E-4</v>
      </c>
      <c r="GU49" s="5">
        <v>8.6681221504775302E-6</v>
      </c>
      <c r="GV49" s="5">
        <v>4.8251849166138803E-6</v>
      </c>
      <c r="GW49" s="5">
        <v>2.3599999999999999E-6</v>
      </c>
      <c r="GX49" s="5">
        <v>1.7200000000000001E-5</v>
      </c>
      <c r="GY49" s="5">
        <v>1.06E-5</v>
      </c>
      <c r="GZ49" s="5">
        <v>1.6300000000000001E-6</v>
      </c>
      <c r="HA49" s="5">
        <v>1.6199999999999999E-7</v>
      </c>
      <c r="HB49" s="5">
        <v>4.6600000000000001E-5</v>
      </c>
      <c r="HC49" s="5">
        <v>6.3299999999999999E-4</v>
      </c>
      <c r="HD49" s="5">
        <v>6.1199999999999999E-6</v>
      </c>
      <c r="HE49" s="5">
        <v>6.6500000000000007E-8</v>
      </c>
      <c r="HF49" s="5">
        <v>1.3599999999999999E-6</v>
      </c>
      <c r="HG49" s="5">
        <v>8.8100000000000004E-6</v>
      </c>
      <c r="HH49" s="5">
        <v>8.7190950011598305E-4</v>
      </c>
      <c r="HI49" s="5">
        <v>1.6799999999999999E-4</v>
      </c>
      <c r="HJ49" s="5">
        <v>5.2700000000000004E-6</v>
      </c>
      <c r="HK49" s="5">
        <v>3.5599999999999998E-6</v>
      </c>
      <c r="HL49" s="5">
        <v>8.1399999999999996E-7</v>
      </c>
      <c r="HM49" s="5">
        <v>1.6699999999999999E-5</v>
      </c>
      <c r="HN49" s="5">
        <v>3.2499999999999997E-5</v>
      </c>
      <c r="HO49" s="5">
        <v>2.7599999999999998E-7</v>
      </c>
      <c r="HP49" s="5">
        <v>5.9399999999999999E-6</v>
      </c>
      <c r="HQ49" s="5">
        <v>7.0699999999999996E-7</v>
      </c>
      <c r="HR49" s="5">
        <v>3.8399999999999998E-5</v>
      </c>
      <c r="HS49" s="5">
        <v>5.4199999999999996E-7</v>
      </c>
      <c r="HT49" s="5">
        <v>5.9399999999999999E-6</v>
      </c>
      <c r="HU49" s="5">
        <v>7.7199999999999998E-7</v>
      </c>
      <c r="HV49" s="5">
        <v>3.2799999999999999E-6</v>
      </c>
      <c r="HW49" s="5">
        <v>5.9399999999999999E-6</v>
      </c>
      <c r="HX49" s="5">
        <v>4.2E-7</v>
      </c>
      <c r="HY49">
        <v>1.3098192786805999E-3</v>
      </c>
      <c r="HZ49" s="5">
        <v>2.92837861855839E-3</v>
      </c>
      <c r="IA49">
        <v>0.26800000000000002</v>
      </c>
      <c r="IB49" s="5">
        <v>5.82</v>
      </c>
      <c r="IC49">
        <v>6.8499999999999995E-4</v>
      </c>
      <c r="ID49">
        <f t="shared" si="5"/>
        <v>1.8760000000000001</v>
      </c>
      <c r="IE49">
        <f t="shared" si="6"/>
        <v>40.74</v>
      </c>
      <c r="IF49">
        <f t="shared" si="7"/>
        <v>4.7949999999999998E-3</v>
      </c>
      <c r="IG49" s="5">
        <v>1.6500000000000001E-5</v>
      </c>
      <c r="IH49" s="5">
        <v>9.9500000000000006E-5</v>
      </c>
      <c r="II49">
        <v>3.3E-4</v>
      </c>
      <c r="IJ49" s="5">
        <v>5.3199999999999999E-5</v>
      </c>
      <c r="IK49" s="5">
        <v>8.4699999999999999E-5</v>
      </c>
      <c r="IL49">
        <v>-2.32E-3</v>
      </c>
      <c r="IM49">
        <v>-1.7999999999999999E-2</v>
      </c>
      <c r="IN49">
        <v>-4.6300000000000001E-2</v>
      </c>
      <c r="IO49">
        <v>-7.2400000000000003E-4</v>
      </c>
      <c r="IP49" s="5">
        <v>3.2400000000000001E-5</v>
      </c>
      <c r="IQ49">
        <v>-1.6835589028455899E-4</v>
      </c>
      <c r="IR49" s="5">
        <v>2.4746888102680801E-6</v>
      </c>
      <c r="IS49" s="5">
        <v>1.49207873190646E-5</v>
      </c>
      <c r="IT49">
        <v>2.37571717304523E-4</v>
      </c>
      <c r="IU49" s="5">
        <v>1.3724507255589999E-5</v>
      </c>
      <c r="IV49" s="5">
        <v>7.5844952550451102E-5</v>
      </c>
      <c r="IW49">
        <v>1.29353996630767E-4</v>
      </c>
      <c r="IX49">
        <v>7.7915674423160097E-4</v>
      </c>
      <c r="IY49">
        <v>1.11135637287335E-4</v>
      </c>
      <c r="IZ49" s="5">
        <v>1.9430155820051E-5</v>
      </c>
      <c r="JA49">
        <f t="shared" si="4"/>
        <v>6.3012758944788168</v>
      </c>
    </row>
    <row r="50" spans="1:261" x14ac:dyDescent="0.3">
      <c r="A50" t="s">
        <v>159</v>
      </c>
      <c r="B50">
        <v>4.8899999999999996E-4</v>
      </c>
      <c r="C50" s="5">
        <v>8.1300000000000001E-6</v>
      </c>
      <c r="D50" s="5">
        <v>9.6800000000000005E-6</v>
      </c>
      <c r="E50">
        <v>7.75E-5</v>
      </c>
      <c r="F50">
        <v>6.2899999999999997E-5</v>
      </c>
      <c r="G50">
        <v>7.8099999999999998E-6</v>
      </c>
      <c r="H50">
        <v>6.02E-4</v>
      </c>
      <c r="I50" s="5">
        <v>3.0499999999999999E-2</v>
      </c>
      <c r="J50" s="5">
        <v>5.2500000000000002E-5</v>
      </c>
      <c r="K50" s="5">
        <v>9.9199999999999999E-6</v>
      </c>
      <c r="L50" s="5">
        <v>1.5299999999999999E-2</v>
      </c>
      <c r="M50" s="5">
        <v>7.8700000000000002E-5</v>
      </c>
      <c r="N50" s="5">
        <v>2.4199999999999998E-3</v>
      </c>
      <c r="O50" s="5">
        <v>1.43E-2</v>
      </c>
      <c r="P50" s="5">
        <v>5.2500000000000002E-5</v>
      </c>
      <c r="Q50" s="5">
        <v>1.0200000000000001E-5</v>
      </c>
      <c r="R50" s="5">
        <v>4.9299999999999999E-5</v>
      </c>
      <c r="S50" s="5">
        <v>2.2499999999999999E-4</v>
      </c>
      <c r="T50" s="5">
        <v>4.85E-5</v>
      </c>
      <c r="U50" s="5">
        <v>5.2500000000000002E-5</v>
      </c>
      <c r="V50" s="5">
        <v>1.32E-3</v>
      </c>
      <c r="W50" s="5">
        <v>1.56E-3</v>
      </c>
      <c r="X50" s="5">
        <v>5.2500000000000002E-5</v>
      </c>
      <c r="Y50" s="5">
        <v>4.6299999999999996E-3</v>
      </c>
      <c r="Z50" s="5">
        <v>6.0599999999999996E-6</v>
      </c>
      <c r="AA50" s="5">
        <v>5.2500000000000002E-5</v>
      </c>
      <c r="AB50" s="5">
        <v>4.3100000000000001E-4</v>
      </c>
      <c r="AC50" s="5">
        <v>4.4200000000000001E-4</v>
      </c>
      <c r="AD50" s="5">
        <v>1.37E-4</v>
      </c>
      <c r="AE50" s="5">
        <v>3.3E-4</v>
      </c>
      <c r="AF50" s="5">
        <v>2.0999999999999999E-8</v>
      </c>
      <c r="AG50" s="5">
        <v>5.2500000000000002E-5</v>
      </c>
      <c r="AH50">
        <v>6.0999999999999999E-2</v>
      </c>
      <c r="AI50" s="5">
        <v>9.9199999999999999E-6</v>
      </c>
      <c r="AJ50">
        <v>4.1300000000000001E-4</v>
      </c>
      <c r="AK50" s="5">
        <v>2.19E-5</v>
      </c>
      <c r="AL50">
        <v>2.61E-4</v>
      </c>
      <c r="AM50" s="5">
        <v>1.9700000000000001E-5</v>
      </c>
      <c r="AN50" s="5">
        <v>2.2399999999999999E-7</v>
      </c>
      <c r="AO50" s="5">
        <v>2.8899999999999999E-6</v>
      </c>
      <c r="AP50">
        <v>1.23E-3</v>
      </c>
      <c r="AQ50" s="5">
        <v>6.5900000000000003E-5</v>
      </c>
      <c r="AR50">
        <v>1.25E-4</v>
      </c>
      <c r="AS50" s="5">
        <v>7.5900000000000002E-5</v>
      </c>
      <c r="AT50" s="5">
        <v>4.30899295436966E-5</v>
      </c>
      <c r="AU50" s="5">
        <v>2.8698956732038301E-6</v>
      </c>
      <c r="AV50" s="5">
        <v>5.5266794243557901E-6</v>
      </c>
      <c r="AW50" s="5">
        <v>2.2613989212387801E-6</v>
      </c>
      <c r="AX50" s="5">
        <v>6.1801070273628103E-5</v>
      </c>
      <c r="AY50" s="5">
        <v>9.5200000000000003E-6</v>
      </c>
      <c r="AZ50" s="5">
        <v>2.57E-6</v>
      </c>
      <c r="BA50" s="5">
        <v>7.6400000000000001E-7</v>
      </c>
      <c r="BB50" s="5">
        <v>1.77E-5</v>
      </c>
      <c r="BC50" s="5">
        <v>8.1899999999999995E-6</v>
      </c>
      <c r="BD50" s="5">
        <v>3.9799999999999998E-5</v>
      </c>
      <c r="BE50" s="5">
        <v>5.8100000000000003E-6</v>
      </c>
      <c r="BF50" s="5">
        <v>6.1399999999999997E-6</v>
      </c>
      <c r="BG50" s="5">
        <v>7.3900000000000004E-7</v>
      </c>
      <c r="BH50" s="5">
        <v>1.3999999999999999E-4</v>
      </c>
      <c r="BI50" s="5">
        <v>3.1200000000000002E-6</v>
      </c>
      <c r="BJ50" s="5">
        <v>3.93E-5</v>
      </c>
      <c r="BK50" s="5">
        <v>4.4099999999999999E-3</v>
      </c>
      <c r="BL50" s="5">
        <v>7.6000000000000004E-5</v>
      </c>
      <c r="BM50" s="5">
        <v>8.3100000000000001E-6</v>
      </c>
      <c r="BN50" s="5">
        <v>1.6799999999999998E-5</v>
      </c>
      <c r="BO50" s="5">
        <v>8.1899999999999995E-6</v>
      </c>
      <c r="BP50" s="5">
        <v>2.6199999999999999E-3</v>
      </c>
      <c r="BQ50" s="5">
        <v>1.3699999999999999E-5</v>
      </c>
      <c r="BR50" s="5">
        <v>1.7099999999999999E-6</v>
      </c>
      <c r="BS50" s="5">
        <v>7.3319875063823598E-7</v>
      </c>
      <c r="BT50" s="5">
        <v>1.21E-4</v>
      </c>
      <c r="BU50" s="5">
        <v>3.5599999999999998E-5</v>
      </c>
      <c r="BV50" s="5">
        <v>5.7200000000000003E-3</v>
      </c>
      <c r="BW50" s="5">
        <v>5.7599999999999997E-5</v>
      </c>
      <c r="BX50" s="5">
        <v>6.1099999999999999E-6</v>
      </c>
      <c r="BY50" s="5">
        <v>1.1900000000000001E-4</v>
      </c>
      <c r="BZ50" s="5">
        <v>3.93E-5</v>
      </c>
      <c r="CA50" s="5">
        <v>1.06E-2</v>
      </c>
      <c r="CB50" s="5">
        <v>6.86E-5</v>
      </c>
      <c r="CC50" s="5">
        <v>1.22E-6</v>
      </c>
      <c r="CD50" s="5">
        <v>1.9599999999999999E-6</v>
      </c>
      <c r="CE50" s="5">
        <v>1.51818879501617E-4</v>
      </c>
      <c r="CF50" s="5">
        <v>3.93E-5</v>
      </c>
      <c r="CG50" s="5">
        <v>1.03E-2</v>
      </c>
      <c r="CH50" s="5">
        <v>7.5300000000000001E-5</v>
      </c>
      <c r="CI50" s="5">
        <v>1.4699999999999999E-6</v>
      </c>
      <c r="CJ50" s="5">
        <v>5.3800000000000002E-6</v>
      </c>
      <c r="CK50" s="5">
        <v>2.3499999999999999E-6</v>
      </c>
      <c r="CL50" s="5">
        <v>6.0600000000000003E-5</v>
      </c>
      <c r="CM50" s="5">
        <v>8.5500000000000005E-5</v>
      </c>
      <c r="CN50" s="5">
        <v>1.6300000000000001E-6</v>
      </c>
      <c r="CO50" s="5">
        <v>2.02E-5</v>
      </c>
      <c r="CP50" s="5">
        <v>8.5080683621724605E-7</v>
      </c>
      <c r="CQ50" s="5">
        <v>2.22649135841052E-6</v>
      </c>
      <c r="CR50" s="5">
        <v>9.7807083532675399E-5</v>
      </c>
      <c r="CS50" s="5">
        <v>1.5402083101425501E-6</v>
      </c>
      <c r="CT50" s="5">
        <v>2.0074376948478001E-6</v>
      </c>
      <c r="CU50" s="5">
        <v>2.3361947321857601E-5</v>
      </c>
      <c r="CV50" s="5">
        <v>2.1800000000000001E-5</v>
      </c>
      <c r="CW50" s="5">
        <v>9.1399999999999999E-4</v>
      </c>
      <c r="CX50" s="5">
        <v>1.35E-4</v>
      </c>
      <c r="CY50" s="5">
        <v>1.65E-4</v>
      </c>
      <c r="CZ50" s="5">
        <v>1.3799999999999999E-4</v>
      </c>
      <c r="DA50" s="5">
        <v>1.4400000000000001E-3</v>
      </c>
      <c r="DB50" s="5">
        <v>1.0699999999999999E-5</v>
      </c>
      <c r="DC50" s="5">
        <v>4.9600000000000001E-8</v>
      </c>
      <c r="DD50" s="5">
        <v>6.6199999999999997E-7</v>
      </c>
      <c r="DE50" s="5">
        <v>4.8699999999999997E-10</v>
      </c>
      <c r="DF50" s="5">
        <v>1.5145278697140999E-4</v>
      </c>
      <c r="DG50" s="5">
        <v>1.9551966683686301E-6</v>
      </c>
      <c r="DH50" s="5">
        <v>6.1E-6</v>
      </c>
      <c r="DI50" s="5">
        <v>6.8399999999999997E-3</v>
      </c>
      <c r="DJ50" s="5">
        <v>6.2000000000000003E-5</v>
      </c>
      <c r="DK50" s="5">
        <v>8.5900000000000001E-5</v>
      </c>
      <c r="DL50" s="5">
        <v>7.25E-6</v>
      </c>
      <c r="DM50" s="5">
        <v>1.03E-5</v>
      </c>
      <c r="DN50" s="5">
        <v>1.05535272228963E-5</v>
      </c>
      <c r="DO50" s="5">
        <v>4.2435918147153902E-7</v>
      </c>
      <c r="DP50">
        <v>2.5116469169521397E-4</v>
      </c>
      <c r="DQ50" s="5">
        <v>4.6099999999999999E-6</v>
      </c>
      <c r="DR50" s="5">
        <v>3.3000000000000003E-5</v>
      </c>
      <c r="DS50" s="5">
        <v>2.65E-3</v>
      </c>
      <c r="DT50" s="5">
        <v>5.6700000000000003E-7</v>
      </c>
      <c r="DU50" s="5">
        <v>1.4500000000000001E-6</v>
      </c>
      <c r="DV50" s="5">
        <v>1.1659345702775399E-4</v>
      </c>
      <c r="DW50" s="5">
        <v>2.6696944042470902E-6</v>
      </c>
      <c r="DX50" s="5">
        <v>1.05535272228963E-5</v>
      </c>
      <c r="DY50">
        <v>1.2275184301058001E-4</v>
      </c>
      <c r="DZ50" s="5">
        <v>1.4100000000000001E-4</v>
      </c>
      <c r="EA50" s="5">
        <v>1.9999999999999999E-7</v>
      </c>
      <c r="EB50" s="5">
        <v>7.1500000000000001E-3</v>
      </c>
      <c r="EC50" s="5">
        <v>2.8999999999999998E-3</v>
      </c>
      <c r="ED50" s="5">
        <v>1.8699999999999999E-4</v>
      </c>
      <c r="EE50" s="5">
        <v>1.68450643618549E-4</v>
      </c>
      <c r="EF50" s="5">
        <v>1.4091659948616799E-5</v>
      </c>
      <c r="EG50" s="5">
        <v>2.93406381287659E-5</v>
      </c>
      <c r="EH50" s="5">
        <v>1.2319550635509901E-4</v>
      </c>
      <c r="EI50" s="5">
        <v>1.7697782760590801E-2</v>
      </c>
      <c r="EJ50" s="5">
        <v>1.4663975012764701E-5</v>
      </c>
      <c r="EK50">
        <v>2.7149931501001701E-4</v>
      </c>
      <c r="EL50" s="5">
        <v>1.2699999999999999E-6</v>
      </c>
      <c r="EM50" s="5">
        <v>1.5300000000000001E-4</v>
      </c>
      <c r="EN50" s="5">
        <v>1.7099999999999999E-3</v>
      </c>
      <c r="EO50" s="5">
        <v>1.3599999999999999E-6</v>
      </c>
      <c r="EP50" s="5">
        <v>8.2400000000000007E-6</v>
      </c>
      <c r="EQ50" s="5">
        <v>6.8384273505066298E-6</v>
      </c>
      <c r="ER50" s="5">
        <v>2.2794546009678099E-5</v>
      </c>
      <c r="ES50" s="5">
        <v>4.7147648634198599E-5</v>
      </c>
      <c r="ET50" s="5">
        <v>6.7499999999999999E-3</v>
      </c>
      <c r="EU50" s="5">
        <v>2.34E-4</v>
      </c>
      <c r="EV50" s="5">
        <v>1.21E-4</v>
      </c>
      <c r="EW50" s="5">
        <v>3.6600000000000001E-6</v>
      </c>
      <c r="EX50" s="5">
        <v>3.82E-5</v>
      </c>
      <c r="EY50" s="5">
        <v>6.7000000000000002E-5</v>
      </c>
      <c r="EZ50" s="5">
        <v>1.79060759109375E-6</v>
      </c>
      <c r="FA50" s="5">
        <v>2.8938912800813501E-5</v>
      </c>
      <c r="FB50" s="5">
        <v>3.96663619147486E-5</v>
      </c>
      <c r="FC50" s="5">
        <v>2.55027178232813E-3</v>
      </c>
      <c r="FD50" s="5">
        <v>6.6291504620188599E-4</v>
      </c>
      <c r="FE50" s="5">
        <v>1.20505735164575E-5</v>
      </c>
      <c r="FF50" s="5">
        <v>1.2459494019000701E-5</v>
      </c>
      <c r="FG50" s="5">
        <v>2.0089269712426801E-6</v>
      </c>
      <c r="FH50" s="5">
        <v>4.2699999999999998E-6</v>
      </c>
      <c r="FI50" s="5">
        <v>4.9699999999999998E-6</v>
      </c>
      <c r="FJ50" s="5">
        <v>9.1099999999999992E-6</v>
      </c>
      <c r="FK50" s="5">
        <v>9.6500000000000008E-7</v>
      </c>
      <c r="FL50" s="5">
        <v>1.9399999999999999E-7</v>
      </c>
      <c r="FM50" s="5">
        <v>3.0300000000000001E-5</v>
      </c>
      <c r="FN50" s="5">
        <v>1.6200000000000001E-4</v>
      </c>
      <c r="FO50" s="5">
        <v>1.06E-5</v>
      </c>
      <c r="FP50" s="5">
        <v>2.9799999999999999E-7</v>
      </c>
      <c r="FQ50" s="5">
        <v>8.8700000000000004E-7</v>
      </c>
      <c r="FR50" s="5">
        <v>2.1299999999999999E-5</v>
      </c>
      <c r="FS50" s="5">
        <v>2.6189716084736199E-3</v>
      </c>
      <c r="FT50" s="5">
        <v>6.3253617897024298E-6</v>
      </c>
      <c r="FU50" s="5">
        <v>4.9299999999999995E-4</v>
      </c>
      <c r="FV50" s="5">
        <v>2.9000000000000002E-6</v>
      </c>
      <c r="FW50" s="5">
        <v>4.8699999999999997E-10</v>
      </c>
      <c r="FX50" s="5">
        <v>1.01E-5</v>
      </c>
      <c r="FY50" s="5">
        <v>1.7099999999999999E-6</v>
      </c>
      <c r="FZ50" s="5">
        <v>4.3000000000000002E-5</v>
      </c>
      <c r="GA50" s="5">
        <v>3.7300000000000002E-7</v>
      </c>
      <c r="GB50" s="5">
        <v>7.0199999999999997E-6</v>
      </c>
      <c r="GC50" s="5">
        <v>5.4299999999999997E-6</v>
      </c>
      <c r="GD50" s="5">
        <v>3.1800000000000002E-7</v>
      </c>
      <c r="GE50" s="5">
        <v>4.2615771976928799E-4</v>
      </c>
      <c r="GF50" s="5">
        <v>6.9499999999999995E-5</v>
      </c>
      <c r="GG50" s="5">
        <v>1.88E-6</v>
      </c>
      <c r="GH50" s="5">
        <v>1.08E-5</v>
      </c>
      <c r="GI50" s="5">
        <v>5.4299999999999997E-6</v>
      </c>
      <c r="GJ50" s="5">
        <v>3.1800000000000002E-7</v>
      </c>
      <c r="GK50" s="5">
        <v>4.8316349421066002E-4</v>
      </c>
      <c r="GL50" s="5">
        <v>1.4663975012764701E-6</v>
      </c>
      <c r="GM50" s="5">
        <v>3.6900000000000002E-4</v>
      </c>
      <c r="GN50" s="5">
        <v>1.44E-4</v>
      </c>
      <c r="GO50" s="5">
        <v>6.1299999999999998E-6</v>
      </c>
      <c r="GP50" s="5">
        <v>1.3699999999999999E-5</v>
      </c>
      <c r="GQ50" s="5">
        <v>2.6999999999999999E-5</v>
      </c>
      <c r="GR50" s="5">
        <v>8.5558757212022101E-7</v>
      </c>
      <c r="GS50" s="5">
        <v>3.1447407462523299E-3</v>
      </c>
      <c r="GT50" s="5">
        <v>9.7461772726216303E-4</v>
      </c>
      <c r="GU50" s="5">
        <v>1.00914522111096E-5</v>
      </c>
      <c r="GV50" s="5">
        <v>5.6720455747816399E-6</v>
      </c>
      <c r="GW50" s="5">
        <v>2.83E-6</v>
      </c>
      <c r="GX50" s="5">
        <v>1.9000000000000001E-5</v>
      </c>
      <c r="GY50" s="5">
        <v>1.03E-5</v>
      </c>
      <c r="GZ50" s="5">
        <v>1.81E-6</v>
      </c>
      <c r="HA50" s="5">
        <v>1.9399999999999999E-7</v>
      </c>
      <c r="HB50" s="5">
        <v>5.7000000000000003E-5</v>
      </c>
      <c r="HC50" s="5">
        <v>7.6300000000000001E-4</v>
      </c>
      <c r="HD50" s="5">
        <v>7.1300000000000003E-6</v>
      </c>
      <c r="HE50" s="5">
        <v>7.8199999999999999E-8</v>
      </c>
      <c r="HF50" s="5">
        <v>1.5099999999999999E-6</v>
      </c>
      <c r="HG50" s="5">
        <v>1.08E-5</v>
      </c>
      <c r="HH50" s="5">
        <v>1.0496640622557E-3</v>
      </c>
      <c r="HI50" s="5">
        <v>2.03E-4</v>
      </c>
      <c r="HJ50" s="5">
        <v>6.1299999999999998E-6</v>
      </c>
      <c r="HK50" s="5">
        <v>4.2699999999999998E-6</v>
      </c>
      <c r="HL50" s="5">
        <v>9.0500000000000002E-7</v>
      </c>
      <c r="HM50" s="5">
        <v>2.0400000000000001E-5</v>
      </c>
      <c r="HN50" s="5">
        <v>3.9199999999999997E-5</v>
      </c>
      <c r="HO50" s="5">
        <v>3.2099999999999998E-7</v>
      </c>
      <c r="HP50" s="5">
        <v>6.1399999999999997E-6</v>
      </c>
      <c r="HQ50" s="5">
        <v>8.6499999999999998E-7</v>
      </c>
      <c r="HR50" s="5">
        <v>4.6300000000000001E-5</v>
      </c>
      <c r="HS50" s="5">
        <v>6.3200000000000005E-7</v>
      </c>
      <c r="HT50" s="5">
        <v>6.1399999999999997E-6</v>
      </c>
      <c r="HU50" s="5">
        <v>9.4499999999999995E-7</v>
      </c>
      <c r="HV50" s="5">
        <v>3.9600000000000002E-6</v>
      </c>
      <c r="HW50" s="5">
        <v>6.1399999999999997E-6</v>
      </c>
      <c r="HX50" s="5">
        <v>5.1399999999999997E-7</v>
      </c>
      <c r="HY50">
        <v>1.42383843842543E-3</v>
      </c>
      <c r="HZ50" s="5">
        <v>3.5835799481722902E-3</v>
      </c>
      <c r="IA50">
        <v>0.32500000000000001</v>
      </c>
      <c r="IB50" s="5">
        <v>7.05</v>
      </c>
      <c r="IC50">
        <v>6.3100000000000005E-4</v>
      </c>
      <c r="ID50">
        <f t="shared" si="5"/>
        <v>2.2749999999999999</v>
      </c>
      <c r="IE50">
        <f t="shared" si="6"/>
        <v>49.35</v>
      </c>
      <c r="IF50">
        <f t="shared" si="7"/>
        <v>4.4170000000000008E-3</v>
      </c>
      <c r="IG50" s="5">
        <v>2.0100000000000001E-5</v>
      </c>
      <c r="IH50">
        <v>1.21E-4</v>
      </c>
      <c r="II50">
        <v>3.9899999999999999E-4</v>
      </c>
      <c r="IJ50" s="5">
        <v>6.4499999999999996E-5</v>
      </c>
      <c r="IK50" s="5">
        <v>1.7499999999999998E-5</v>
      </c>
      <c r="IL50">
        <v>-2.7799999999999999E-3</v>
      </c>
      <c r="IM50">
        <v>-2.1700000000000001E-2</v>
      </c>
      <c r="IN50">
        <v>-4.48E-2</v>
      </c>
      <c r="IO50">
        <v>-7.6499999999999995E-4</v>
      </c>
      <c r="IP50" s="5">
        <v>4.2200000000000003E-5</v>
      </c>
      <c r="IQ50">
        <v>-1.7604811670322301E-4</v>
      </c>
      <c r="IR50" s="5">
        <v>3.0064919168317701E-6</v>
      </c>
      <c r="IS50" s="5">
        <v>1.8127158115203301E-5</v>
      </c>
      <c r="IT50">
        <v>2.8692651155531299E-4</v>
      </c>
      <c r="IU50" s="5">
        <v>1.6642696480811E-5</v>
      </c>
      <c r="IV50" s="5">
        <v>1.5636303817300701E-5</v>
      </c>
      <c r="IW50">
        <v>1.5615881436129199E-4</v>
      </c>
      <c r="IX50">
        <v>9.4061410199885195E-4</v>
      </c>
      <c r="IY50">
        <v>1.34063155753278E-4</v>
      </c>
      <c r="IZ50" s="5">
        <v>2.30909529954314E-5</v>
      </c>
      <c r="JA50">
        <f t="shared" si="4"/>
        <v>7.6181840403000205</v>
      </c>
    </row>
    <row r="51" spans="1:261" x14ac:dyDescent="0.3">
      <c r="A51" t="s">
        <v>160</v>
      </c>
      <c r="B51">
        <v>2.7799999999999998E-4</v>
      </c>
      <c r="C51" s="5">
        <v>5.4300000000000003E-7</v>
      </c>
      <c r="D51" s="5">
        <v>6.2500000000000005E-7</v>
      </c>
      <c r="E51">
        <v>1.0900000000000001E-5</v>
      </c>
      <c r="F51">
        <v>2.23E-5</v>
      </c>
      <c r="G51">
        <v>6.4700000000000001E-7</v>
      </c>
      <c r="H51">
        <v>5.8E-5</v>
      </c>
      <c r="I51" s="5">
        <v>2.5600000000000001E-2</v>
      </c>
      <c r="J51" s="5">
        <v>1.4800000000000001E-5</v>
      </c>
      <c r="K51" s="5">
        <v>6.4099999999999998E-7</v>
      </c>
      <c r="L51" s="5">
        <v>7.9500000000000005E-3</v>
      </c>
      <c r="M51" s="5">
        <v>2.2200000000000001E-5</v>
      </c>
      <c r="N51" s="5">
        <v>2.33E-4</v>
      </c>
      <c r="O51" s="5">
        <v>5.6800000000000002E-3</v>
      </c>
      <c r="P51" s="5">
        <v>1.4800000000000001E-5</v>
      </c>
      <c r="Q51" s="5">
        <v>6.5899999999999996E-7</v>
      </c>
      <c r="R51" s="5">
        <v>1.59E-5</v>
      </c>
      <c r="S51" s="5">
        <v>7.1900000000000006E-2</v>
      </c>
      <c r="T51" s="5">
        <v>3.1300000000000001E-6</v>
      </c>
      <c r="U51" s="5">
        <v>1.4800000000000001E-5</v>
      </c>
      <c r="V51" s="5">
        <v>1.24E-3</v>
      </c>
      <c r="W51" s="5">
        <v>1.4999999999999999E-4</v>
      </c>
      <c r="X51" s="5">
        <v>1.4800000000000001E-5</v>
      </c>
      <c r="Y51" s="5">
        <v>3.8700000000000002E-3</v>
      </c>
      <c r="Z51" s="5">
        <v>3.9200000000000002E-7</v>
      </c>
      <c r="AA51" s="5">
        <v>1.4800000000000001E-5</v>
      </c>
      <c r="AB51" s="5">
        <v>6.1399999999999996E-4</v>
      </c>
      <c r="AC51" s="5">
        <v>4.2599999999999999E-5</v>
      </c>
      <c r="AD51" s="5">
        <v>1.9400000000000001E-5</v>
      </c>
      <c r="AE51" s="5">
        <v>7.6999999999999996E-4</v>
      </c>
      <c r="AF51" s="5">
        <v>5.93E-9</v>
      </c>
      <c r="AG51" s="5">
        <v>1.4800000000000001E-5</v>
      </c>
      <c r="AH51">
        <v>5.1299999999999998E-2</v>
      </c>
      <c r="AI51" s="5">
        <v>6.4099999999999998E-7</v>
      </c>
      <c r="AJ51">
        <v>2.5799999999999998E-4</v>
      </c>
      <c r="AK51" s="5">
        <v>1.3699999999999999E-5</v>
      </c>
      <c r="AL51" s="5">
        <v>8.1799999999999996E-5</v>
      </c>
      <c r="AM51" s="5">
        <v>6.1700000000000002E-6</v>
      </c>
      <c r="AN51" s="5">
        <v>7.1499999999999998E-8</v>
      </c>
      <c r="AO51" s="5">
        <v>4.08E-7</v>
      </c>
      <c r="AP51">
        <v>8.0599999999999997E-4</v>
      </c>
      <c r="AQ51" s="5">
        <v>5.0800000000000002E-5</v>
      </c>
      <c r="AR51" s="5">
        <v>9.1899999999999998E-5</v>
      </c>
      <c r="AS51" s="5">
        <v>1.0699999999999999E-5</v>
      </c>
      <c r="AT51" s="5">
        <v>3.3272707154154403E-5</v>
      </c>
      <c r="AU51" s="5">
        <v>1.29016431379515E-6</v>
      </c>
      <c r="AV51">
        <v>3.4561592411584398E-4</v>
      </c>
      <c r="AW51" s="5">
        <v>4.3712287211278898E-7</v>
      </c>
      <c r="AX51" s="5">
        <v>3.9918814468107601E-6</v>
      </c>
      <c r="AY51" s="5">
        <v>6.99E-6</v>
      </c>
      <c r="AZ51" s="5">
        <v>3.6300000000000001E-7</v>
      </c>
      <c r="BA51" s="5">
        <v>1.4E-3</v>
      </c>
      <c r="BB51" s="5">
        <v>2.5700000000000001E-5</v>
      </c>
      <c r="BC51" s="5">
        <v>2.6199999999999999E-6</v>
      </c>
      <c r="BD51" s="5">
        <v>2.57E-6</v>
      </c>
      <c r="BE51" s="5">
        <v>3.6799999999999999E-6</v>
      </c>
      <c r="BF51" s="5">
        <v>1.9599999999999999E-6</v>
      </c>
      <c r="BG51" s="5">
        <v>4.7699999999999997E-8</v>
      </c>
      <c r="BH51" s="5">
        <v>8.4699999999999999E-5</v>
      </c>
      <c r="BI51" s="5">
        <v>1.9700000000000002E-6</v>
      </c>
      <c r="BJ51" s="5">
        <v>1.26E-5</v>
      </c>
      <c r="BK51" s="5">
        <v>4.9100000000000001E-5</v>
      </c>
      <c r="BL51" s="5">
        <v>4.9100000000000004E-6</v>
      </c>
      <c r="BM51" s="5">
        <v>3.54E-6</v>
      </c>
      <c r="BN51" s="5">
        <v>1.0200000000000001E-5</v>
      </c>
      <c r="BO51" s="5">
        <v>2.6199999999999999E-6</v>
      </c>
      <c r="BP51" s="5">
        <v>2.9200000000000002E-5</v>
      </c>
      <c r="BQ51" s="5">
        <v>8.8400000000000003E-7</v>
      </c>
      <c r="BR51" s="5">
        <v>7.2799999999999995E-7</v>
      </c>
      <c r="BS51" s="5">
        <v>3.12163307918877E-7</v>
      </c>
      <c r="BT51" s="5">
        <v>7.3399999999999995E-5</v>
      </c>
      <c r="BU51" s="5">
        <v>1.1399999999999999E-5</v>
      </c>
      <c r="BV51" s="5">
        <v>6.3600000000000001E-5</v>
      </c>
      <c r="BW51" s="5">
        <v>3.72E-6</v>
      </c>
      <c r="BX51" s="5">
        <v>2.6000000000000001E-6</v>
      </c>
      <c r="BY51" s="5">
        <v>7.1899999999999999E-5</v>
      </c>
      <c r="BZ51" s="5">
        <v>1.26E-5</v>
      </c>
      <c r="CA51" s="5">
        <v>1.18E-4</v>
      </c>
      <c r="CB51" s="5">
        <v>4.4299999999999999E-6</v>
      </c>
      <c r="CC51" s="5">
        <v>5.2E-7</v>
      </c>
      <c r="CD51" s="5">
        <v>8.3200000000000004E-7</v>
      </c>
      <c r="CE51" s="5">
        <v>9.1911690091351205E-5</v>
      </c>
      <c r="CF51" s="5">
        <v>1.26E-5</v>
      </c>
      <c r="CG51" s="5">
        <v>1.15E-4</v>
      </c>
      <c r="CH51" s="5">
        <v>4.8600000000000001E-6</v>
      </c>
      <c r="CI51" s="5">
        <v>6.2399999999999998E-7</v>
      </c>
      <c r="CJ51" s="5">
        <v>2.2900000000000001E-6</v>
      </c>
      <c r="CK51" s="5">
        <v>3.3299999999999998E-7</v>
      </c>
      <c r="CL51" s="5">
        <v>3.7200000000000003E-5</v>
      </c>
      <c r="CM51" s="5">
        <v>6.2799999999999995E-5</v>
      </c>
      <c r="CN51" s="5">
        <v>2.2999999999999999E-7</v>
      </c>
      <c r="CO51" s="5">
        <v>6.4400000000000004E-3</v>
      </c>
      <c r="CP51" s="5">
        <v>3.8755960324265E-7</v>
      </c>
      <c r="CQ51" s="5">
        <v>1.3479257941902999E-6</v>
      </c>
      <c r="CR51" s="5">
        <v>6.1912707962748903E-5</v>
      </c>
      <c r="CS51" s="5">
        <v>3.59925434425118E-6</v>
      </c>
      <c r="CT51" s="5">
        <v>3.8809031443019501E-7</v>
      </c>
      <c r="CU51" s="5">
        <v>1.5090050004407301E-6</v>
      </c>
      <c r="CV51" s="5">
        <v>2.76E-5</v>
      </c>
      <c r="CW51" s="5">
        <v>4.7699999999999999E-4</v>
      </c>
      <c r="CX51" s="5">
        <v>5.0699999999999996E-4</v>
      </c>
      <c r="CY51" s="5">
        <v>1.49E-5</v>
      </c>
      <c r="CZ51" s="5">
        <v>8.9299999999999992E-6</v>
      </c>
      <c r="DA51" s="5">
        <v>1.06E-3</v>
      </c>
      <c r="DB51" s="5">
        <v>1.5099999999999999E-6</v>
      </c>
      <c r="DC51" s="5">
        <v>2.2300000000000001E-8</v>
      </c>
      <c r="DD51" s="5">
        <v>1.55E-6</v>
      </c>
      <c r="DE51" s="5">
        <v>9.4199999999999995E-11</v>
      </c>
      <c r="DF51" s="5">
        <v>9.7827038868765506E-6</v>
      </c>
      <c r="DG51" s="5">
        <v>8.3243548778367303E-7</v>
      </c>
      <c r="DH51" s="5">
        <v>8.6199999999999996E-7</v>
      </c>
      <c r="DI51" s="5">
        <v>4.3E-3</v>
      </c>
      <c r="DJ51" s="5">
        <v>8.7700000000000007E-6</v>
      </c>
      <c r="DK51" s="5">
        <v>6.2700000000000006E-5</v>
      </c>
      <c r="DL51" s="5">
        <v>4.5300000000000001E-4</v>
      </c>
      <c r="DM51" s="5">
        <v>2.4000000000000001E-5</v>
      </c>
      <c r="DN51" s="5">
        <v>2.0400131777836802E-6</v>
      </c>
      <c r="DO51" s="5">
        <v>2.78932243498533E-7</v>
      </c>
      <c r="DP51" s="5">
        <v>1.6223338340790999E-5</v>
      </c>
      <c r="DQ51" s="5">
        <v>6.5099999999999999E-7</v>
      </c>
      <c r="DR51" s="5">
        <v>2.09E-5</v>
      </c>
      <c r="DS51" s="5">
        <v>2E-3</v>
      </c>
      <c r="DT51" s="5">
        <v>2.5800000000000001E-7</v>
      </c>
      <c r="DU51" s="5">
        <v>9.09E-5</v>
      </c>
      <c r="DV51" s="5">
        <v>7.3804640672217399E-5</v>
      </c>
      <c r="DW51" s="5">
        <v>6.2387075300353696E-6</v>
      </c>
      <c r="DX51" s="5">
        <v>2.0400131777836802E-6</v>
      </c>
      <c r="DY51" s="5">
        <v>7.9288401075613399E-6</v>
      </c>
      <c r="DZ51" s="5">
        <v>6.9200000000000002E-5</v>
      </c>
      <c r="EA51" s="5">
        <v>9.7699999999999995E-8</v>
      </c>
      <c r="EB51" s="5">
        <v>4.4200000000000003E-3</v>
      </c>
      <c r="EC51" s="5">
        <v>1.8699999999999999E-3</v>
      </c>
      <c r="ED51" s="5">
        <v>1.34E-4</v>
      </c>
      <c r="EE51" s="5">
        <v>8.2399296109851003E-5</v>
      </c>
      <c r="EF51" s="5">
        <v>8.5932207714104999E-4</v>
      </c>
      <c r="EG51" s="5">
        <v>4.9952421681358497E-5</v>
      </c>
      <c r="EH51" s="5">
        <v>3.96789382748746E-5</v>
      </c>
      <c r="EI51" s="5">
        <v>1.70496700340001E-3</v>
      </c>
      <c r="EJ51" s="5">
        <v>6.2432661583775398E-6</v>
      </c>
      <c r="EK51">
        <v>1.6556272019584199E-2</v>
      </c>
      <c r="EL51" s="5">
        <v>1.6199999999999999E-6</v>
      </c>
      <c r="EM51" s="5">
        <v>2.1699999999999999E-5</v>
      </c>
      <c r="EN51" s="5">
        <v>1.14E-3</v>
      </c>
      <c r="EO51" s="5">
        <v>8.9100000000000002E-7</v>
      </c>
      <c r="EP51" s="5">
        <v>5.1599999999999997E-4</v>
      </c>
      <c r="EQ51" s="5">
        <v>1.59804613357001E-5</v>
      </c>
      <c r="ER51" s="5">
        <v>1.00032330217767E-4</v>
      </c>
      <c r="ES51" s="5">
        <v>3.0453813018173998E-6</v>
      </c>
      <c r="ET51" s="5">
        <v>4.6499999999999996E-3</v>
      </c>
      <c r="EU51" s="5">
        <v>1.08E-4</v>
      </c>
      <c r="EV51" s="5">
        <v>1.7099999999999999E-5</v>
      </c>
      <c r="EW51" s="5">
        <v>2.2900000000000001E-4</v>
      </c>
      <c r="EX51" s="5">
        <v>2.4199999999999999E-5</v>
      </c>
      <c r="EY51" s="5">
        <v>1.5699999999999999E-4</v>
      </c>
      <c r="EZ51" s="5">
        <v>4.8982162384793095E-7</v>
      </c>
      <c r="FA51" s="5">
        <v>3.2227093207271299E-7</v>
      </c>
      <c r="FB51" s="5">
        <v>2.5621467959841202E-6</v>
      </c>
      <c r="FC51" s="5">
        <v>1.5815659845421499E-3</v>
      </c>
      <c r="FD51" s="5">
        <v>4.7650531374228102E-4</v>
      </c>
      <c r="FE51" s="5">
        <v>9.3050791193821696E-6</v>
      </c>
      <c r="FF51" s="5">
        <v>1.7614013552839201E-6</v>
      </c>
      <c r="FG51" s="5">
        <v>9.03115019656606E-7</v>
      </c>
      <c r="FH51" s="5">
        <v>2.6699999999999998E-4</v>
      </c>
      <c r="FI51" s="5">
        <v>3.1499999999999999E-6</v>
      </c>
      <c r="FJ51" s="5">
        <v>2.1299999999999999E-5</v>
      </c>
      <c r="FK51" s="5">
        <v>1.86E-7</v>
      </c>
      <c r="FL51" s="5">
        <v>1.1599999999999999E-6</v>
      </c>
      <c r="FM51" s="5">
        <v>1.9599999999999999E-6</v>
      </c>
      <c r="FN51" s="5">
        <v>1.25E-4</v>
      </c>
      <c r="FO51" s="5">
        <v>8.1799999999999996E-6</v>
      </c>
      <c r="FP51" s="5">
        <v>2.0999999999999999E-5</v>
      </c>
      <c r="FQ51" s="5">
        <v>2.0999999999999998E-6</v>
      </c>
      <c r="FR51" s="5">
        <v>6.6499999999999999E-6</v>
      </c>
      <c r="FS51" s="5">
        <v>2.9165519352580601E-5</v>
      </c>
      <c r="FT51" s="5">
        <v>4.0857050308162003E-7</v>
      </c>
      <c r="FU51" s="5">
        <v>3.5E-4</v>
      </c>
      <c r="FV51" s="5">
        <v>4.0999999999999999E-7</v>
      </c>
      <c r="FW51" s="5">
        <v>9.4199999999999995E-11</v>
      </c>
      <c r="FX51" s="5">
        <v>6.5000000000000002E-7</v>
      </c>
      <c r="FY51" s="5">
        <v>7.2799999999999995E-7</v>
      </c>
      <c r="FZ51" s="5">
        <v>3.0800000000000003E-5</v>
      </c>
      <c r="GA51" s="5">
        <v>2.8299999999999998E-7</v>
      </c>
      <c r="GB51" s="5">
        <v>2.2399999999999998E-3</v>
      </c>
      <c r="GC51" s="5">
        <v>3.2899999999999998E-6</v>
      </c>
      <c r="GD51" s="5">
        <v>6.3199999999999997E-8</v>
      </c>
      <c r="GE51" s="5">
        <v>4.0715609872312298E-5</v>
      </c>
      <c r="GF51" s="5">
        <v>4.9799999999999998E-5</v>
      </c>
      <c r="GG51" s="5">
        <v>8.3699999999999999E-7</v>
      </c>
      <c r="GH51" s="5">
        <v>3.4499999999999999E-3</v>
      </c>
      <c r="GI51" s="5">
        <v>3.2899999999999998E-6</v>
      </c>
      <c r="GJ51" s="5">
        <v>6.3199999999999997E-8</v>
      </c>
      <c r="GK51" s="5">
        <v>4.6207425753465001E-5</v>
      </c>
      <c r="GL51" s="5">
        <v>6.24326615837754E-7</v>
      </c>
      <c r="GM51" s="5">
        <v>2.7099999999999997E-4</v>
      </c>
      <c r="GN51" s="5">
        <v>8.6399999999999999E-5</v>
      </c>
      <c r="GO51" s="5">
        <v>8.6700000000000002E-7</v>
      </c>
      <c r="GP51" s="5">
        <v>5.0500000000000001E-5</v>
      </c>
      <c r="GQ51" s="5">
        <v>1.75E-6</v>
      </c>
      <c r="GR51" s="5">
        <v>1.20954599504476E-7</v>
      </c>
      <c r="GS51" s="5">
        <v>1.6889764554992299E-3</v>
      </c>
      <c r="GT51" s="5">
        <v>7.1585827102054898E-4</v>
      </c>
      <c r="GU51" s="5">
        <v>1.42663077443791E-6</v>
      </c>
      <c r="GV51" s="5">
        <v>2.5837306882843302E-6</v>
      </c>
      <c r="GW51" s="5">
        <v>1.7699999999999999E-4</v>
      </c>
      <c r="GX51" s="5">
        <v>1.2099999999999999E-5</v>
      </c>
      <c r="GY51" s="5">
        <v>2.4000000000000001E-5</v>
      </c>
      <c r="GZ51" s="5">
        <v>3.4999999999999998E-7</v>
      </c>
      <c r="HA51" s="5">
        <v>1.1599999999999999E-6</v>
      </c>
      <c r="HB51" s="5">
        <v>3.6799999999999999E-6</v>
      </c>
      <c r="HC51" s="5">
        <v>5.6099999999999998E-4</v>
      </c>
      <c r="HD51" s="5">
        <v>1.0100000000000001E-6</v>
      </c>
      <c r="HE51" s="5">
        <v>3.5199999999999998E-8</v>
      </c>
      <c r="HF51" s="5">
        <v>2.91E-7</v>
      </c>
      <c r="HG51" s="5">
        <v>6.9599999999999999E-7</v>
      </c>
      <c r="HH51" s="5">
        <v>5.9411842892046201E-4</v>
      </c>
      <c r="HI51" s="5">
        <v>1.4799999999999999E-4</v>
      </c>
      <c r="HJ51" s="5">
        <v>8.6700000000000002E-7</v>
      </c>
      <c r="HK51" s="5">
        <v>2.6699999999999998E-4</v>
      </c>
      <c r="HL51" s="5">
        <v>1.7499999999999999E-7</v>
      </c>
      <c r="HM51" s="5">
        <v>1.3200000000000001E-6</v>
      </c>
      <c r="HN51" s="5">
        <v>2.8799999999999999E-5</v>
      </c>
      <c r="HO51" s="5">
        <v>4.5400000000000003E-8</v>
      </c>
      <c r="HP51" s="5">
        <v>1.9599999999999999E-6</v>
      </c>
      <c r="HQ51" s="5">
        <v>5.5899999999999998E-8</v>
      </c>
      <c r="HR51" s="5">
        <v>3.4E-5</v>
      </c>
      <c r="HS51" s="5">
        <v>5.9499999999999997E-8</v>
      </c>
      <c r="HT51" s="5">
        <v>1.9599999999999999E-6</v>
      </c>
      <c r="HU51" s="5">
        <v>6.1000000000000004E-8</v>
      </c>
      <c r="HV51" s="5">
        <v>2.9100000000000001E-6</v>
      </c>
      <c r="HW51" s="5">
        <v>1.9599999999999999E-6</v>
      </c>
      <c r="HX51" s="5">
        <v>3.32E-8</v>
      </c>
      <c r="HY51">
        <v>4.63626353459799E-4</v>
      </c>
      <c r="HZ51" s="5">
        <v>2.3147214514141501E-4</v>
      </c>
      <c r="IA51">
        <v>0.71</v>
      </c>
      <c r="IB51" s="5"/>
      <c r="IC51">
        <v>3.4099999999999999E-4</v>
      </c>
      <c r="ID51">
        <f t="shared" si="5"/>
        <v>4.97</v>
      </c>
      <c r="IE51">
        <f t="shared" si="6"/>
        <v>0</v>
      </c>
      <c r="IF51">
        <f t="shared" si="7"/>
        <v>2.3869999999999998E-3</v>
      </c>
      <c r="IG51" s="5">
        <v>1.15E-5</v>
      </c>
      <c r="IH51" s="5">
        <v>6.9400000000000006E-5</v>
      </c>
      <c r="II51">
        <v>1.7100000000000001E-2</v>
      </c>
      <c r="IJ51" s="5">
        <v>5.6199999999999997E-5</v>
      </c>
      <c r="IK51" s="5">
        <v>6.72E-6</v>
      </c>
      <c r="IL51">
        <v>-0.17199999999999999</v>
      </c>
      <c r="IM51">
        <v>-1.67E-2</v>
      </c>
      <c r="IN51">
        <v>-3.3799999999999997E-2</v>
      </c>
      <c r="IO51">
        <v>-7.3999999999999999E-4</v>
      </c>
      <c r="IP51" s="5">
        <v>-5.8100000000000003E-6</v>
      </c>
      <c r="IQ51" s="5">
        <v>-7.3590263043250096E-5</v>
      </c>
      <c r="IR51" s="5">
        <v>1.7261588414662399E-6</v>
      </c>
      <c r="IS51" s="5">
        <v>1.04074030458629E-5</v>
      </c>
      <c r="IT51">
        <v>1.2265644286186801E-2</v>
      </c>
      <c r="IU51" s="5">
        <v>1.45000915330046E-5</v>
      </c>
      <c r="IV51" s="5">
        <v>6.0111637887869E-6</v>
      </c>
      <c r="IW51" s="5">
        <v>1.7099359806396002E-5</v>
      </c>
      <c r="IX51">
        <v>1.02997061259933E-4</v>
      </c>
      <c r="IY51" s="5">
        <v>1.56894391601212E-5</v>
      </c>
      <c r="IZ51" s="5">
        <v>8.6080757462671005E-6</v>
      </c>
      <c r="JA51">
        <f t="shared" si="4"/>
        <v>0.94687632248988218</v>
      </c>
    </row>
    <row r="52" spans="1:261" x14ac:dyDescent="0.3">
      <c r="A52" t="s">
        <v>161</v>
      </c>
      <c r="B52" s="5">
        <v>1.7199999999999999E-14</v>
      </c>
      <c r="C52" s="5">
        <v>-5.3499999999999998E-15</v>
      </c>
      <c r="D52" s="5">
        <v>1.62E-17</v>
      </c>
      <c r="E52">
        <v>3.1499999999999999E-15</v>
      </c>
      <c r="F52">
        <v>7.5300000000000005E-15</v>
      </c>
      <c r="G52">
        <v>-4.9099999999999997E-15</v>
      </c>
      <c r="H52">
        <v>6.5399999999999998E-16</v>
      </c>
      <c r="I52" s="5"/>
      <c r="J52" s="5">
        <v>-1.3699999999999999E-14</v>
      </c>
      <c r="K52" s="5">
        <v>1.6600000000000001E-17</v>
      </c>
      <c r="L52" s="5"/>
      <c r="M52" s="5">
        <v>-2.0599999999999999E-14</v>
      </c>
      <c r="N52" s="5">
        <v>2.6300000000000001E-15</v>
      </c>
      <c r="O52" s="5"/>
      <c r="P52" s="5">
        <v>-1.3699999999999999E-14</v>
      </c>
      <c r="Q52" s="5">
        <v>1.71E-17</v>
      </c>
      <c r="R52" s="5">
        <v>-9.32E-15</v>
      </c>
      <c r="S52" s="5"/>
      <c r="T52" s="5">
        <v>8.1299999999999997E-17</v>
      </c>
      <c r="U52" s="5">
        <v>-1.3699999999999999E-14</v>
      </c>
      <c r="V52" s="5"/>
      <c r="W52" s="5">
        <v>1.7E-15</v>
      </c>
      <c r="X52" s="5">
        <v>-1.3699999999999999E-14</v>
      </c>
      <c r="Y52" s="5"/>
      <c r="Z52" s="5">
        <v>1.02E-17</v>
      </c>
      <c r="AA52" s="5">
        <v>-1.3699999999999999E-14</v>
      </c>
      <c r="AB52" s="5"/>
      <c r="AC52" s="5">
        <v>4.8000000000000001E-16</v>
      </c>
      <c r="AD52" s="5">
        <v>1.4900000000000002E-14</v>
      </c>
      <c r="AE52" s="5">
        <v>1.56E-10</v>
      </c>
      <c r="AF52" s="5">
        <v>-5.5E-18</v>
      </c>
      <c r="AG52" s="5">
        <v>-1.3699999999999999E-14</v>
      </c>
      <c r="AI52" s="5">
        <v>1.6600000000000001E-17</v>
      </c>
      <c r="AJ52" s="5">
        <v>8.7400000000000003E-12</v>
      </c>
      <c r="AK52" s="5">
        <v>4.6400000000000004E-13</v>
      </c>
      <c r="AL52" s="5">
        <v>3.9199999999999998E-15</v>
      </c>
      <c r="AM52" s="5">
        <v>2.9500000000000001E-16</v>
      </c>
      <c r="AO52" s="5">
        <v>3.1300000000000001E-16</v>
      </c>
      <c r="AP52" s="5">
        <v>4.6300000000000005E-13</v>
      </c>
      <c r="AQ52" s="5">
        <v>2.6999999999999999E-14</v>
      </c>
      <c r="AR52" s="5">
        <v>5.0100000000000002E-14</v>
      </c>
      <c r="AS52" s="5">
        <v>8.23E-15</v>
      </c>
      <c r="AT52" s="5">
        <v>1.7688524374858601E-14</v>
      </c>
      <c r="AU52" s="5">
        <v>1.92569639025435E-12</v>
      </c>
      <c r="AV52" s="5">
        <v>1.2557925701782901E-16</v>
      </c>
      <c r="AW52" s="5">
        <v>-2.2389471018669501E-15</v>
      </c>
      <c r="AX52" s="5">
        <v>1.03624888105318E-16</v>
      </c>
      <c r="AY52" s="5">
        <v>3.81E-15</v>
      </c>
      <c r="AZ52" s="5">
        <v>2.7799999999999998E-16</v>
      </c>
      <c r="BA52" s="5">
        <v>5.2800000000000001E-12</v>
      </c>
      <c r="BC52" s="5">
        <v>-1.5499999999999999E-15</v>
      </c>
      <c r="BD52" s="5">
        <v>6.6700000000000004E-17</v>
      </c>
      <c r="BF52" s="5">
        <v>-1.1700000000000001E-15</v>
      </c>
      <c r="BG52" s="5">
        <v>1.24E-18</v>
      </c>
      <c r="BH52" s="5"/>
      <c r="BI52" s="5"/>
      <c r="BJ52" s="5">
        <v>-7.4600000000000005E-15</v>
      </c>
      <c r="BL52" s="5">
        <v>1.2699999999999999E-16</v>
      </c>
      <c r="BM52" s="5">
        <v>7.1100000000000002E-16</v>
      </c>
      <c r="BN52" s="5"/>
      <c r="BO52" s="5">
        <v>-1.5499999999999999E-15</v>
      </c>
      <c r="BP52" s="5"/>
      <c r="BQ52" s="5">
        <v>2.29E-17</v>
      </c>
      <c r="BR52" s="5">
        <v>1.4600000000000001E-16</v>
      </c>
      <c r="BS52" s="5">
        <v>6.2747890260512902E-17</v>
      </c>
      <c r="BT52" s="5"/>
      <c r="BU52" s="5">
        <v>-6.7600000000000002E-15</v>
      </c>
      <c r="BV52" s="5"/>
      <c r="BW52" s="5">
        <v>9.6599999999999994E-17</v>
      </c>
      <c r="BX52" s="5">
        <v>5.2300000000000002E-16</v>
      </c>
      <c r="BY52" s="5"/>
      <c r="BZ52" s="5">
        <v>-7.4600000000000005E-15</v>
      </c>
      <c r="CA52" s="5"/>
      <c r="CB52" s="5">
        <v>1.15E-16</v>
      </c>
      <c r="CC52" s="5">
        <v>1.0500000000000001E-16</v>
      </c>
      <c r="CD52" s="5">
        <v>1.67E-16</v>
      </c>
      <c r="CE52" s="5">
        <v>0</v>
      </c>
      <c r="CF52" s="5">
        <v>-7.4600000000000005E-15</v>
      </c>
      <c r="CG52" s="5"/>
      <c r="CH52" s="5">
        <v>1.26E-16</v>
      </c>
      <c r="CI52" s="5">
        <v>1.2500000000000001E-16</v>
      </c>
      <c r="CJ52" s="5">
        <v>4.5999999999999998E-16</v>
      </c>
      <c r="CK52" s="5">
        <v>2.55E-16</v>
      </c>
      <c r="CL52" s="5">
        <v>2.2800000000000001E-14</v>
      </c>
      <c r="CM52" s="5">
        <v>3.4300000000000003E-14</v>
      </c>
      <c r="CN52" s="5">
        <v>1.76E-16</v>
      </c>
      <c r="CO52" s="5"/>
      <c r="CP52" s="5">
        <v>5.7771842245322397E-13</v>
      </c>
      <c r="CQ52" s="5">
        <v>0</v>
      </c>
      <c r="CR52" s="5">
        <v>0</v>
      </c>
      <c r="CS52" s="5">
        <v>7.2997625410542202E-13</v>
      </c>
      <c r="CT52" s="5">
        <v>-1.9873230565051501E-15</v>
      </c>
      <c r="CU52" s="5">
        <v>3.9172123822956898E-17</v>
      </c>
      <c r="CV52" s="5">
        <v>2.4600000000000001E-15</v>
      </c>
      <c r="CW52" s="5">
        <v>4.9199999999999996E-10</v>
      </c>
      <c r="CX52" s="5">
        <v>-6.5800000000000002E-13</v>
      </c>
      <c r="CY52" s="5">
        <v>4.9499999999999997E-14</v>
      </c>
      <c r="CZ52" s="5">
        <v>2.3200000000000002E-16</v>
      </c>
      <c r="DA52" s="5">
        <v>5.7699999999999996E-13</v>
      </c>
      <c r="DB52" s="5">
        <v>1.15E-15</v>
      </c>
      <c r="DC52" s="5">
        <v>3.3300000000000001E-14</v>
      </c>
      <c r="DD52" s="5">
        <v>3.1400000000000003E-13</v>
      </c>
      <c r="DE52" s="5">
        <v>-4.8200000000000002E-19</v>
      </c>
      <c r="DF52" s="5">
        <v>2.5394832215143601E-16</v>
      </c>
      <c r="DG52" s="5">
        <v>1.6732770736136799E-16</v>
      </c>
      <c r="DH52" s="5">
        <v>6.5999999999999998E-16</v>
      </c>
      <c r="DI52" s="5">
        <v>2.5799999999999999E-12</v>
      </c>
      <c r="DJ52" s="5">
        <v>6.7200000000000003E-15</v>
      </c>
      <c r="DK52" s="5">
        <v>3.4100000000000001E-14</v>
      </c>
      <c r="DL52" s="5">
        <v>1.6499999999999999E-16</v>
      </c>
      <c r="DM52" s="5">
        <v>4.87E-12</v>
      </c>
      <c r="DN52" s="5">
        <v>-1.04484859886605E-14</v>
      </c>
      <c r="DO52" s="5">
        <v>5.6607146687135002E-16</v>
      </c>
      <c r="DP52" s="5">
        <v>4.2114016727683499E-16</v>
      </c>
      <c r="DQ52" s="5">
        <v>4.9900000000000002E-16</v>
      </c>
      <c r="DR52" s="5"/>
      <c r="DS52" s="5">
        <v>1.0300000000000001E-12</v>
      </c>
      <c r="DT52" s="5">
        <v>3.8499999999999998E-13</v>
      </c>
      <c r="DU52" s="5">
        <v>3.3E-17</v>
      </c>
      <c r="DV52" s="5">
        <v>0</v>
      </c>
      <c r="DW52" s="5">
        <v>1.26529217378273E-12</v>
      </c>
      <c r="DX52" s="5">
        <v>-1.04484859886605E-14</v>
      </c>
      <c r="DY52" s="5">
        <v>2.0582404059304499E-16</v>
      </c>
      <c r="DZ52" s="5">
        <v>-7.7499999999999997E-16</v>
      </c>
      <c r="EA52" s="5">
        <v>-1.09E-18</v>
      </c>
      <c r="EB52" s="5">
        <v>2.0499999999999999E-12</v>
      </c>
      <c r="EC52" s="5">
        <v>8.6099999999999997E-13</v>
      </c>
      <c r="ED52" s="5">
        <v>6.7000000000000005E-14</v>
      </c>
      <c r="EE52" s="5">
        <v>-9.2217183169634008E-16</v>
      </c>
      <c r="EF52" s="5">
        <v>-1.1990002684086799E-17</v>
      </c>
      <c r="EG52" s="5">
        <v>9.8467304104262802E-12</v>
      </c>
      <c r="EH52" s="5">
        <v>-2.33094533434802E-14</v>
      </c>
      <c r="EI52" s="5">
        <v>1.9218802233303401E-14</v>
      </c>
      <c r="EJ52" s="5">
        <v>1.25495780521026E-15</v>
      </c>
      <c r="EK52" s="5">
        <v>-2.3100738504674002E-16</v>
      </c>
      <c r="EL52" s="5">
        <v>1.44E-16</v>
      </c>
      <c r="EM52" s="5">
        <v>1.66E-14</v>
      </c>
      <c r="EN52" s="5">
        <v>6.7199999999999996E-13</v>
      </c>
      <c r="EO52" s="5">
        <v>7.2700000000000003E-17</v>
      </c>
      <c r="EP52" s="5">
        <v>1.8700000000000001E-16</v>
      </c>
      <c r="EQ52" s="5">
        <v>3.2410483363986499E-12</v>
      </c>
      <c r="ER52" s="5">
        <v>-1.3083411343594E-13</v>
      </c>
      <c r="ES52" s="5">
        <v>7.9054776762215595E-17</v>
      </c>
      <c r="ET52" s="5">
        <v>2.6799999999999999E-12</v>
      </c>
      <c r="EU52" s="5">
        <v>1.3E-14</v>
      </c>
      <c r="EV52" s="5">
        <v>1.3100000000000001E-14</v>
      </c>
      <c r="EW52" s="5">
        <v>8.3300000000000005E-17</v>
      </c>
      <c r="EX52" s="5"/>
      <c r="EY52" s="5">
        <v>3.1800000000000003E-11</v>
      </c>
      <c r="EZ52" s="5">
        <v>-1.8406968523184002E-15</v>
      </c>
      <c r="FA52" s="5">
        <v>0</v>
      </c>
      <c r="FB52" s="5">
        <v>6.6510536092040301E-17</v>
      </c>
      <c r="FC52" s="5">
        <v>1.00204373489612E-12</v>
      </c>
      <c r="FD52" s="5">
        <v>2.6412438628730399E-13</v>
      </c>
      <c r="FE52" s="5">
        <v>4.9467907150028201E-15</v>
      </c>
      <c r="FF52" s="5">
        <v>1.3498465311775101E-15</v>
      </c>
      <c r="FG52" s="5">
        <v>1.34798747317805E-12</v>
      </c>
      <c r="FH52" s="5">
        <v>9.7100000000000003E-17</v>
      </c>
      <c r="FI52" s="5"/>
      <c r="FJ52" s="5">
        <v>4.3200000000000002E-12</v>
      </c>
      <c r="FK52" s="5">
        <v>-9.5499999999999994E-16</v>
      </c>
      <c r="FL52" s="5">
        <v>9.8199999999999998E-17</v>
      </c>
      <c r="FM52" s="5">
        <v>5.0899999999999999E-17</v>
      </c>
      <c r="FN52" s="5">
        <v>6.6300000000000005E-14</v>
      </c>
      <c r="FO52" s="5">
        <v>4.3500000000000001E-15</v>
      </c>
      <c r="FP52" s="5">
        <v>-6.5900000000000004E-18</v>
      </c>
      <c r="FQ52" s="5">
        <v>4.26E-13</v>
      </c>
      <c r="FR52" s="5">
        <v>-4.0700000000000003E-15</v>
      </c>
      <c r="FS52" s="5">
        <v>0</v>
      </c>
      <c r="FT52" s="5">
        <v>1.0606044600545801E-17</v>
      </c>
      <c r="FU52" s="5">
        <v>1.7399999999999999E-13</v>
      </c>
      <c r="FV52" s="5">
        <v>3.1400000000000002E-16</v>
      </c>
      <c r="FW52" s="5">
        <v>-4.8200000000000002E-19</v>
      </c>
      <c r="FX52" s="5">
        <v>1.6900000000000001E-17</v>
      </c>
      <c r="FY52" s="5">
        <v>1.4600000000000001E-16</v>
      </c>
      <c r="FZ52" s="5">
        <v>1.5399999999999999E-14</v>
      </c>
      <c r="GA52" s="5">
        <v>1.4300000000000001E-16</v>
      </c>
      <c r="GB52" s="5"/>
      <c r="GC52" s="5"/>
      <c r="GD52" s="5">
        <v>-2.88E-16</v>
      </c>
      <c r="GE52" s="5">
        <v>4.6910223693301901E-16</v>
      </c>
      <c r="GF52" s="5">
        <v>2.49E-14</v>
      </c>
      <c r="GG52" s="5">
        <v>-5.3400000000000001E-18</v>
      </c>
      <c r="GH52" s="5"/>
      <c r="GI52" s="5"/>
      <c r="GJ52" s="5">
        <v>-2.88E-16</v>
      </c>
      <c r="GK52" s="5">
        <v>5.3100731961855599E-16</v>
      </c>
      <c r="GL52" s="5">
        <v>1.25495780521026E-16</v>
      </c>
      <c r="GM52" s="5">
        <v>1.48E-13</v>
      </c>
      <c r="GN52" s="5">
        <v>9.6800000000000002E-14</v>
      </c>
      <c r="GO52" s="5">
        <v>6.6499999999999996E-16</v>
      </c>
      <c r="GP52" s="5">
        <v>-6.64E-14</v>
      </c>
      <c r="GQ52" s="5">
        <v>4.5299999999999998E-17</v>
      </c>
      <c r="GR52" s="5">
        <v>9.2693324029356294E-17</v>
      </c>
      <c r="GS52" s="5">
        <v>1.2449570490229699E-12</v>
      </c>
      <c r="GT52" s="5">
        <v>3.8987293505356599E-13</v>
      </c>
      <c r="GU52" s="5">
        <v>1.0932957422617999E-15</v>
      </c>
      <c r="GV52" s="5">
        <v>3.8514561496881598E-12</v>
      </c>
      <c r="GW52" s="5">
        <v>6.4399999999999996E-17</v>
      </c>
      <c r="GX52" s="5"/>
      <c r="GY52" s="5">
        <v>4.87E-12</v>
      </c>
      <c r="GZ52" s="5">
        <v>-1.7899999999999999E-15</v>
      </c>
      <c r="HA52" s="5">
        <v>9.8199999999999998E-17</v>
      </c>
      <c r="HB52" s="5">
        <v>9.5600000000000003E-17</v>
      </c>
      <c r="HC52" s="5">
        <v>3.0600000000000001E-13</v>
      </c>
      <c r="HD52" s="5">
        <v>7.7200000000000002E-16</v>
      </c>
      <c r="HE52" s="5">
        <v>5.2499999999999997E-14</v>
      </c>
      <c r="HF52" s="5">
        <v>-1.49E-15</v>
      </c>
      <c r="HG52" s="5">
        <v>1.8100000000000001E-17</v>
      </c>
      <c r="HH52" s="5">
        <v>3.6967541773958598E-13</v>
      </c>
      <c r="HI52" s="5">
        <v>8.0600000000000005E-14</v>
      </c>
      <c r="HJ52" s="5">
        <v>6.6499999999999996E-16</v>
      </c>
      <c r="HK52" s="5">
        <v>9.7100000000000003E-17</v>
      </c>
      <c r="HL52" s="5">
        <v>-8.9599999999999997E-16</v>
      </c>
      <c r="HM52" s="5">
        <v>3.42E-17</v>
      </c>
      <c r="HN52" s="5">
        <v>1.5699999999999999E-14</v>
      </c>
      <c r="HO52" s="5">
        <v>3.48E-17</v>
      </c>
      <c r="HP52" s="5">
        <v>-1.1700000000000001E-15</v>
      </c>
      <c r="HQ52" s="5">
        <v>1.45E-18</v>
      </c>
      <c r="HR52" s="5">
        <v>1.8600000000000001E-14</v>
      </c>
      <c r="HS52" s="5">
        <v>7.1200000000000003E-17</v>
      </c>
      <c r="HT52" s="5">
        <v>-1.1700000000000001E-15</v>
      </c>
      <c r="HU52" s="5">
        <v>1.5800000000000001E-18</v>
      </c>
      <c r="HV52" s="5">
        <v>1.59E-15</v>
      </c>
      <c r="HW52" s="5">
        <v>-1.1700000000000001E-15</v>
      </c>
      <c r="HX52" s="5">
        <v>8.6299999999999995E-19</v>
      </c>
      <c r="HY52" s="5">
        <v>-1.23275801059059E-12</v>
      </c>
      <c r="HZ52" s="5">
        <v>6.0087644032966997E-15</v>
      </c>
      <c r="IA52" s="5">
        <v>8.01E-12</v>
      </c>
      <c r="IB52" s="5"/>
      <c r="ID52">
        <f t="shared" si="5"/>
        <v>5.607E-11</v>
      </c>
      <c r="IE52">
        <f t="shared" si="6"/>
        <v>0</v>
      </c>
      <c r="IF52">
        <f t="shared" si="7"/>
        <v>0</v>
      </c>
      <c r="IG52" s="5">
        <v>1.2500000000000001E-16</v>
      </c>
      <c r="IH52" s="5">
        <v>7.6700000000000004E-16</v>
      </c>
      <c r="II52" s="5">
        <v>3.13E-15</v>
      </c>
      <c r="IJ52" s="5">
        <v>2.33E-15</v>
      </c>
      <c r="IK52" s="5">
        <v>2.55E-16</v>
      </c>
      <c r="IL52" s="5">
        <v>-8.01E-12</v>
      </c>
      <c r="IM52" s="5">
        <v>-8.4799999999999994E-12</v>
      </c>
      <c r="IN52" s="5">
        <v>-1.15E-15</v>
      </c>
      <c r="IO52" s="5">
        <v>-3.29E-10</v>
      </c>
      <c r="IP52" s="5">
        <v>-2.2899999999999999E-14</v>
      </c>
      <c r="IQ52" s="5">
        <v>-1.93734725988418E-13</v>
      </c>
      <c r="IR52" s="5">
        <v>1.8786779871807601E-17</v>
      </c>
      <c r="IS52" s="5">
        <v>1.1512937867536599E-16</v>
      </c>
      <c r="IT52" s="5">
        <v>2.2545732080825802E-15</v>
      </c>
      <c r="IU52" s="5">
        <v>6.02017498054926E-16</v>
      </c>
      <c r="IV52" s="5">
        <v>2.2835188594995302E-16</v>
      </c>
      <c r="IW52">
        <v>0</v>
      </c>
      <c r="IX52">
        <v>0</v>
      </c>
      <c r="IY52" s="5">
        <v>3.8943272736435497E-15</v>
      </c>
      <c r="IZ52" s="5">
        <v>1.6339222873663201E-14</v>
      </c>
      <c r="JA52">
        <f t="shared" si="4"/>
        <v>7.5364410618439627E-10</v>
      </c>
    </row>
    <row r="53" spans="1:261" x14ac:dyDescent="0.3">
      <c r="A53" t="s">
        <v>162</v>
      </c>
      <c r="B53">
        <v>2.02E-4</v>
      </c>
      <c r="C53" s="5">
        <v>-1.5300000000000001E-8</v>
      </c>
      <c r="D53" s="5">
        <v>6.0900000000000001E-7</v>
      </c>
      <c r="E53">
        <v>3.9400000000000004E-6</v>
      </c>
      <c r="F53">
        <v>1.6500000000000001E-5</v>
      </c>
      <c r="G53">
        <v>-1.16E-8</v>
      </c>
      <c r="H53">
        <v>5.6799999999999998E-5</v>
      </c>
      <c r="I53" s="5"/>
      <c r="J53" s="5">
        <v>1.7499999999999999E-7</v>
      </c>
      <c r="K53" s="5">
        <v>6.2399999999999998E-7</v>
      </c>
      <c r="L53" s="5"/>
      <c r="M53" s="5">
        <v>2.6199999999999999E-7</v>
      </c>
      <c r="N53" s="5">
        <v>2.2900000000000001E-4</v>
      </c>
      <c r="O53" s="5"/>
      <c r="P53" s="5">
        <v>1.7499999999999999E-7</v>
      </c>
      <c r="Q53" s="5">
        <v>6.4199999999999995E-7</v>
      </c>
      <c r="R53" s="5">
        <v>2.11E-7</v>
      </c>
      <c r="S53" s="5">
        <v>2.7500000000000001E-5</v>
      </c>
      <c r="T53" s="5">
        <v>3.05E-6</v>
      </c>
      <c r="U53" s="5">
        <v>1.7499999999999999E-7</v>
      </c>
      <c r="V53" s="5"/>
      <c r="W53" s="5">
        <v>1.47E-4</v>
      </c>
      <c r="X53" s="5">
        <v>1.7499999999999999E-7</v>
      </c>
      <c r="Y53" s="5"/>
      <c r="Z53" s="5">
        <v>3.8099999999999998E-7</v>
      </c>
      <c r="AA53" s="5">
        <v>1.7499999999999999E-7</v>
      </c>
      <c r="AB53" s="5"/>
      <c r="AC53" s="5">
        <v>4.1699999999999997E-5</v>
      </c>
      <c r="AD53" s="5">
        <v>6.9399999999999996E-6</v>
      </c>
      <c r="AE53" s="5">
        <v>7.4399999999999998E-4</v>
      </c>
      <c r="AF53" s="5">
        <v>6.9799999999999994E-11</v>
      </c>
      <c r="AG53" s="5">
        <v>1.7499999999999999E-7</v>
      </c>
      <c r="AI53" s="5">
        <v>6.2399999999999998E-7</v>
      </c>
      <c r="AJ53" s="5">
        <v>4.5306599574582301E-5</v>
      </c>
      <c r="AK53" s="5">
        <v>2.40371148057405E-6</v>
      </c>
      <c r="AL53" s="5">
        <v>1.8456287217407001E-5</v>
      </c>
      <c r="AM53" s="5">
        <v>1.39167301888697E-6</v>
      </c>
      <c r="AN53">
        <v>0</v>
      </c>
      <c r="AO53" s="5">
        <v>1.4589293465767499E-7</v>
      </c>
      <c r="AP53">
        <v>1.87774229018423E-4</v>
      </c>
      <c r="AQ53" s="5">
        <v>1.25719277952994E-5</v>
      </c>
      <c r="AR53" s="5">
        <v>2.1249752099936199E-5</v>
      </c>
      <c r="AS53" s="5">
        <v>3.8364438372944099E-6</v>
      </c>
      <c r="AT53" s="5">
        <v>8.1939838975568498E-6</v>
      </c>
      <c r="AU53" s="5">
        <v>1.22249005767046E-6</v>
      </c>
      <c r="AV53" s="5">
        <v>5.6653656909612899E-6</v>
      </c>
      <c r="AW53" s="5">
        <v>2.1040044302366901E-7</v>
      </c>
      <c r="AX53" s="5">
        <v>3.8865749286795897E-6</v>
      </c>
      <c r="AY53" s="5">
        <v>1.6199999999999999E-6</v>
      </c>
      <c r="AZ53" s="5">
        <v>1.3E-7</v>
      </c>
      <c r="BA53" s="5">
        <v>1.4E-3</v>
      </c>
      <c r="BB53" s="5">
        <v>6.2999999999999998E-6</v>
      </c>
      <c r="BC53" s="5">
        <v>3.5199999999999998E-8</v>
      </c>
      <c r="BD53" s="5">
        <v>2.5000000000000002E-6</v>
      </c>
      <c r="BE53" s="5">
        <v>1.99E-6</v>
      </c>
      <c r="BF53" s="5">
        <v>2.6400000000000001E-8</v>
      </c>
      <c r="BG53" s="5">
        <v>4.6499999999999999E-8</v>
      </c>
      <c r="BH53" s="5">
        <v>7.4587415631566107E-5</v>
      </c>
      <c r="BI53" s="5">
        <v>1.0672242520395101E-6</v>
      </c>
      <c r="BJ53" s="5">
        <v>1.6879100403587E-7</v>
      </c>
      <c r="BK53" s="5">
        <v>0</v>
      </c>
      <c r="BL53" s="5">
        <v>4.7801220465012901E-6</v>
      </c>
      <c r="BM53" s="5">
        <v>2.81845363974502E-6</v>
      </c>
      <c r="BN53" s="5">
        <v>8.9801764093726397E-6</v>
      </c>
      <c r="BO53" s="5">
        <v>3.5164792577802497E-8</v>
      </c>
      <c r="BP53" s="5">
        <v>0</v>
      </c>
      <c r="BQ53" s="5">
        <v>8.6029016904071302E-7</v>
      </c>
      <c r="BR53" s="5">
        <v>5.8026986700632801E-7</v>
      </c>
      <c r="BS53" s="5">
        <v>2.4868708585985501E-7</v>
      </c>
      <c r="BT53" s="5">
        <v>6.4599999999999998E-5</v>
      </c>
      <c r="BU53" s="5">
        <v>1.5300000000000001E-7</v>
      </c>
      <c r="BV53" s="5"/>
      <c r="BW53" s="5">
        <v>3.6200000000000001E-6</v>
      </c>
      <c r="BX53" s="5">
        <v>2.0700000000000001E-6</v>
      </c>
      <c r="BY53" s="5">
        <v>6.3380749203340798E-5</v>
      </c>
      <c r="BZ53" s="5">
        <v>1.6879100403587E-7</v>
      </c>
      <c r="CA53" s="5">
        <v>0</v>
      </c>
      <c r="CB53" s="5">
        <v>4.31702712960124E-6</v>
      </c>
      <c r="CC53" s="5">
        <v>4.1447847643309199E-7</v>
      </c>
      <c r="CD53" s="5">
        <v>6.6316556229294695E-7</v>
      </c>
      <c r="CE53" s="5">
        <v>8.0970020352277296E-5</v>
      </c>
      <c r="CF53" s="5">
        <v>1.6879100403587E-7</v>
      </c>
      <c r="CG53" s="5">
        <v>0</v>
      </c>
      <c r="CH53" s="5">
        <v>4.7339922811697202E-6</v>
      </c>
      <c r="CI53" s="5">
        <v>4.9737417171971003E-7</v>
      </c>
      <c r="CJ53" s="5">
        <v>1.8237052963055999E-6</v>
      </c>
      <c r="CK53" s="5">
        <v>1.1887572453588299E-7</v>
      </c>
      <c r="CL53" s="5">
        <v>8.58977968978457E-6</v>
      </c>
      <c r="CM53" s="5">
        <v>1.45251470050197E-5</v>
      </c>
      <c r="CN53" s="5">
        <v>8.2123673263007694E-8</v>
      </c>
      <c r="CO53" s="5">
        <v>2.4672223043845799E-6</v>
      </c>
      <c r="CP53" s="5">
        <v>3.6684014608353499E-7</v>
      </c>
      <c r="CQ53" s="5">
        <v>1.1874613433881199E-6</v>
      </c>
      <c r="CR53" s="5">
        <v>3.3487766395077602E-5</v>
      </c>
      <c r="CS53" s="5">
        <v>3.4773822514257002E-6</v>
      </c>
      <c r="CT53" s="5">
        <v>1.8677898088022E-7</v>
      </c>
      <c r="CU53" s="5">
        <v>1.46919718937312E-6</v>
      </c>
      <c r="CV53" s="5">
        <v>6.0121382810211997E-8</v>
      </c>
      <c r="CW53" s="5">
        <v>3.76883317931E-4</v>
      </c>
      <c r="CX53" s="5">
        <v>-5.4728038528054799E-5</v>
      </c>
      <c r="CY53" s="5">
        <v>1.2438788357573701E-5</v>
      </c>
      <c r="CZ53" s="5">
        <v>8.6934837750582208E-6</v>
      </c>
      <c r="DA53" s="5">
        <v>2.4597409658609902E-4</v>
      </c>
      <c r="DB53" s="5">
        <v>5.3842544017298304E-7</v>
      </c>
      <c r="DC53" s="5">
        <v>2.1149077997699E-8</v>
      </c>
      <c r="DD53" s="5">
        <v>1.49405728432505E-6</v>
      </c>
      <c r="DE53" s="5">
        <v>4.53018380288576E-11</v>
      </c>
      <c r="DF53" s="5">
        <v>9.5246344782626592E-6</v>
      </c>
      <c r="DG53" s="5">
        <v>6.6316556229294695E-7</v>
      </c>
      <c r="DH53" s="5">
        <v>3.0799619538842498E-7</v>
      </c>
      <c r="DI53" s="5">
        <v>9.978681312199679E-4</v>
      </c>
      <c r="DJ53" s="5">
        <v>3.1339963741278301E-6</v>
      </c>
      <c r="DK53" s="5">
        <v>1.4354646244906299E-5</v>
      </c>
      <c r="DL53" s="5">
        <v>7.4316451712980004E-6</v>
      </c>
      <c r="DM53" s="5">
        <v>2.3182548342838E-5</v>
      </c>
      <c r="DN53" s="5">
        <v>9.8187048515932801E-7</v>
      </c>
      <c r="DO53" s="5">
        <v>2.1732756563971299E-7</v>
      </c>
      <c r="DP53" s="5">
        <v>1.57953638891706E-5</v>
      </c>
      <c r="DQ53" s="5">
        <v>2.3275920898546199E-7</v>
      </c>
      <c r="DR53" s="5">
        <v>1.1306808291878099E-5</v>
      </c>
      <c r="DS53" s="5">
        <v>4.7719540122043001E-4</v>
      </c>
      <c r="DT53" s="5">
        <v>2.4456009738902301E-7</v>
      </c>
      <c r="DU53" s="5">
        <v>1.4896468727305499E-6</v>
      </c>
      <c r="DV53" s="5">
        <v>3.9919955806018502E-5</v>
      </c>
      <c r="DW53" s="5">
        <v>6.0274625691378702E-6</v>
      </c>
      <c r="DX53" s="5">
        <v>9.8187048515932801E-7</v>
      </c>
      <c r="DY53" s="5">
        <v>7.7196759438276897E-6</v>
      </c>
      <c r="DZ53" s="5">
        <v>5.6231505914748101E-6</v>
      </c>
      <c r="EA53" s="5">
        <v>7.9366980825332508E-9</v>
      </c>
      <c r="EB53" s="5">
        <v>1.06470735564619E-3</v>
      </c>
      <c r="EC53" s="5">
        <v>4.3948710875653802E-4</v>
      </c>
      <c r="ED53" s="5">
        <v>3.1295874612028903E-5</v>
      </c>
      <c r="EE53" s="5">
        <v>6.6946048326167899E-6</v>
      </c>
      <c r="EF53" s="5">
        <v>1.41140214604711E-5</v>
      </c>
      <c r="EG53" s="5">
        <v>4.7653619226098599E-5</v>
      </c>
      <c r="EH53" s="5">
        <v>5.2747188761209302E-7</v>
      </c>
      <c r="EI53" s="5">
        <v>1.6708266332926399E-3</v>
      </c>
      <c r="EJ53" s="5">
        <v>4.9737417171971003E-6</v>
      </c>
      <c r="EK53">
        <v>2.71930146805076E-4</v>
      </c>
      <c r="EL53" s="5">
        <v>3.51516149495186E-9</v>
      </c>
      <c r="EM53" s="5">
        <v>7.7412255462150894E-6</v>
      </c>
      <c r="EN53" s="5">
        <v>2.7299818564243398E-4</v>
      </c>
      <c r="EO53" s="5">
        <v>6.3931901446938903E-7</v>
      </c>
      <c r="EP53" s="5">
        <v>8.4510979920416992E-6</v>
      </c>
      <c r="EQ53" s="5">
        <v>1.5439356962120801E-5</v>
      </c>
      <c r="ER53" s="5">
        <v>-1.09629087835246E-5</v>
      </c>
      <c r="ES53" s="5">
        <v>2.9650436200627501E-6</v>
      </c>
      <c r="ET53" s="5">
        <v>1.11931409377057E-3</v>
      </c>
      <c r="EU53" s="5">
        <v>5.90787113408592E-6</v>
      </c>
      <c r="EV53" s="5">
        <v>6.1220998135979903E-6</v>
      </c>
      <c r="EW53" s="5">
        <v>3.7560435520185298E-6</v>
      </c>
      <c r="EX53" s="5">
        <v>1.3095130011511799E-5</v>
      </c>
      <c r="EY53" s="5">
        <v>1.5126612793701799E-4</v>
      </c>
      <c r="EZ53" s="5">
        <v>3.2647670049622799E-7</v>
      </c>
      <c r="FA53" s="5">
        <v>0</v>
      </c>
      <c r="FB53" s="5">
        <v>2.4945569234838802E-6</v>
      </c>
      <c r="FC53" s="5">
        <v>3.7613190209195998E-4</v>
      </c>
      <c r="FD53" s="5">
        <v>1.1517126278699101E-4</v>
      </c>
      <c r="FE53" s="5">
        <v>2.2915378696557302E-6</v>
      </c>
      <c r="FF53" s="5">
        <v>6.2950099583774499E-7</v>
      </c>
      <c r="FG53" s="5">
        <v>8.5574304036932296E-7</v>
      </c>
      <c r="FH53" s="5">
        <v>4.3820508106882897E-6</v>
      </c>
      <c r="FI53" s="5">
        <v>1.70179002352246E-6</v>
      </c>
      <c r="FJ53" s="5">
        <v>2.05745116542687E-5</v>
      </c>
      <c r="FK53" s="5">
        <v>8.9767574156789905E-8</v>
      </c>
      <c r="FL53" s="5">
        <v>1.11732107944102E-6</v>
      </c>
      <c r="FM53" s="5">
        <v>1.9079858047241699E-6</v>
      </c>
      <c r="FN53" s="5">
        <v>3.0727439615838198E-5</v>
      </c>
      <c r="FO53" s="5">
        <v>2.0137757036368499E-6</v>
      </c>
      <c r="FP53" s="5">
        <v>3.3736204742642202E-7</v>
      </c>
      <c r="FQ53" s="5">
        <v>2.0285816302444499E-6</v>
      </c>
      <c r="FR53" s="5">
        <v>9.2131756439908502E-8</v>
      </c>
      <c r="FS53" s="5">
        <v>0</v>
      </c>
      <c r="FT53" s="5">
        <v>3.9779234304257399E-7</v>
      </c>
      <c r="FU53" s="5">
        <v>1.10824118135112E-4</v>
      </c>
      <c r="FV53" s="5">
        <v>1.4638788994710599E-7</v>
      </c>
      <c r="FW53" s="5">
        <v>4.53018380288576E-11</v>
      </c>
      <c r="FX53" s="5">
        <v>6.3270015220561102E-7</v>
      </c>
      <c r="FY53" s="5">
        <v>5.8026986700632801E-7</v>
      </c>
      <c r="FZ53" s="5">
        <v>7.1751561771350002E-6</v>
      </c>
      <c r="GA53" s="5">
        <v>7.0081833513642601E-8</v>
      </c>
      <c r="GB53" s="5">
        <v>8.5912205241963199E-7</v>
      </c>
      <c r="GC53" s="5">
        <v>2.8944370245085402E-6</v>
      </c>
      <c r="GD53" s="5">
        <v>2.3938277305137099E-8</v>
      </c>
      <c r="GE53" s="5">
        <v>3.9895926863377901E-5</v>
      </c>
      <c r="GF53" s="5">
        <v>1.1616372672587101E-5</v>
      </c>
      <c r="GG53" s="5">
        <v>7.7635705286349305E-8</v>
      </c>
      <c r="GH53" s="5">
        <v>1.32172623449174E-6</v>
      </c>
      <c r="GI53" s="5">
        <v>2.8944370245085402E-6</v>
      </c>
      <c r="GJ53" s="5">
        <v>2.3938277305137099E-8</v>
      </c>
      <c r="GK53" s="5">
        <v>4.5277774266331198E-5</v>
      </c>
      <c r="GL53" s="5">
        <v>4.9737417171971003E-7</v>
      </c>
      <c r="GM53" s="5">
        <v>6.2606073433672896E-5</v>
      </c>
      <c r="GN53" s="5">
        <v>2.2866012289112301E-5</v>
      </c>
      <c r="GO53" s="5">
        <v>3.0994143451719402E-7</v>
      </c>
      <c r="GP53" s="5">
        <v>-5.4788699348811402E-6</v>
      </c>
      <c r="GQ53" s="5">
        <v>1.69931671291906E-6</v>
      </c>
      <c r="GR53" s="5">
        <v>4.3227536194866599E-8</v>
      </c>
      <c r="GS53" s="5">
        <v>4.00155793756433E-4</v>
      </c>
      <c r="GT53" s="5">
        <v>1.66214951110841E-4</v>
      </c>
      <c r="GU53" s="5">
        <v>5.0985852287860597E-7</v>
      </c>
      <c r="GV53" s="5">
        <v>2.4456009738902299E-6</v>
      </c>
      <c r="GW53" s="5">
        <v>2.9046736802276699E-6</v>
      </c>
      <c r="GX53" s="5">
        <v>6.5187211070521497E-6</v>
      </c>
      <c r="GY53" s="5">
        <v>2.3182548342838E-5</v>
      </c>
      <c r="GZ53" s="5">
        <v>1.6830879791580001E-7</v>
      </c>
      <c r="HA53" s="5">
        <v>1.11732107944102E-6</v>
      </c>
      <c r="HB53" s="5">
        <v>3.5857056678305799E-6</v>
      </c>
      <c r="HC53" s="5">
        <v>1.29650386229991E-4</v>
      </c>
      <c r="HD53" s="5">
        <v>3.6010861130394401E-7</v>
      </c>
      <c r="HE53" s="5">
        <v>3.3312854071520102E-8</v>
      </c>
      <c r="HF53" s="5">
        <v>1.4023870214625101E-7</v>
      </c>
      <c r="HG53" s="5">
        <v>6.7770060696395702E-7</v>
      </c>
      <c r="HH53" s="5">
        <v>1.2999806795375101E-4</v>
      </c>
      <c r="HI53" s="5">
        <v>3.4055256892085802E-5</v>
      </c>
      <c r="HJ53" s="5">
        <v>3.0994143451719402E-7</v>
      </c>
      <c r="HK53" s="5">
        <v>4.3820508106882897E-6</v>
      </c>
      <c r="HL53" s="5">
        <v>8.4154398957900204E-8</v>
      </c>
      <c r="HM53" s="5">
        <v>1.2820071257694399E-6</v>
      </c>
      <c r="HN53" s="5">
        <v>6.6599999999999998E-6</v>
      </c>
      <c r="HO53" s="5">
        <v>1.6199999999999999E-8</v>
      </c>
      <c r="HP53" s="5">
        <v>2.6400000000000001E-8</v>
      </c>
      <c r="HQ53" s="5">
        <v>5.4399999999999997E-8</v>
      </c>
      <c r="HR53" s="5">
        <v>7.8699999999999992E-6</v>
      </c>
      <c r="HS53" s="5">
        <v>3.2999999999999998E-8</v>
      </c>
      <c r="HT53" s="5">
        <v>2.6400000000000001E-8</v>
      </c>
      <c r="HU53" s="5">
        <v>5.9400000000000003E-8</v>
      </c>
      <c r="HV53" s="5">
        <v>6.7199999999999998E-7</v>
      </c>
      <c r="HW53" s="5">
        <v>2.6400000000000001E-8</v>
      </c>
      <c r="HX53" s="5">
        <v>3.2399999999999999E-8</v>
      </c>
      <c r="HY53" s="5">
        <v>2.2155266324759299E-4</v>
      </c>
      <c r="HZ53" s="5">
        <v>2.2536587019964099E-4</v>
      </c>
      <c r="IA53" s="5">
        <v>0.69599999999999995</v>
      </c>
      <c r="IB53" s="5"/>
      <c r="ID53">
        <f t="shared" si="5"/>
        <v>4.8719999999999999</v>
      </c>
      <c r="IE53">
        <f t="shared" si="6"/>
        <v>0</v>
      </c>
      <c r="IF53">
        <f t="shared" si="7"/>
        <v>0</v>
      </c>
      <c r="IG53" s="5">
        <v>1.1199999999999999E-5</v>
      </c>
      <c r="IH53" s="5">
        <v>6.7299999999999996E-5</v>
      </c>
      <c r="II53">
        <v>1.7000000000000001E-2</v>
      </c>
      <c r="IJ53" s="5">
        <v>5.1799999999999999E-5</v>
      </c>
      <c r="IK53" s="5">
        <v>5.4700000000000001E-6</v>
      </c>
      <c r="IL53">
        <v>-4.91270005509367E-3</v>
      </c>
      <c r="IM53">
        <v>-4.0624376914808703E-3</v>
      </c>
      <c r="IN53">
        <v>-7.0692272584824904E-5</v>
      </c>
      <c r="IO53">
        <v>-6.6343373515629299E-4</v>
      </c>
      <c r="IP53" s="5">
        <v>1.4350544600528801E-6</v>
      </c>
      <c r="IQ53" s="5">
        <v>-1.15900980321272E-5</v>
      </c>
      <c r="IR53" s="5">
        <v>1.6757155235165399E-6</v>
      </c>
      <c r="IS53" s="5">
        <v>1.01028674950482E-5</v>
      </c>
      <c r="IT53">
        <v>1.22325843643261E-2</v>
      </c>
      <c r="IU53" s="5">
        <v>1.3353920351738901E-5</v>
      </c>
      <c r="IV53" s="5">
        <v>4.8932042628418902E-6</v>
      </c>
      <c r="IW53" s="5">
        <v>3.4561920297337201E-6</v>
      </c>
      <c r="IX53" s="5">
        <v>2.0818184203564301E-5</v>
      </c>
      <c r="IY53" s="5">
        <v>3.2388482685357699E-6</v>
      </c>
      <c r="IZ53" s="5">
        <v>2.1471065043908299E-6</v>
      </c>
      <c r="JA53">
        <f t="shared" si="4"/>
        <v>0.7092002691213678</v>
      </c>
    </row>
    <row r="54" spans="1:261" x14ac:dyDescent="0.3">
      <c r="A54" t="s">
        <v>163</v>
      </c>
      <c r="B54">
        <v>7.6329005154379697E-5</v>
      </c>
      <c r="C54" s="5">
        <v>5.58063971930616E-7</v>
      </c>
      <c r="D54" s="5">
        <v>1.6498459108087499E-8</v>
      </c>
      <c r="E54">
        <v>7.0136204479553001E-6</v>
      </c>
      <c r="F54">
        <v>5.8119215680283397E-6</v>
      </c>
      <c r="G54">
        <v>4.9903577268908996E-7</v>
      </c>
      <c r="H54">
        <v>1.1609059438176901E-6</v>
      </c>
      <c r="I54" s="5">
        <v>0</v>
      </c>
      <c r="J54" s="5">
        <v>2.6810178756876102E-7</v>
      </c>
      <c r="K54" s="5">
        <v>1.6901830525675099E-8</v>
      </c>
      <c r="L54" s="5">
        <v>0</v>
      </c>
      <c r="M54" s="5">
        <v>4.0215268135314198E-7</v>
      </c>
      <c r="N54" s="5">
        <v>4.6736947732773798E-6</v>
      </c>
      <c r="O54" s="5">
        <v>0</v>
      </c>
      <c r="P54" s="5">
        <v>2.6810178756876102E-7</v>
      </c>
      <c r="Q54" s="5">
        <v>1.73847399692658E-8</v>
      </c>
      <c r="R54" s="5">
        <v>-3.2218020484650502E-7</v>
      </c>
      <c r="S54" s="5">
        <v>7.18924014753132E-2</v>
      </c>
      <c r="T54" s="5">
        <v>8.2649207292416695E-8</v>
      </c>
      <c r="U54" s="5">
        <v>2.6810178756876102E-7</v>
      </c>
      <c r="V54" s="5">
        <v>0</v>
      </c>
      <c r="W54" s="5">
        <v>3.0129543406893901E-6</v>
      </c>
      <c r="X54" s="5">
        <v>2.6810178756876102E-7</v>
      </c>
      <c r="Y54" s="5">
        <v>0</v>
      </c>
      <c r="Z54" s="5">
        <v>1.03342620928413E-8</v>
      </c>
      <c r="AA54" s="5">
        <v>2.6810178756876102E-7</v>
      </c>
      <c r="AB54" s="5">
        <v>0</v>
      </c>
      <c r="AC54" s="5">
        <v>8.5281577593628604E-7</v>
      </c>
      <c r="AD54" s="5">
        <v>1.24751936463149E-5</v>
      </c>
      <c r="AE54" s="5">
        <v>2.6080471649734101E-5</v>
      </c>
      <c r="AF54" s="5">
        <v>1.07240715027505E-10</v>
      </c>
      <c r="AG54" s="5">
        <v>2.6810178756876102E-7</v>
      </c>
      <c r="AH54">
        <v>0</v>
      </c>
      <c r="AI54" s="5">
        <v>1.6901830525675099E-8</v>
      </c>
      <c r="AJ54">
        <v>2.1219829416913201E-4</v>
      </c>
      <c r="AK54" s="5">
        <v>1.12580392402419E-5</v>
      </c>
      <c r="AL54" s="5">
        <v>6.3361933661318999E-5</v>
      </c>
      <c r="AM54" s="5">
        <v>4.7777265525970801E-6</v>
      </c>
      <c r="AN54">
        <v>0</v>
      </c>
      <c r="AO54" s="5">
        <v>2.6232883835708999E-7</v>
      </c>
      <c r="AP54">
        <v>5.7842102787501997E-4</v>
      </c>
      <c r="AQ54" s="5">
        <v>3.82709261746946E-5</v>
      </c>
      <c r="AR54" s="5">
        <v>7.0664030946227704E-5</v>
      </c>
      <c r="AS54" s="5">
        <v>6.8982768605012504E-6</v>
      </c>
      <c r="AT54" s="5">
        <v>2.5078723238909099E-5</v>
      </c>
      <c r="AU54" s="5">
        <v>6.7672330428300004E-8</v>
      </c>
      <c r="AV54">
        <v>3.3995055842475701E-4</v>
      </c>
      <c r="AW54" s="5">
        <v>1.5927515556256901E-7</v>
      </c>
      <c r="AX54" s="5">
        <v>1.05306518027543E-7</v>
      </c>
      <c r="AY54" s="5">
        <v>5.3700000000000003E-6</v>
      </c>
      <c r="AZ54" s="5">
        <v>2.3300000000000001E-7</v>
      </c>
      <c r="BA54" s="5">
        <v>7.7599999999999993E-8</v>
      </c>
      <c r="BB54" s="5">
        <v>1.7600000000000001E-5</v>
      </c>
      <c r="BC54" s="5">
        <v>-5.3699999999999998E-8</v>
      </c>
      <c r="BD54" s="5">
        <v>6.7799999999999998E-8</v>
      </c>
      <c r="BE54" s="5">
        <v>8.9565116442392299E-7</v>
      </c>
      <c r="BF54" s="5">
        <v>-4.0272525605813201E-8</v>
      </c>
      <c r="BG54" s="5">
        <v>1.2596226158870501E-9</v>
      </c>
      <c r="BH54" s="5">
        <v>1.00791733160122E-5</v>
      </c>
      <c r="BI54" s="5">
        <v>4.80276711357756E-7</v>
      </c>
      <c r="BJ54" s="5">
        <v>-2.5774416387720399E-7</v>
      </c>
      <c r="BK54" s="5">
        <v>0</v>
      </c>
      <c r="BL54" s="5">
        <v>1.2951712438353999E-7</v>
      </c>
      <c r="BM54" s="5">
        <v>7.19397182624442E-7</v>
      </c>
      <c r="BN54" s="5">
        <v>1.21351240919152E-6</v>
      </c>
      <c r="BO54" s="5">
        <v>-5.3696700915144301E-8</v>
      </c>
      <c r="BP54" s="5">
        <v>0</v>
      </c>
      <c r="BQ54" s="5">
        <v>2.33095112939922E-8</v>
      </c>
      <c r="BR54" s="5">
        <v>1.48111184657974E-7</v>
      </c>
      <c r="BS54" s="5">
        <v>6.3476221996274395E-8</v>
      </c>
      <c r="BT54" s="5">
        <v>8.7399999999999993E-6</v>
      </c>
      <c r="BU54" s="5">
        <v>-2.34E-7</v>
      </c>
      <c r="BV54" s="5"/>
      <c r="BW54" s="5">
        <v>9.8200000000000006E-8</v>
      </c>
      <c r="BX54" s="5">
        <v>5.2900000000000004E-7</v>
      </c>
      <c r="BY54" s="5">
        <v>8.5647900615666108E-6</v>
      </c>
      <c r="BZ54" s="5">
        <v>-2.5774416387720399E-7</v>
      </c>
      <c r="CA54" s="5">
        <v>0</v>
      </c>
      <c r="CB54" s="5">
        <v>1.16969594975284E-7</v>
      </c>
      <c r="CC54" s="5">
        <v>1.05793703327124E-7</v>
      </c>
      <c r="CD54" s="5">
        <v>1.69269925323398E-7</v>
      </c>
      <c r="CE54" s="5">
        <v>1.0941669739074E-5</v>
      </c>
      <c r="CF54" s="5">
        <v>-2.5774416387720399E-7</v>
      </c>
      <c r="CG54" s="5">
        <v>0</v>
      </c>
      <c r="CH54" s="5">
        <v>1.2826724111777601E-7</v>
      </c>
      <c r="CI54" s="5">
        <v>1.26952443992549E-7</v>
      </c>
      <c r="CJ54" s="5">
        <v>4.65492294639345E-7</v>
      </c>
      <c r="CK54" s="5">
        <v>2.1374942384651799E-7</v>
      </c>
      <c r="CL54" s="5">
        <v>2.6565447570112601E-5</v>
      </c>
      <c r="CM54" s="5">
        <v>4.8301995836661997E-5</v>
      </c>
      <c r="CN54" s="5">
        <v>1.4766587469949599E-7</v>
      </c>
      <c r="CO54" s="5">
        <v>6.4415591721880602E-3</v>
      </c>
      <c r="CP54" s="5">
        <v>2.0718879440691999E-8</v>
      </c>
      <c r="CQ54" s="5">
        <v>1.6046445080218501E-7</v>
      </c>
      <c r="CR54" s="5">
        <v>1.50703043753069E-5</v>
      </c>
      <c r="CS54" s="5">
        <v>1.21871362849225E-7</v>
      </c>
      <c r="CT54" s="5">
        <v>1.41375960153266E-7</v>
      </c>
      <c r="CU54" s="5">
        <v>3.9807811028436502E-8</v>
      </c>
      <c r="CV54" s="5">
        <v>2.7562169961207598E-5</v>
      </c>
      <c r="CW54" s="5">
        <v>7.0813539677564994E-5</v>
      </c>
      <c r="CX54" s="5">
        <v>-9.2238840167143898E-5</v>
      </c>
      <c r="CY54" s="5">
        <v>2.45518266471415E-6</v>
      </c>
      <c r="CZ54" s="5">
        <v>2.3554942917087699E-7</v>
      </c>
      <c r="DA54" s="5">
        <v>8.1339265244733099E-4</v>
      </c>
      <c r="DB54" s="5">
        <v>9.6813818019290403E-7</v>
      </c>
      <c r="DC54" s="5">
        <v>1.1707313164095899E-9</v>
      </c>
      <c r="DD54" s="5">
        <v>5.2362031048169403E-8</v>
      </c>
      <c r="DE54" s="5">
        <v>3.4269112688256501E-11</v>
      </c>
      <c r="DF54" s="5">
        <v>2.58069408359942E-7</v>
      </c>
      <c r="DG54" s="5">
        <v>1.69269925323398E-7</v>
      </c>
      <c r="DH54" s="5">
        <v>5.5380532542052395E-7</v>
      </c>
      <c r="DI54" s="5">
        <v>3.0817058538691001E-3</v>
      </c>
      <c r="DJ54" s="5">
        <v>5.6352120832263803E-6</v>
      </c>
      <c r="DK54" s="5">
        <v>4.8323182252650198E-5</v>
      </c>
      <c r="DL54" s="5">
        <v>4.4593624909828802E-4</v>
      </c>
      <c r="DM54" s="5">
        <v>8.12475752328165E-7</v>
      </c>
      <c r="DN54" s="5">
        <v>7.4328219772205297E-7</v>
      </c>
      <c r="DO54" s="5">
        <v>6.1604677292748398E-8</v>
      </c>
      <c r="DP54" s="5">
        <v>4.2797445119928402E-7</v>
      </c>
      <c r="DQ54" s="5">
        <v>4.18522343479772E-7</v>
      </c>
      <c r="DR54" s="5">
        <v>5.0883370500605497E-6</v>
      </c>
      <c r="DS54" s="5">
        <v>1.46051683133715E-3</v>
      </c>
      <c r="DT54" s="5">
        <v>1.3812586293794699E-8</v>
      </c>
      <c r="DU54" s="5">
        <v>8.93863368870222E-5</v>
      </c>
      <c r="DV54" s="5">
        <v>1.7964945095111701E-5</v>
      </c>
      <c r="DW54" s="5">
        <v>2.11243695605323E-7</v>
      </c>
      <c r="DX54" s="5">
        <v>7.4328219772205297E-7</v>
      </c>
      <c r="DY54" s="5">
        <v>2.09164163527825E-7</v>
      </c>
      <c r="DZ54" s="5">
        <v>6.3588350646797597E-5</v>
      </c>
      <c r="EA54" s="5">
        <v>8.9750671343398094E-8</v>
      </c>
      <c r="EB54" s="5">
        <v>3.1869467121709801E-3</v>
      </c>
      <c r="EC54" s="5">
        <v>1.3218568989255099E-3</v>
      </c>
      <c r="ED54" s="5">
        <v>1.02886532985328E-4</v>
      </c>
      <c r="EE54" s="5">
        <v>7.57046912781564E-5</v>
      </c>
      <c r="EF54" s="5">
        <v>8.4520805568059096E-4</v>
      </c>
      <c r="EG54" s="5">
        <v>2.29879260852945E-6</v>
      </c>
      <c r="EH54" s="5">
        <v>-8.0545051211626396E-7</v>
      </c>
      <c r="EI54" s="5">
        <v>3.4140370088148002E-5</v>
      </c>
      <c r="EJ54" s="5">
        <v>1.2695244399254899E-6</v>
      </c>
      <c r="EK54">
        <v>1.6284341872779402E-2</v>
      </c>
      <c r="EL54" s="5">
        <v>1.61149784047383E-6</v>
      </c>
      <c r="EM54" s="5">
        <v>1.39194314636539E-5</v>
      </c>
      <c r="EN54" s="5">
        <v>8.4083542800142896E-4</v>
      </c>
      <c r="EO54" s="5">
        <v>2.5142659679442999E-7</v>
      </c>
      <c r="EP54" s="5">
        <v>5.0710856781593504E-4</v>
      </c>
      <c r="EQ54" s="5">
        <v>5.4110113253091101E-7</v>
      </c>
      <c r="ER54" s="5">
        <v>-1.84213492566314E-5</v>
      </c>
      <c r="ES54" s="5">
        <v>8.0337681675590007E-8</v>
      </c>
      <c r="ET54" s="5">
        <v>3.4428660120091798E-3</v>
      </c>
      <c r="EU54" s="5">
        <v>1.8096395621941E-5</v>
      </c>
      <c r="EV54" s="5">
        <v>1.10080953280957E-5</v>
      </c>
      <c r="EW54" s="5">
        <v>2.25381585695971E-4</v>
      </c>
      <c r="EX54" s="5">
        <v>5.8931250528762499E-6</v>
      </c>
      <c r="EY54" s="5">
        <v>5.3014042839412799E-6</v>
      </c>
      <c r="EZ54" s="5">
        <v>1.6334492519239901E-7</v>
      </c>
      <c r="FA54" s="5">
        <v>0</v>
      </c>
      <c r="FB54" s="5">
        <v>6.7589872433730206E-8</v>
      </c>
      <c r="FC54" s="5">
        <v>1.16340815055158E-3</v>
      </c>
      <c r="FD54" s="5">
        <v>3.5349189133726202E-4</v>
      </c>
      <c r="FE54" s="5">
        <v>7.0135412447796497E-6</v>
      </c>
      <c r="FF54" s="5">
        <v>1.13190035809633E-6</v>
      </c>
      <c r="FG54" s="5">
        <v>4.7370631299809998E-8</v>
      </c>
      <c r="FH54" s="5">
        <v>2.62945183311967E-4</v>
      </c>
      <c r="FI54" s="5">
        <v>7.6584664784074601E-7</v>
      </c>
      <c r="FJ54" s="5">
        <v>7.2107223019124704E-7</v>
      </c>
      <c r="FK54" s="5">
        <v>6.7954937593643595E-8</v>
      </c>
      <c r="FL54" s="5">
        <v>3.7700603217130798E-8</v>
      </c>
      <c r="FM54" s="5">
        <v>5.1696762632527597E-8</v>
      </c>
      <c r="FN54" s="5">
        <v>9.4045212145909006E-5</v>
      </c>
      <c r="FO54" s="5">
        <v>6.1634150332912099E-6</v>
      </c>
      <c r="FP54" s="5">
        <v>2.06148080073993E-5</v>
      </c>
      <c r="FQ54" s="5">
        <v>7.15783386929501E-8</v>
      </c>
      <c r="FR54" s="5">
        <v>-1.4068535622370099E-7</v>
      </c>
      <c r="FS54" s="5">
        <v>0</v>
      </c>
      <c r="FT54" s="5">
        <v>1.077816002844E-8</v>
      </c>
      <c r="FU54" s="5">
        <v>2.39053437987479E-4</v>
      </c>
      <c r="FV54" s="5">
        <v>2.6321881323092398E-7</v>
      </c>
      <c r="FW54" s="5">
        <v>3.4269112688256501E-11</v>
      </c>
      <c r="FX54" s="5">
        <v>1.7142973236567701E-8</v>
      </c>
      <c r="FY54" s="5">
        <v>1.48111184657974E-7</v>
      </c>
      <c r="FZ54" s="5">
        <v>2.3587529785423301E-5</v>
      </c>
      <c r="GA54" s="5">
        <v>2.1313398222096E-7</v>
      </c>
      <c r="GB54" s="5">
        <v>2.24304292602977E-3</v>
      </c>
      <c r="GC54" s="5">
        <v>3.9113209883032498E-7</v>
      </c>
      <c r="GD54" s="5">
        <v>1.9274542969906599E-8</v>
      </c>
      <c r="GE54" s="5">
        <v>8.1968300846533602E-7</v>
      </c>
      <c r="GF54" s="5">
        <v>3.8189324470536597E-5</v>
      </c>
      <c r="GG54" s="5">
        <v>7.59221181288131E-7</v>
      </c>
      <c r="GH54" s="5">
        <v>3.4508352708150299E-3</v>
      </c>
      <c r="GI54" s="5">
        <v>3.9113209883032498E-7</v>
      </c>
      <c r="GJ54" s="5">
        <v>1.9274542969906599E-8</v>
      </c>
      <c r="GK54" s="5">
        <v>9.2965148660281795E-7</v>
      </c>
      <c r="GL54" s="5">
        <v>1.26952443992549E-7</v>
      </c>
      <c r="GM54" s="5">
        <v>2.0819054687005699E-4</v>
      </c>
      <c r="GN54" s="5">
        <v>6.3537168317164702E-5</v>
      </c>
      <c r="GO54" s="5">
        <v>5.5730304326528497E-7</v>
      </c>
      <c r="GP54" s="5">
        <v>-9.1388646183743497E-6</v>
      </c>
      <c r="GQ54" s="5">
        <v>4.6042885920717902E-8</v>
      </c>
      <c r="GR54" s="5">
        <v>7.7727063216915604E-8</v>
      </c>
      <c r="GS54" s="5">
        <v>1.24920770171017E-3</v>
      </c>
      <c r="GT54" s="5">
        <v>5.4964331951983501E-4</v>
      </c>
      <c r="GU54" s="5">
        <v>9.16772250466005E-7</v>
      </c>
      <c r="GV54" s="5">
        <v>1.3812586293794701E-7</v>
      </c>
      <c r="GW54" s="5">
        <v>1.74295092938218E-4</v>
      </c>
      <c r="GX54" s="5">
        <v>2.93358207477981E-6</v>
      </c>
      <c r="GY54" s="5">
        <v>8.12475752328165E-7</v>
      </c>
      <c r="GZ54" s="5">
        <v>1.2740852899773401E-7</v>
      </c>
      <c r="HA54" s="5">
        <v>3.7700603217130798E-8</v>
      </c>
      <c r="HB54" s="5">
        <v>9.71544831837701E-8</v>
      </c>
      <c r="HC54" s="5">
        <v>4.31140036912427E-4</v>
      </c>
      <c r="HD54" s="5">
        <v>6.4750821489338501E-7</v>
      </c>
      <c r="HE54" s="5">
        <v>1.84407100417118E-9</v>
      </c>
      <c r="HF54" s="5">
        <v>1.0616160712794601E-7</v>
      </c>
      <c r="HG54" s="5">
        <v>1.8362257899083501E-8</v>
      </c>
      <c r="HH54" s="5">
        <v>4.0359497686562101E-4</v>
      </c>
      <c r="HI54" s="5">
        <v>1.13998447740243E-4</v>
      </c>
      <c r="HJ54" s="5">
        <v>5.5730304326528497E-7</v>
      </c>
      <c r="HK54" s="5">
        <v>2.62945183311967E-4</v>
      </c>
      <c r="HL54" s="5">
        <v>6.3704264498866795E-8</v>
      </c>
      <c r="HM54" s="5">
        <v>3.4735907316508102E-8</v>
      </c>
      <c r="HN54" s="5">
        <v>2.2138414758470099E-5</v>
      </c>
      <c r="HO54" s="5">
        <v>2.91476487063433E-8</v>
      </c>
      <c r="HP54" s="5">
        <v>-4.0272525605813201E-8</v>
      </c>
      <c r="HQ54" s="5">
        <v>1.47388831858948E-9</v>
      </c>
      <c r="HR54" s="5">
        <v>2.6163581078191901E-5</v>
      </c>
      <c r="HS54" s="5">
        <v>2.6492265339830801E-8</v>
      </c>
      <c r="HT54" s="5">
        <v>-4.0272525605813201E-8</v>
      </c>
      <c r="HU54" s="5">
        <v>1.6102392203092101E-9</v>
      </c>
      <c r="HV54" s="5">
        <v>2.2362035109565701E-6</v>
      </c>
      <c r="HW54" s="5">
        <v>-4.0272525605813201E-8</v>
      </c>
      <c r="HX54" s="5">
        <v>8.76541511055418E-10</v>
      </c>
      <c r="HY54" s="5">
        <v>8.2246023754211595E-5</v>
      </c>
      <c r="HZ54" s="5">
        <v>6.1062749357656497E-6</v>
      </c>
      <c r="IA54" s="5">
        <v>1.42270499885844E-2</v>
      </c>
      <c r="IB54" s="5">
        <v>0</v>
      </c>
      <c r="ID54">
        <f t="shared" si="5"/>
        <v>9.9589349920090803E-2</v>
      </c>
      <c r="IE54">
        <f t="shared" si="6"/>
        <v>0</v>
      </c>
      <c r="IF54">
        <f t="shared" si="7"/>
        <v>0</v>
      </c>
      <c r="IG54" s="5">
        <v>3.3599999999999999E-7</v>
      </c>
      <c r="IH54" s="5">
        <v>2.03E-6</v>
      </c>
      <c r="II54" s="5">
        <v>4.6E-5</v>
      </c>
      <c r="IJ54" s="5">
        <v>4.4399999999999998E-6</v>
      </c>
      <c r="IK54" s="5">
        <v>1.2500000000000001E-6</v>
      </c>
      <c r="IL54">
        <v>-0.167487247212357</v>
      </c>
      <c r="IM54">
        <v>-1.26034422574474E-2</v>
      </c>
      <c r="IN54" s="5">
        <v>-2.6588271950269599E-5</v>
      </c>
      <c r="IO54" s="5">
        <v>-6.2321757603290502E-5</v>
      </c>
      <c r="IP54" s="5">
        <v>-7.2406436493093297E-6</v>
      </c>
      <c r="IQ54" s="5">
        <v>-6.2000164817388107E-5</v>
      </c>
      <c r="IR54" s="5">
        <v>5.0443317930915899E-8</v>
      </c>
      <c r="IS54" s="5">
        <v>3.0453555069954498E-7</v>
      </c>
      <c r="IT54" s="5">
        <v>3.3059921858469602E-5</v>
      </c>
      <c r="IU54" s="5">
        <v>1.14617118066366E-6</v>
      </c>
      <c r="IV54" s="5">
        <v>1.1179595257166599E-6</v>
      </c>
      <c r="IW54" s="5">
        <v>1.36431677766623E-5</v>
      </c>
      <c r="IX54" s="5">
        <v>8.2178877056368298E-5</v>
      </c>
      <c r="IY54" s="5">
        <v>1.24505908876911E-5</v>
      </c>
      <c r="IZ54" s="5">
        <v>6.4609692255370504E-6</v>
      </c>
      <c r="JA54">
        <f t="shared" si="4"/>
        <v>0.13866684096780293</v>
      </c>
    </row>
    <row r="55" spans="1:261" x14ac:dyDescent="0.3">
      <c r="A55" t="s">
        <v>164</v>
      </c>
      <c r="B55">
        <v>1.2638782804543099E-3</v>
      </c>
      <c r="C55" s="5">
        <v>1.0118741617724599E-6</v>
      </c>
      <c r="D55" s="5">
        <v>2.5531959082239601E-6</v>
      </c>
      <c r="E55">
        <v>9.9511021024280302E-5</v>
      </c>
      <c r="F55">
        <v>6.9038499597826798E-5</v>
      </c>
      <c r="G55">
        <v>1.27241471678102E-6</v>
      </c>
      <c r="H55">
        <v>1.9343786951919799E-4</v>
      </c>
      <c r="I55" s="5">
        <v>6.5536668933669606E-2</v>
      </c>
      <c r="J55" s="5">
        <v>3.3567391568495299E-5</v>
      </c>
      <c r="K55" s="5">
        <v>2.6156190864209E-6</v>
      </c>
      <c r="L55" s="5">
        <v>0.119710414808606</v>
      </c>
      <c r="M55" s="5">
        <v>5.0351087352742999E-5</v>
      </c>
      <c r="N55" s="5">
        <v>7.78762107766211E-4</v>
      </c>
      <c r="O55" s="5">
        <v>1.2581075785171E-2</v>
      </c>
      <c r="P55" s="5">
        <v>3.3567391568495299E-5</v>
      </c>
      <c r="Q55" s="5">
        <v>2.6903510603186399E-6</v>
      </c>
      <c r="R55" s="5">
        <v>3.6172797118581E-5</v>
      </c>
      <c r="S55" s="5">
        <v>3.5106170665120701E-4</v>
      </c>
      <c r="T55" s="5">
        <v>1.27902621993051E-5</v>
      </c>
      <c r="U55" s="5">
        <v>3.3567391568495299E-5</v>
      </c>
      <c r="V55" s="5">
        <v>3.47053348970454E-3</v>
      </c>
      <c r="W55" s="5">
        <v>5.0203849133974396E-4</v>
      </c>
      <c r="X55" s="5">
        <v>3.3567391568495299E-5</v>
      </c>
      <c r="Y55" s="5">
        <v>1.00437946326746E-2</v>
      </c>
      <c r="Z55" s="5">
        <v>1.5992642414116299E-6</v>
      </c>
      <c r="AA55" s="5">
        <v>3.3567391568495299E-5</v>
      </c>
      <c r="AB55" s="5">
        <v>1.143984137412E-3</v>
      </c>
      <c r="AC55" s="5">
        <v>1.42101836645763E-4</v>
      </c>
      <c r="AD55" s="5">
        <v>1.7732203683073201E-4</v>
      </c>
      <c r="AE55" s="5">
        <v>5.6987424260930104E-3</v>
      </c>
      <c r="AF55" s="5">
        <v>1.3426956627398101E-8</v>
      </c>
      <c r="AG55" s="5">
        <v>3.3567391568495299E-5</v>
      </c>
      <c r="AH55">
        <v>0.13107290243957001</v>
      </c>
      <c r="AI55" s="5">
        <v>2.6156190864209E-6</v>
      </c>
      <c r="AJ55">
        <v>8.4653631717639805E-4</v>
      </c>
      <c r="AK55" s="5">
        <v>4.4912420782542097E-5</v>
      </c>
      <c r="AL55">
        <v>1.8012657720561999E-4</v>
      </c>
      <c r="AM55" s="5">
        <v>1.3582216971845601E-5</v>
      </c>
      <c r="AN55" s="5">
        <v>9.6584084000639298E-8</v>
      </c>
      <c r="AO55" s="5">
        <v>3.72873441933782E-6</v>
      </c>
      <c r="AP55">
        <v>1.40790282523102E-3</v>
      </c>
      <c r="AQ55" s="5">
        <v>8.8727947194234904E-5</v>
      </c>
      <c r="AR55">
        <v>1.4656033987319299E-4</v>
      </c>
      <c r="AS55" s="5">
        <v>9.8051905101105596E-5</v>
      </c>
      <c r="AT55" s="5">
        <v>5.78032276336762E-5</v>
      </c>
      <c r="AU55" s="5">
        <v>7.8680472138927108E-6</v>
      </c>
      <c r="AV55" s="5">
        <v>5.5276917883786101E-6</v>
      </c>
      <c r="AW55" s="5">
        <v>2.3013526706175799E-6</v>
      </c>
      <c r="AX55" s="5">
        <v>1.6296562556283601E-5</v>
      </c>
      <c r="AY55" s="5">
        <v>1.1199999999999999E-5</v>
      </c>
      <c r="AZ55" s="5">
        <v>3.3100000000000001E-6</v>
      </c>
      <c r="BA55" s="5">
        <v>1.32E-2</v>
      </c>
      <c r="BB55" s="5">
        <v>2.97E-5</v>
      </c>
      <c r="BC55" s="5">
        <v>5.7899999999999996E-6</v>
      </c>
      <c r="BD55" s="5">
        <v>1.0499999999999999E-5</v>
      </c>
      <c r="BE55" s="5">
        <v>1.3578164861221399E-5</v>
      </c>
      <c r="BF55" s="5">
        <v>4.3418542894465003E-6</v>
      </c>
      <c r="BG55" s="5">
        <v>1.9493113191477699E-7</v>
      </c>
      <c r="BH55" s="5">
        <v>4.2633027713842602E-4</v>
      </c>
      <c r="BI55" s="5">
        <v>7.2810449255825E-6</v>
      </c>
      <c r="BJ55" s="5">
        <v>2.7787867452457599E-5</v>
      </c>
      <c r="BK55" s="5">
        <v>2.02700988147081E-4</v>
      </c>
      <c r="BL55" s="5">
        <v>2.0043240999330001E-5</v>
      </c>
      <c r="BM55" s="5">
        <v>1.3731859666514399E-5</v>
      </c>
      <c r="BN55" s="5">
        <v>5.13293169490045E-5</v>
      </c>
      <c r="BO55" s="5">
        <v>5.7891390598597203E-6</v>
      </c>
      <c r="BP55" s="5">
        <v>1.20291406080727E-4</v>
      </c>
      <c r="BQ55" s="5">
        <v>3.6072307400724201E-6</v>
      </c>
      <c r="BR55" s="5">
        <v>2.8271475784000198E-6</v>
      </c>
      <c r="BS55" s="5">
        <v>1.21163467645715E-6</v>
      </c>
      <c r="BT55" s="5">
        <v>3.6900000000000002E-4</v>
      </c>
      <c r="BU55" s="5">
        <v>2.5199999999999999E-5</v>
      </c>
      <c r="BV55" s="5">
        <v>2.63E-4</v>
      </c>
      <c r="BW55" s="5">
        <v>1.52E-5</v>
      </c>
      <c r="BX55" s="5">
        <v>1.01E-5</v>
      </c>
      <c r="BY55" s="5">
        <v>3.6227468325991598E-4</v>
      </c>
      <c r="BZ55" s="5">
        <v>2.7787867452457599E-5</v>
      </c>
      <c r="CA55" s="5">
        <v>4.8847615176427698E-4</v>
      </c>
      <c r="CB55" s="5">
        <v>1.810146567755E-5</v>
      </c>
      <c r="CC55" s="5">
        <v>2.01939112742859E-6</v>
      </c>
      <c r="CD55" s="5">
        <v>3.23102580388574E-6</v>
      </c>
      <c r="CE55" s="5">
        <v>4.6281227100300801E-4</v>
      </c>
      <c r="CF55" s="5">
        <v>2.7787867452457599E-5</v>
      </c>
      <c r="CG55" s="5">
        <v>4.75184283689058E-4</v>
      </c>
      <c r="CH55" s="5">
        <v>1.98498170668888E-5</v>
      </c>
      <c r="CI55" s="5">
        <v>2.4232693529143E-6</v>
      </c>
      <c r="CJ55" s="5">
        <v>8.8853209606857808E-6</v>
      </c>
      <c r="CK55" s="5">
        <v>3.0382280453863698E-6</v>
      </c>
      <c r="CL55" s="5">
        <v>6.52367298008233E-5</v>
      </c>
      <c r="CM55" s="5">
        <v>1.0018048548294199E-4</v>
      </c>
      <c r="CN55" s="5">
        <v>2.0989184147727401E-6</v>
      </c>
      <c r="CO55" s="5">
        <v>3.1455128915948198E-5</v>
      </c>
      <c r="CP55" s="5">
        <v>2.3617116884100201E-6</v>
      </c>
      <c r="CQ55" s="5">
        <v>6.7873476957361404E-6</v>
      </c>
      <c r="CR55" s="5">
        <v>2.28467382664899E-4</v>
      </c>
      <c r="CS55" s="5">
        <v>2.6629637505107499E-5</v>
      </c>
      <c r="CT55" s="5">
        <v>2.0429463441376801E-6</v>
      </c>
      <c r="CU55" s="5">
        <v>6.1604019846516596E-6</v>
      </c>
      <c r="CV55" s="5">
        <v>5.0913194149988802E-5</v>
      </c>
      <c r="CW55" s="5">
        <v>2.9691943037810599E-3</v>
      </c>
      <c r="CX55" s="5">
        <v>1.05446008603927E-4</v>
      </c>
      <c r="CY55" s="5">
        <v>3.6932167078350999E-4</v>
      </c>
      <c r="CZ55" s="5">
        <v>3.6452121668063302E-5</v>
      </c>
      <c r="DA55" s="5">
        <v>1.69755508149076E-3</v>
      </c>
      <c r="DB55" s="5">
        <v>1.3761087716350901E-5</v>
      </c>
      <c r="DC55" s="5">
        <v>1.36117216800344E-7</v>
      </c>
      <c r="DD55" s="5">
        <v>1.1441423754069501E-5</v>
      </c>
      <c r="DE55" s="5">
        <v>4.9549992058115699E-10</v>
      </c>
      <c r="DF55" s="5">
        <v>3.9937169474171602E-5</v>
      </c>
      <c r="DG55" s="5">
        <v>3.23102580388574E-6</v>
      </c>
      <c r="DH55" s="5">
        <v>7.8717726630465099E-6</v>
      </c>
      <c r="DI55" s="5">
        <v>7.5317408837233899E-3</v>
      </c>
      <c r="DJ55" s="5">
        <v>8.0098739378367997E-5</v>
      </c>
      <c r="DK55" s="5">
        <v>9.8643177475404094E-5</v>
      </c>
      <c r="DL55" s="5">
        <v>7.2510489575399701E-6</v>
      </c>
      <c r="DM55" s="5">
        <v>1.7753091670071701E-4</v>
      </c>
      <c r="DN55" s="5">
        <v>1.07398907128472E-5</v>
      </c>
      <c r="DO55" s="5">
        <v>9.782736019189061E-7</v>
      </c>
      <c r="DP55" s="5">
        <v>6.6230586169757204E-5</v>
      </c>
      <c r="DQ55" s="5">
        <v>5.9488643229939998E-6</v>
      </c>
      <c r="DR55" s="5">
        <v>7.7139719211576695E-5</v>
      </c>
      <c r="DS55" s="5">
        <v>3.4661360552259101E-3</v>
      </c>
      <c r="DT55" s="5">
        <v>1.5744744589400101E-6</v>
      </c>
      <c r="DU55" s="5">
        <v>1.4534470032735599E-6</v>
      </c>
      <c r="DV55" s="5">
        <v>2.7235043721638298E-4</v>
      </c>
      <c r="DW55" s="5">
        <v>4.6158038342186401E-5</v>
      </c>
      <c r="DX55" s="5">
        <v>1.07398907128472E-5</v>
      </c>
      <c r="DY55" s="5">
        <v>3.2368906875948501E-5</v>
      </c>
      <c r="DZ55" s="5">
        <v>2.0712327223751099E-4</v>
      </c>
      <c r="EA55" s="5">
        <v>2.9234053950248502E-7</v>
      </c>
      <c r="EB55" s="5">
        <v>7.8723769881609892E-3</v>
      </c>
      <c r="EC55" s="5">
        <v>3.2979252542852601E-3</v>
      </c>
      <c r="ED55" s="5">
        <v>2.1572852093628799E-4</v>
      </c>
      <c r="EE55" s="5">
        <v>2.4658924507034598E-4</v>
      </c>
      <c r="EF55" s="5">
        <v>1.39345974452692E-5</v>
      </c>
      <c r="EG55" s="5">
        <v>3.64215336207754E-4</v>
      </c>
      <c r="EH55" s="5">
        <v>9.0431992796452404E-5</v>
      </c>
      <c r="EI55" s="5">
        <v>5.68869553094941E-3</v>
      </c>
      <c r="EJ55" s="5">
        <v>2.4232693529143098E-5</v>
      </c>
      <c r="EK55">
        <v>2.6847324411218601E-4</v>
      </c>
      <c r="EL55" s="5">
        <v>2.9767794966727298E-6</v>
      </c>
      <c r="EM55" s="5">
        <v>1.97850390834612E-4</v>
      </c>
      <c r="EN55" s="5">
        <v>2.00031413564074E-3</v>
      </c>
      <c r="EO55" s="5">
        <v>5.5363589002333801E-6</v>
      </c>
      <c r="EP55" s="5">
        <v>8.2457280821117394E-6</v>
      </c>
      <c r="EQ55" s="5">
        <v>1.18233903978969E-4</v>
      </c>
      <c r="ER55" s="5">
        <v>1.7404050955557199E-5</v>
      </c>
      <c r="ES55" s="5">
        <v>1.24325452932612E-5</v>
      </c>
      <c r="ET55" s="5">
        <v>8.1172106069365407E-3</v>
      </c>
      <c r="EU55" s="5">
        <v>1.8151185588719199E-4</v>
      </c>
      <c r="EV55" s="5">
        <v>1.56468744337398E-4</v>
      </c>
      <c r="EW55" s="5">
        <v>3.66476803649411E-6</v>
      </c>
      <c r="EX55" s="5">
        <v>8.9340389086877106E-5</v>
      </c>
      <c r="EY55" s="5">
        <v>1.1583892314721801E-3</v>
      </c>
      <c r="EZ55" s="5">
        <v>2.4394992570194498E-6</v>
      </c>
      <c r="FA55" s="5">
        <v>1.3291868075218401E-6</v>
      </c>
      <c r="FB55" s="5">
        <v>1.0459775946626799E-5</v>
      </c>
      <c r="FC55" s="5">
        <v>2.7811652341563999E-3</v>
      </c>
      <c r="FD55" s="5">
        <v>8.3018707089367897E-4</v>
      </c>
      <c r="FE55" s="5">
        <v>1.61653094229773E-5</v>
      </c>
      <c r="FF55" s="5">
        <v>1.6088798513068699E-5</v>
      </c>
      <c r="FG55" s="5">
        <v>5.5076330497248996E-6</v>
      </c>
      <c r="FH55" s="5">
        <v>4.2755627092431301E-6</v>
      </c>
      <c r="FI55" s="5">
        <v>1.16103148813342E-5</v>
      </c>
      <c r="FJ55" s="5">
        <v>1.57558688571886E-4</v>
      </c>
      <c r="FK55" s="5">
        <v>9.8185654584921903E-7</v>
      </c>
      <c r="FL55" s="5">
        <v>9.7563396241737E-6</v>
      </c>
      <c r="FM55" s="5">
        <v>8.0002600216824197E-6</v>
      </c>
      <c r="FN55" s="5">
        <v>2.16762103626286E-4</v>
      </c>
      <c r="FO55" s="5">
        <v>1.42058779777679E-5</v>
      </c>
      <c r="FP55" s="5">
        <v>2.7895807159234602E-7</v>
      </c>
      <c r="FQ55" s="5">
        <v>1.55354689895953E-5</v>
      </c>
      <c r="FR55" s="5">
        <v>1.33988500773631E-5</v>
      </c>
      <c r="FS55" s="5">
        <v>1.20291406080727E-4</v>
      </c>
      <c r="FT55" s="5">
        <v>1.66795904408469E-6</v>
      </c>
      <c r="FU55" s="5">
        <v>7.9445590277953603E-4</v>
      </c>
      <c r="FV55" s="5">
        <v>3.7413844961086099E-6</v>
      </c>
      <c r="FW55" s="5">
        <v>4.9549992058115699E-10</v>
      </c>
      <c r="FX55" s="5">
        <v>2.65293678855996E-6</v>
      </c>
      <c r="FY55" s="5">
        <v>2.8271475784000198E-6</v>
      </c>
      <c r="FZ55" s="5">
        <v>4.9458330605026597E-5</v>
      </c>
      <c r="GA55" s="5">
        <v>4.9411824593381303E-7</v>
      </c>
      <c r="GB55" s="5">
        <v>1.09531252475177E-5</v>
      </c>
      <c r="GC55" s="5">
        <v>1.65441600083568E-5</v>
      </c>
      <c r="GD55" s="5">
        <v>3.0396045927980902E-7</v>
      </c>
      <c r="GE55" s="5">
        <v>1.36364657460273E-4</v>
      </c>
      <c r="GF55" s="5">
        <v>8.0073905151024002E-5</v>
      </c>
      <c r="GG55" s="5">
        <v>2.6423732854471799E-6</v>
      </c>
      <c r="GH55" s="5">
        <v>1.68509619192579E-5</v>
      </c>
      <c r="GI55" s="5">
        <v>1.65441600083568E-5</v>
      </c>
      <c r="GJ55" s="5">
        <v>3.0396045927980902E-7</v>
      </c>
      <c r="GK55" s="5">
        <v>1.54688336685507E-4</v>
      </c>
      <c r="GL55" s="5">
        <v>2.4232693529143E-6</v>
      </c>
      <c r="GM55" s="5">
        <v>4.3179644437323501E-4</v>
      </c>
      <c r="GN55" s="5">
        <v>1.5777416206086601E-4</v>
      </c>
      <c r="GO55" s="5">
        <v>7.9214891219710099E-6</v>
      </c>
      <c r="GP55" s="5">
        <v>9.8150415547701298E-6</v>
      </c>
      <c r="GQ55" s="5">
        <v>7.1253022579528903E-6</v>
      </c>
      <c r="GR55" s="5">
        <v>1.1048101983223201E-6</v>
      </c>
      <c r="GS55" s="5">
        <v>3.0051919390878101E-3</v>
      </c>
      <c r="GT55" s="5">
        <v>1.14710873634992E-3</v>
      </c>
      <c r="GU55" s="5">
        <v>1.3030973896789599E-5</v>
      </c>
      <c r="GV55" s="5">
        <v>1.5744744589400099E-5</v>
      </c>
      <c r="GW55" s="5">
        <v>2.8340872815554402E-6</v>
      </c>
      <c r="GX55" s="5">
        <v>4.4473409545449799E-5</v>
      </c>
      <c r="GY55" s="5">
        <v>1.7753091670071701E-4</v>
      </c>
      <c r="GZ55" s="5">
        <v>1.84109130024672E-6</v>
      </c>
      <c r="HA55" s="5">
        <v>9.7563396241737E-6</v>
      </c>
      <c r="HB55" s="5">
        <v>1.5035005833291399E-5</v>
      </c>
      <c r="HC55" s="5">
        <v>8.9420359264403605E-4</v>
      </c>
      <c r="HD55" s="5">
        <v>9.2036627875064997E-6</v>
      </c>
      <c r="HE55" s="5">
        <v>2.1440428657857599E-7</v>
      </c>
      <c r="HF55" s="5">
        <v>1.5338133656750699E-6</v>
      </c>
      <c r="HG55" s="5">
        <v>2.8416254770550902E-6</v>
      </c>
      <c r="HH55" s="5">
        <v>1.0445051086071099E-3</v>
      </c>
      <c r="HI55" s="5">
        <v>2.3417609431969301E-4</v>
      </c>
      <c r="HJ55" s="5">
        <v>7.9214891219710099E-6</v>
      </c>
      <c r="HK55" s="5">
        <v>4.2755627092431301E-6</v>
      </c>
      <c r="HL55" s="5">
        <v>9.20545650123362E-7</v>
      </c>
      <c r="HM55" s="5">
        <v>5.3755066365852697E-6</v>
      </c>
      <c r="HN55" s="5">
        <v>4.5916055846348303E-5</v>
      </c>
      <c r="HO55" s="5">
        <v>4.1430382437086898E-7</v>
      </c>
      <c r="HP55" s="5">
        <v>4.3418542894465003E-6</v>
      </c>
      <c r="HQ55" s="5">
        <v>2.2808952033326999E-7</v>
      </c>
      <c r="HR55" s="5">
        <v>5.4264429636593501E-5</v>
      </c>
      <c r="HS55" s="5">
        <v>7.7945752515038899E-7</v>
      </c>
      <c r="HT55" s="5">
        <v>4.3418542894465003E-6</v>
      </c>
      <c r="HU55" s="5">
        <v>2.4919031296322002E-7</v>
      </c>
      <c r="HV55" s="5">
        <v>4.6379854390250803E-6</v>
      </c>
      <c r="HW55" s="5">
        <v>4.3418542894465003E-6</v>
      </c>
      <c r="HX55" s="5">
        <v>1.3564795262110799E-7</v>
      </c>
      <c r="HY55">
        <v>1.83449649473853E-3</v>
      </c>
      <c r="HZ55" s="5">
        <v>9.4496801660980199E-4</v>
      </c>
      <c r="IA55">
        <v>2.1443774134964402</v>
      </c>
      <c r="IB55" s="5">
        <v>0.226228279402898</v>
      </c>
      <c r="IC55">
        <v>6.6299999999999996E-4</v>
      </c>
      <c r="ID55">
        <f t="shared" si="5"/>
        <v>15.010641894475082</v>
      </c>
      <c r="IE55">
        <f t="shared" si="6"/>
        <v>1.583597955820286</v>
      </c>
      <c r="IF55">
        <f t="shared" si="7"/>
        <v>4.6409999999999993E-3</v>
      </c>
      <c r="IG55" s="5">
        <v>9.3499999999999996E-5</v>
      </c>
      <c r="IH55">
        <v>5.6300000000000002E-4</v>
      </c>
      <c r="II55">
        <v>0.14799999999999999</v>
      </c>
      <c r="IJ55">
        <v>3.4699999999999998E-4</v>
      </c>
      <c r="IK55" s="5">
        <v>7.1199999999999996E-5</v>
      </c>
      <c r="IL55">
        <v>-2.27075371790346E-2</v>
      </c>
      <c r="IM55">
        <v>-2.85102999827349E-2</v>
      </c>
      <c r="IN55">
        <v>-0.120699183305071</v>
      </c>
      <c r="IO55">
        <v>-5.1618939662660098E-3</v>
      </c>
      <c r="IP55" s="5">
        <v>8.7496290405060907E-6</v>
      </c>
      <c r="IQ55" s="5">
        <v>-9.3044844095100795E-5</v>
      </c>
      <c r="IR55" s="5">
        <v>1.40185041404875E-5</v>
      </c>
      <c r="IS55" s="5">
        <v>8.4517946436757799E-5</v>
      </c>
      <c r="IT55">
        <v>0.10659225640506501</v>
      </c>
      <c r="IU55" s="5">
        <v>8.9396171278004999E-5</v>
      </c>
      <c r="IV55" s="5">
        <v>6.3715312790782501E-5</v>
      </c>
      <c r="IW55" s="5">
        <v>3.7708590858356402E-5</v>
      </c>
      <c r="IX55">
        <v>2.2713564055252601E-4</v>
      </c>
      <c r="IY55" s="5">
        <v>3.5275731674875002E-5</v>
      </c>
      <c r="IZ55" s="5">
        <v>2.2277051950689902E-5</v>
      </c>
      <c r="JA55">
        <f t="shared" si="4"/>
        <v>2.8077897166519792</v>
      </c>
    </row>
    <row r="56" spans="1:261" x14ac:dyDescent="0.3">
      <c r="A56" t="s">
        <v>165</v>
      </c>
      <c r="B56">
        <v>1.5300527517904701E-4</v>
      </c>
      <c r="C56" s="5">
        <v>1.0605227531524499E-6</v>
      </c>
      <c r="D56" s="5">
        <v>5.7434190716453999E-7</v>
      </c>
      <c r="E56">
        <v>8.0593174518275501E-5</v>
      </c>
      <c r="F56">
        <v>1.32933730121359E-5</v>
      </c>
      <c r="G56">
        <v>9.5768129916309893E-7</v>
      </c>
      <c r="H56">
        <v>5.5397283631046199E-5</v>
      </c>
      <c r="I56" s="5">
        <v>0</v>
      </c>
      <c r="J56" s="5">
        <v>1.34949667248316E-6</v>
      </c>
      <c r="K56" s="5">
        <v>5.8838401302152499E-7</v>
      </c>
      <c r="L56" s="5">
        <v>0</v>
      </c>
      <c r="M56" s="5">
        <v>2.0242450087247398E-6</v>
      </c>
      <c r="N56" s="5">
        <v>2.23024092812161E-4</v>
      </c>
      <c r="O56" s="5">
        <v>0</v>
      </c>
      <c r="P56" s="5">
        <v>1.34949667248316E-6</v>
      </c>
      <c r="Q56" s="5">
        <v>6.0519498482213998E-7</v>
      </c>
      <c r="R56" s="5">
        <v>3.2108213258968202E-7</v>
      </c>
      <c r="S56" s="5">
        <v>1.2704331650727099E-4</v>
      </c>
      <c r="T56" s="5">
        <v>2.8771719244189802E-6</v>
      </c>
      <c r="U56" s="5">
        <v>1.34949667248316E-6</v>
      </c>
      <c r="V56" s="5">
        <v>0</v>
      </c>
      <c r="W56" s="5">
        <v>1.4377520165817501E-4</v>
      </c>
      <c r="X56" s="5">
        <v>1.34949667248316E-6</v>
      </c>
      <c r="Y56" s="5">
        <v>0</v>
      </c>
      <c r="Z56" s="5">
        <v>3.5975479653316098E-7</v>
      </c>
      <c r="AA56" s="5">
        <v>1.34949667248316E-6</v>
      </c>
      <c r="AB56" s="5">
        <v>0</v>
      </c>
      <c r="AC56" s="5">
        <v>4.0695525486940199E-5</v>
      </c>
      <c r="AD56" s="5">
        <v>1.4397745897978999E-4</v>
      </c>
      <c r="AE56" s="5">
        <v>5.0541189857826803E-5</v>
      </c>
      <c r="AF56" s="5">
        <v>5.3979866899326495E-10</v>
      </c>
      <c r="AG56" s="5">
        <v>1.34949667248316E-6</v>
      </c>
      <c r="AH56">
        <v>0</v>
      </c>
      <c r="AI56" s="5">
        <v>5.8838401302152499E-7</v>
      </c>
      <c r="AJ56">
        <v>5.9127968526161102E-4</v>
      </c>
      <c r="AK56" s="5">
        <v>3.1369950096429201E-5</v>
      </c>
      <c r="AL56" s="5">
        <v>2.7919160669953299E-5</v>
      </c>
      <c r="AM56" s="5">
        <v>2.1052090356341499E-6</v>
      </c>
      <c r="AN56">
        <v>0</v>
      </c>
      <c r="AO56" s="5">
        <v>3.02756338976193E-6</v>
      </c>
      <c r="AP56">
        <v>1.8726063206427201E-4</v>
      </c>
      <c r="AQ56" s="5">
        <v>1.1111458517179001E-5</v>
      </c>
      <c r="AR56" s="5">
        <v>2.0269894552124499E-5</v>
      </c>
      <c r="AS56" s="5">
        <v>7.9613703952998905E-5</v>
      </c>
      <c r="AT56" s="5">
        <v>7.0870892674505703E-6</v>
      </c>
      <c r="AU56" s="5">
        <v>2.6282906940673399E-7</v>
      </c>
      <c r="AV56" s="5">
        <v>1.61078127730046E-6</v>
      </c>
      <c r="AW56" s="5">
        <v>7.3591427297113303E-7</v>
      </c>
      <c r="AX56" s="5">
        <v>3.6659148593548299E-6</v>
      </c>
      <c r="AY56" s="5">
        <v>1.5799999999999999E-6</v>
      </c>
      <c r="AZ56" s="5">
        <v>2.6900000000000001E-6</v>
      </c>
      <c r="BA56" s="5">
        <v>1.91E-7</v>
      </c>
      <c r="BB56" s="5">
        <v>6.6200000000000001E-6</v>
      </c>
      <c r="BC56" s="5">
        <v>5.3500000000000003E-8</v>
      </c>
      <c r="BD56" s="5">
        <v>2.3599999999999999E-6</v>
      </c>
      <c r="BE56" s="5">
        <v>1.7004449056811E-6</v>
      </c>
      <c r="BF56" s="5">
        <v>4.0135266573710298E-8</v>
      </c>
      <c r="BG56" s="5">
        <v>4.3849795352192398E-8</v>
      </c>
      <c r="BH56" s="5">
        <v>2.9424336116428599E-5</v>
      </c>
      <c r="BI56" s="5">
        <v>9.1183277551015703E-7</v>
      </c>
      <c r="BJ56" s="5">
        <v>2.56865706071746E-7</v>
      </c>
      <c r="BK56" s="5">
        <v>0</v>
      </c>
      <c r="BL56" s="5">
        <v>4.50873089065906E-6</v>
      </c>
      <c r="BM56" s="5">
        <v>1.7532103174605501E-6</v>
      </c>
      <c r="BN56" s="5">
        <v>3.54263151252523E-6</v>
      </c>
      <c r="BO56" s="5">
        <v>5.35136888719744E-8</v>
      </c>
      <c r="BP56" s="5">
        <v>0</v>
      </c>
      <c r="BQ56" s="5">
        <v>8.1144724388850901E-7</v>
      </c>
      <c r="BR56" s="5">
        <v>3.60955065359525E-7</v>
      </c>
      <c r="BS56" s="5">
        <v>1.5469502801122501E-7</v>
      </c>
      <c r="BT56" s="5">
        <v>2.55E-5</v>
      </c>
      <c r="BU56" s="5">
        <v>2.3300000000000001E-7</v>
      </c>
      <c r="BV56" s="5"/>
      <c r="BW56" s="5">
        <v>3.4199999999999999E-6</v>
      </c>
      <c r="BX56" s="5">
        <v>1.2899999999999999E-6</v>
      </c>
      <c r="BY56" s="5">
        <v>2.5003366212368201E-5</v>
      </c>
      <c r="BZ56" s="5">
        <v>2.56865706071746E-7</v>
      </c>
      <c r="CA56" s="5">
        <v>0</v>
      </c>
      <c r="CB56" s="5">
        <v>4.0719281611842601E-6</v>
      </c>
      <c r="CC56" s="5">
        <v>2.5782504668537502E-7</v>
      </c>
      <c r="CD56" s="5">
        <v>4.125200746966E-7</v>
      </c>
      <c r="CE56" s="5">
        <v>3.1942239505496097E-5</v>
      </c>
      <c r="CF56" s="5">
        <v>2.56865706071746E-7</v>
      </c>
      <c r="CG56" s="5">
        <v>0</v>
      </c>
      <c r="CH56" s="5">
        <v>4.4652201401162898E-6</v>
      </c>
      <c r="CI56" s="5">
        <v>3.0939005602245001E-7</v>
      </c>
      <c r="CJ56" s="5">
        <v>1.1344302054156499E-6</v>
      </c>
      <c r="CK56" s="5">
        <v>2.46690350276898E-6</v>
      </c>
      <c r="CL56" s="5">
        <v>9.2717227219221896E-6</v>
      </c>
      <c r="CM56" s="5">
        <v>1.385537095968E-5</v>
      </c>
      <c r="CN56" s="5">
        <v>1.7042266452947301E-6</v>
      </c>
      <c r="CO56" s="5">
        <v>1.1383081159051501E-5</v>
      </c>
      <c r="CP56" s="5">
        <v>7.9467553156123896E-8</v>
      </c>
      <c r="CQ56" s="5">
        <v>4.6844714215209699E-7</v>
      </c>
      <c r="CR56" s="5">
        <v>2.8611833847764699E-5</v>
      </c>
      <c r="CS56" s="5">
        <v>2.36173784382368E-7</v>
      </c>
      <c r="CT56" s="5">
        <v>6.5323209226136303E-7</v>
      </c>
      <c r="CU56" s="5">
        <v>1.3857836029614601E-6</v>
      </c>
      <c r="CV56" s="5">
        <v>5.7013884105445501E-5</v>
      </c>
      <c r="CW56" s="5">
        <v>5.7384967237104304E-4</v>
      </c>
      <c r="CX56" s="5">
        <v>-2.1652100367624199E-4</v>
      </c>
      <c r="CY56" s="5">
        <v>2.7452205098949802E-4</v>
      </c>
      <c r="CZ56" s="5">
        <v>8.1999117308599706E-6</v>
      </c>
      <c r="DA56" s="5">
        <v>2.3930540220228999E-4</v>
      </c>
      <c r="DB56" s="5">
        <v>1.11733796746848E-5</v>
      </c>
      <c r="DC56" s="5">
        <v>4.5469429007365002E-9</v>
      </c>
      <c r="DD56" s="5">
        <v>1.01472066459884E-7</v>
      </c>
      <c r="DE56" s="5">
        <v>1.58365527754137E-10</v>
      </c>
      <c r="DF56" s="5">
        <v>8.9838739004187403E-6</v>
      </c>
      <c r="DG56" s="5">
        <v>4.125200746966E-7</v>
      </c>
      <c r="DH56" s="5">
        <v>6.3915227117196303E-6</v>
      </c>
      <c r="DI56" s="5">
        <v>1.0477700090299399E-3</v>
      </c>
      <c r="DJ56" s="5">
        <v>6.5036546891182194E-5</v>
      </c>
      <c r="DK56" s="5">
        <v>1.3877249659970301E-5</v>
      </c>
      <c r="DL56" s="5">
        <v>2.1129712633671201E-6</v>
      </c>
      <c r="DM56" s="5">
        <v>1.57449189588245E-6</v>
      </c>
      <c r="DN56" s="5">
        <v>3.4342700405671301E-6</v>
      </c>
      <c r="DO56" s="5">
        <v>2.02828194188469E-7</v>
      </c>
      <c r="DP56" s="5">
        <v>1.48985830076096E-5</v>
      </c>
      <c r="DQ56" s="5">
        <v>4.8302082716193996E-6</v>
      </c>
      <c r="DR56" s="5">
        <v>9.6604985945940994E-6</v>
      </c>
      <c r="DS56" s="5">
        <v>4.1273285971118898E-4</v>
      </c>
      <c r="DT56" s="5">
        <v>5.2978368770749297E-8</v>
      </c>
      <c r="DU56" s="5">
        <v>4.2353758314521301E-7</v>
      </c>
      <c r="DV56" s="5">
        <v>3.4107474629893497E-5</v>
      </c>
      <c r="DW56" s="5">
        <v>4.0936789292943803E-7</v>
      </c>
      <c r="DX56" s="5">
        <v>3.4342700405671301E-6</v>
      </c>
      <c r="DY56" s="5">
        <v>7.2813917835610499E-6</v>
      </c>
      <c r="DZ56" s="5">
        <v>1.84613736510603E-4</v>
      </c>
      <c r="EA56" s="5">
        <v>2.6056984687452799E-7</v>
      </c>
      <c r="EB56" s="5">
        <v>1.11483154437069E-3</v>
      </c>
      <c r="EC56" s="5">
        <v>4.3730218489604301E-4</v>
      </c>
      <c r="ED56" s="5">
        <v>3.0332874287491101E-5</v>
      </c>
      <c r="EE56" s="5">
        <v>2.19790665838665E-4</v>
      </c>
      <c r="EF56" s="5">
        <v>4.0599811377686796E-6</v>
      </c>
      <c r="EG56" s="5">
        <v>4.5432773986274097E-6</v>
      </c>
      <c r="EH56" s="5">
        <v>8.0270533147420602E-7</v>
      </c>
      <c r="EI56" s="5">
        <v>1.62914469954599E-3</v>
      </c>
      <c r="EJ56" s="5">
        <v>3.0939005602245002E-6</v>
      </c>
      <c r="EK56" s="5">
        <v>7.8222303254343306E-5</v>
      </c>
      <c r="EL56" s="5">
        <v>3.3334730626167698E-6</v>
      </c>
      <c r="EM56" s="5">
        <v>1.60645552237355E-4</v>
      </c>
      <c r="EN56" s="5">
        <v>2.7151505830311798E-4</v>
      </c>
      <c r="EO56" s="5">
        <v>2.7420429086327501E-6</v>
      </c>
      <c r="EP56" s="5">
        <v>2.4028228998404598E-6</v>
      </c>
      <c r="EQ56" s="5">
        <v>1.0485966449847001E-6</v>
      </c>
      <c r="ER56" s="5">
        <v>-4.3330529470120803E-5</v>
      </c>
      <c r="ES56" s="5">
        <v>2.7967034380876E-6</v>
      </c>
      <c r="ET56" s="5">
        <v>1.08228358286595E-3</v>
      </c>
      <c r="EU56" s="5">
        <v>5.2075502215266398E-6</v>
      </c>
      <c r="EV56" s="5">
        <v>1.2704553039260199E-4</v>
      </c>
      <c r="EW56" s="5">
        <v>1.06792128881798E-6</v>
      </c>
      <c r="EX56" s="5">
        <v>1.11884345968003E-5</v>
      </c>
      <c r="EY56" s="5">
        <v>1.0273559620632999E-5</v>
      </c>
      <c r="EZ56" s="5">
        <v>8.1112437435217805E-7</v>
      </c>
      <c r="FA56" s="5">
        <v>0</v>
      </c>
      <c r="FB56" s="5">
        <v>2.3529285968025501E-6</v>
      </c>
      <c r="FC56" s="5">
        <v>4.07011410697445E-4</v>
      </c>
      <c r="FD56" s="5">
        <v>1.06275331985177E-4</v>
      </c>
      <c r="FE56" s="5">
        <v>1.9819825917446498E-6</v>
      </c>
      <c r="FF56" s="5">
        <v>1.30633753669357E-5</v>
      </c>
      <c r="FG56" s="5">
        <v>1.8398034858471399E-7</v>
      </c>
      <c r="FH56" s="5">
        <v>1.2459081702876501E-6</v>
      </c>
      <c r="FI56" s="5">
        <v>1.4540036150026801E-6</v>
      </c>
      <c r="FJ56" s="5">
        <v>1.3973615575956801E-6</v>
      </c>
      <c r="FK56" s="5">
        <v>3.1397802460441401E-7</v>
      </c>
      <c r="FL56" s="5">
        <v>6.80072982793698E-8</v>
      </c>
      <c r="FM56" s="5">
        <v>1.79966001976777E-6</v>
      </c>
      <c r="FN56" s="5">
        <v>2.65765847529396E-5</v>
      </c>
      <c r="FO56" s="5">
        <v>1.74174227759378E-6</v>
      </c>
      <c r="FP56" s="5">
        <v>8.0882013453087403E-8</v>
      </c>
      <c r="FQ56" s="5">
        <v>1.38490011946169E-7</v>
      </c>
      <c r="FR56" s="5">
        <v>1.40205864671189E-7</v>
      </c>
      <c r="FS56" s="5">
        <v>0</v>
      </c>
      <c r="FT56" s="5">
        <v>3.7520770551380502E-7</v>
      </c>
      <c r="FU56" s="5">
        <v>2.38104988447545E-4</v>
      </c>
      <c r="FV56" s="5">
        <v>3.03783467889164E-6</v>
      </c>
      <c r="FW56" s="5">
        <v>1.58365527754137E-10</v>
      </c>
      <c r="FX56" s="5">
        <v>5.9677863724464604E-7</v>
      </c>
      <c r="FY56" s="5">
        <v>3.60955065359525E-7</v>
      </c>
      <c r="FZ56" s="5">
        <v>6.9542255205086997E-6</v>
      </c>
      <c r="GA56" s="5">
        <v>6.1288440864410894E-8</v>
      </c>
      <c r="GB56" s="5">
        <v>3.9637514750268699E-6</v>
      </c>
      <c r="GC56" s="5">
        <v>1.1418399089957399E-6</v>
      </c>
      <c r="GD56" s="5">
        <v>8.92569370024083E-8</v>
      </c>
      <c r="GE56" s="5">
        <v>3.88792396979955E-5</v>
      </c>
      <c r="GF56" s="5">
        <v>1.12589271372784E-5</v>
      </c>
      <c r="GG56" s="5">
        <v>2.3060045919612399E-6</v>
      </c>
      <c r="GH56" s="5">
        <v>6.0980791923490301E-6</v>
      </c>
      <c r="GI56" s="5">
        <v>1.1418399089957399E-6</v>
      </c>
      <c r="GJ56" s="5">
        <v>8.92569370024083E-8</v>
      </c>
      <c r="GK56" s="5">
        <v>4.4126826728020499E-5</v>
      </c>
      <c r="GL56" s="5">
        <v>3.0939005602245001E-7</v>
      </c>
      <c r="GM56" s="5">
        <v>5.9719214645657899E-5</v>
      </c>
      <c r="GN56" s="5">
        <v>2.54121931876626E-5</v>
      </c>
      <c r="GO56" s="5">
        <v>6.4318902235831203E-6</v>
      </c>
      <c r="GP56" s="5">
        <v>-2.1507799660178799E-5</v>
      </c>
      <c r="GQ56" s="5">
        <v>1.6028381037173001E-6</v>
      </c>
      <c r="GR56" s="5">
        <v>8.9705581918871999E-7</v>
      </c>
      <c r="GS56" s="5">
        <v>5.0989771324396599E-4</v>
      </c>
      <c r="GT56" s="5">
        <v>1.6170864045868301E-4</v>
      </c>
      <c r="GU56" s="5">
        <v>1.05805603365739E-5</v>
      </c>
      <c r="GV56" s="5">
        <v>5.2978368770749296E-7</v>
      </c>
      <c r="GW56" s="5">
        <v>8.2585913001924097E-7</v>
      </c>
      <c r="GX56" s="5">
        <v>5.5695731693323101E-6</v>
      </c>
      <c r="GY56" s="5">
        <v>1.57449189588245E-6</v>
      </c>
      <c r="GZ56" s="5">
        <v>5.8868616115100497E-7</v>
      </c>
      <c r="HA56" s="5">
        <v>6.80072982793698E-8</v>
      </c>
      <c r="HB56" s="5">
        <v>3.3821274335855298E-6</v>
      </c>
      <c r="HC56" s="5">
        <v>1.23672014862329E-4</v>
      </c>
      <c r="HD56" s="5">
        <v>7.4729571413448497E-6</v>
      </c>
      <c r="HE56" s="5">
        <v>7.1620921413335099E-9</v>
      </c>
      <c r="HF56" s="5">
        <v>4.90505019363798E-7</v>
      </c>
      <c r="HG56" s="5">
        <v>6.39224193757406E-7</v>
      </c>
      <c r="HH56" s="5">
        <v>1.5070594073515601E-4</v>
      </c>
      <c r="HI56" s="5">
        <v>3.3570434501611203E-5</v>
      </c>
      <c r="HJ56" s="5">
        <v>6.4318902235831203E-6</v>
      </c>
      <c r="HK56" s="5">
        <v>1.2459081702876501E-6</v>
      </c>
      <c r="HL56" s="5">
        <v>2.9434308057550301E-7</v>
      </c>
      <c r="HM56" s="5">
        <v>1.2092212445145501E-6</v>
      </c>
      <c r="HN56" s="5">
        <v>6.3503783565200097E-6</v>
      </c>
      <c r="HO56" s="5">
        <v>3.3639593219577E-7</v>
      </c>
      <c r="HP56" s="5">
        <v>4.0135266573710298E-8</v>
      </c>
      <c r="HQ56" s="5">
        <v>5.1308781159524103E-8</v>
      </c>
      <c r="HR56" s="5">
        <v>7.5049926031600203E-6</v>
      </c>
      <c r="HS56" s="5">
        <v>6.1339693421923502E-7</v>
      </c>
      <c r="HT56" s="5">
        <v>4.0135266573710298E-8</v>
      </c>
      <c r="HU56" s="5">
        <v>5.6055408491462398E-8</v>
      </c>
      <c r="HV56" s="5">
        <v>6.4145235924444598E-7</v>
      </c>
      <c r="HW56" s="5">
        <v>4.0135266573710298E-8</v>
      </c>
      <c r="HX56" s="5">
        <v>3.05140328481751E-8</v>
      </c>
      <c r="HY56">
        <v>3.8157424622437002E-4</v>
      </c>
      <c r="HZ56" s="5">
        <v>2.1257073580644299E-4</v>
      </c>
      <c r="IA56">
        <v>0.457530233478605</v>
      </c>
      <c r="IB56" s="5">
        <v>0.22137052299340701</v>
      </c>
      <c r="ID56">
        <f t="shared" si="5"/>
        <v>3.2027116343502349</v>
      </c>
      <c r="IE56">
        <f t="shared" si="6"/>
        <v>1.549593660953849</v>
      </c>
      <c r="IF56">
        <f t="shared" si="7"/>
        <v>0</v>
      </c>
      <c r="IG56" s="5">
        <v>3.89E-6</v>
      </c>
      <c r="IH56" s="5">
        <v>2.34E-5</v>
      </c>
      <c r="II56" s="5">
        <v>4.07E-5</v>
      </c>
      <c r="IJ56" s="5">
        <v>1.6500000000000001E-5</v>
      </c>
      <c r="IK56" s="5">
        <v>1.9199999999999999E-5</v>
      </c>
      <c r="IL56">
        <v>-7.8668728530836905E-4</v>
      </c>
      <c r="IM56">
        <v>-3.5362358384236001E-3</v>
      </c>
      <c r="IN56">
        <v>-5.3835737224761498E-5</v>
      </c>
      <c r="IO56">
        <v>-4.1569077297283897E-4</v>
      </c>
      <c r="IP56" s="5">
        <v>-6.3320362258131204E-6</v>
      </c>
      <c r="IQ56" s="5">
        <v>-4.8970017444399997E-5</v>
      </c>
      <c r="IR56" s="5">
        <v>5.8288527129232102E-7</v>
      </c>
      <c r="IS56" s="5">
        <v>3.5147074221098602E-6</v>
      </c>
      <c r="IT56" s="5">
        <v>2.9267802671348499E-5</v>
      </c>
      <c r="IU56" s="5">
        <v>4.2527911713601699E-6</v>
      </c>
      <c r="IV56" s="5">
        <v>1.71423527813863E-5</v>
      </c>
      <c r="IW56" s="5">
        <v>2.3055289084024898E-5</v>
      </c>
      <c r="IX56">
        <v>1.3887227645005399E-4</v>
      </c>
      <c r="IY56" s="5">
        <v>2.05105046096016E-5</v>
      </c>
      <c r="IZ56" s="5">
        <v>6.1548094165976802E-6</v>
      </c>
      <c r="JA56">
        <f t="shared" si="4"/>
        <v>0.69170210227069029</v>
      </c>
    </row>
    <row r="57" spans="1:261" x14ac:dyDescent="0.3">
      <c r="A57" t="s">
        <v>166</v>
      </c>
      <c r="B57">
        <v>1.10889277819754E-3</v>
      </c>
      <c r="C57" s="5">
        <v>-1.2286316071187601E-7</v>
      </c>
      <c r="D57" s="5">
        <v>1.9747277647803599E-6</v>
      </c>
      <c r="E57">
        <v>1.8860249126725701E-5</v>
      </c>
      <c r="F57">
        <v>5.5395530903317701E-5</v>
      </c>
      <c r="G57">
        <v>-9.5977703770522998E-8</v>
      </c>
      <c r="H57">
        <v>1.3742390678673399E-4</v>
      </c>
      <c r="I57" s="5">
        <v>0</v>
      </c>
      <c r="J57" s="5">
        <v>1.1910595176029599E-6</v>
      </c>
      <c r="K57" s="5">
        <v>2.0230079546217499E-6</v>
      </c>
      <c r="L57" s="5">
        <v>0</v>
      </c>
      <c r="M57" s="5">
        <v>1.7865892764044401E-6</v>
      </c>
      <c r="N57" s="5">
        <v>5.5325532468234199E-4</v>
      </c>
      <c r="O57" s="5">
        <v>0</v>
      </c>
      <c r="P57" s="5">
        <v>1.1910595176029599E-6</v>
      </c>
      <c r="Q57" s="5">
        <v>2.0808081818966602E-6</v>
      </c>
      <c r="R57" s="5">
        <v>1.45991408701649E-6</v>
      </c>
      <c r="S57" s="5">
        <v>2.2326916431040101E-4</v>
      </c>
      <c r="T57" s="5">
        <v>9.8924198501311895E-6</v>
      </c>
      <c r="U57" s="5">
        <v>1.1910595176029599E-6</v>
      </c>
      <c r="V57" s="5">
        <v>0</v>
      </c>
      <c r="W57" s="5">
        <v>3.5666279311651701E-4</v>
      </c>
      <c r="X57" s="5">
        <v>1.1910595176029599E-6</v>
      </c>
      <c r="Y57" s="5">
        <v>0</v>
      </c>
      <c r="Z57" s="5">
        <v>1.2369248636830201E-6</v>
      </c>
      <c r="AA57" s="5">
        <v>1.1910595176029599E-6</v>
      </c>
      <c r="AB57" s="5">
        <v>0</v>
      </c>
      <c r="AC57" s="5">
        <v>1.00953291110833E-4</v>
      </c>
      <c r="AD57" s="5">
        <v>3.3242265037725698E-5</v>
      </c>
      <c r="AE57" s="5">
        <v>5.4945448793084096E-3</v>
      </c>
      <c r="AF57" s="5">
        <v>4.7642380704118499E-10</v>
      </c>
      <c r="AG57" s="5">
        <v>1.1910595176029599E-6</v>
      </c>
      <c r="AH57">
        <v>0</v>
      </c>
      <c r="AI57" s="5">
        <v>2.0230079546217499E-6</v>
      </c>
      <c r="AJ57">
        <v>2.5425865781338199E-4</v>
      </c>
      <c r="AK57" s="5">
        <v>1.34895238344978E-5</v>
      </c>
      <c r="AL57">
        <v>1.51913498761171E-4</v>
      </c>
      <c r="AM57" s="5">
        <v>1.14548454377783E-5</v>
      </c>
      <c r="AN57">
        <v>0</v>
      </c>
      <c r="AO57" s="5">
        <v>6.9901959191479296E-7</v>
      </c>
      <c r="AP57">
        <v>1.1525311956799001E-3</v>
      </c>
      <c r="AQ57" s="5">
        <v>7.7450242164993799E-5</v>
      </c>
      <c r="AR57">
        <v>1.25986597437944E-4</v>
      </c>
      <c r="AS57" s="5">
        <v>1.8381626305907499E-5</v>
      </c>
      <c r="AT57" s="5">
        <v>5.06086557640659E-5</v>
      </c>
      <c r="AU57" s="5">
        <v>7.5860272504578004E-6</v>
      </c>
      <c r="AV57" s="5">
        <v>3.9143087948467004E-6</v>
      </c>
      <c r="AW57" s="5">
        <v>1.32180039288194E-6</v>
      </c>
      <c r="AX57" s="5">
        <v>1.2604310717683599E-5</v>
      </c>
      <c r="AY57" s="5">
        <v>9.5999999999999996E-6</v>
      </c>
      <c r="AZ57" s="5">
        <v>6.2099999999999996E-7</v>
      </c>
      <c r="BA57" s="5">
        <v>1.32E-2</v>
      </c>
      <c r="BB57" s="5">
        <v>2.1699999999999999E-5</v>
      </c>
      <c r="BC57" s="5">
        <v>2.4299999999999999E-7</v>
      </c>
      <c r="BD57" s="5">
        <v>8.1200000000000002E-6</v>
      </c>
      <c r="BE57" s="5">
        <v>1.1213860332123601E-5</v>
      </c>
      <c r="BF57" s="5">
        <v>1.8248926087706101E-7</v>
      </c>
      <c r="BG57" s="5">
        <v>1.5076630711034599E-7</v>
      </c>
      <c r="BH57" s="5">
        <v>3.9632477295363299E-4</v>
      </c>
      <c r="BI57" s="5">
        <v>6.0132294534575802E-6</v>
      </c>
      <c r="BJ57" s="5">
        <v>1.1679312696131899E-6</v>
      </c>
      <c r="BK57" s="5">
        <v>0</v>
      </c>
      <c r="BL57" s="5">
        <v>1.55021180983692E-5</v>
      </c>
      <c r="BM57" s="5">
        <v>1.1935801275408E-5</v>
      </c>
      <c r="BN57" s="5">
        <v>4.7716713957601598E-5</v>
      </c>
      <c r="BO57" s="5">
        <v>2.43319014989386E-7</v>
      </c>
      <c r="BP57" s="5">
        <v>0</v>
      </c>
      <c r="BQ57" s="5">
        <v>2.78995382745435E-6</v>
      </c>
      <c r="BR57" s="5">
        <v>2.45737085081929E-6</v>
      </c>
      <c r="BS57" s="5">
        <v>1.05315893606541E-6</v>
      </c>
      <c r="BT57" s="5">
        <v>3.4299999999999999E-4</v>
      </c>
      <c r="BU57" s="5">
        <v>1.06E-6</v>
      </c>
      <c r="BV57" s="5"/>
      <c r="BW57" s="5">
        <v>1.1800000000000001E-5</v>
      </c>
      <c r="BX57" s="5">
        <v>8.7800000000000006E-6</v>
      </c>
      <c r="BY57" s="5">
        <v>3.3677746875861002E-4</v>
      </c>
      <c r="BZ57" s="5">
        <v>1.1679312696131899E-6</v>
      </c>
      <c r="CA57" s="5">
        <v>0</v>
      </c>
      <c r="CB57" s="5">
        <v>1.40002836216128E-5</v>
      </c>
      <c r="CC57" s="5">
        <v>1.75526489344235E-6</v>
      </c>
      <c r="CD57" s="5">
        <v>2.8084238295077598E-6</v>
      </c>
      <c r="CE57" s="5">
        <v>4.3023913163424301E-4</v>
      </c>
      <c r="CF57" s="5">
        <v>1.1679312696131899E-6</v>
      </c>
      <c r="CG57" s="5">
        <v>0</v>
      </c>
      <c r="CH57" s="5">
        <v>1.5352517510128299E-5</v>
      </c>
      <c r="CI57" s="5">
        <v>2.1063178721308201E-6</v>
      </c>
      <c r="CJ57" s="5">
        <v>7.7231655311463296E-6</v>
      </c>
      <c r="CK57" s="5">
        <v>5.6957151933797995E-7</v>
      </c>
      <c r="CL57" s="5">
        <v>5.2517824180548298E-5</v>
      </c>
      <c r="CM57" s="5">
        <v>8.6117421033531094E-5</v>
      </c>
      <c r="CN57" s="5">
        <v>3.9348071725028898E-7</v>
      </c>
      <c r="CO57" s="5">
        <v>2.0004917122211901E-5</v>
      </c>
      <c r="CP57" s="5">
        <v>2.27648562464307E-6</v>
      </c>
      <c r="CQ57" s="5">
        <v>6.3096481266250104E-6</v>
      </c>
      <c r="CR57" s="5">
        <v>1.88685389066601E-4</v>
      </c>
      <c r="CS57" s="5">
        <v>2.5675443361254201E-5</v>
      </c>
      <c r="CT57" s="5">
        <v>1.1733126648338E-6</v>
      </c>
      <c r="CU57" s="5">
        <v>4.7646625165406504E-6</v>
      </c>
      <c r="CV57" s="5">
        <v>-6.1465879079814097E-6</v>
      </c>
      <c r="CW57" s="5">
        <v>2.35236739228954E-3</v>
      </c>
      <c r="CX57" s="5">
        <v>-3.6508098996870802E-4</v>
      </c>
      <c r="CY57" s="5">
        <v>9.4648886418688605E-5</v>
      </c>
      <c r="CZ57" s="5">
        <v>2.81932994296348E-5</v>
      </c>
      <c r="DA57" s="5">
        <v>1.45470724292334E-3</v>
      </c>
      <c r="DB57" s="5">
        <v>2.5797680494218701E-6</v>
      </c>
      <c r="DC57" s="5">
        <v>1.3123827143292E-7</v>
      </c>
      <c r="DD57" s="5">
        <v>1.1031454240162901E-5</v>
      </c>
      <c r="DE57" s="5">
        <v>2.8447508290561101E-10</v>
      </c>
      <c r="DF57" s="5">
        <v>3.08887528580778E-5</v>
      </c>
      <c r="DG57" s="5">
        <v>2.8084238295077598E-6</v>
      </c>
      <c r="DH57" s="5">
        <v>1.47570802737567E-6</v>
      </c>
      <c r="DI57" s="5">
        <v>6.1094758133031501E-3</v>
      </c>
      <c r="DJ57" s="5">
        <v>1.5015976418910399E-5</v>
      </c>
      <c r="DK57" s="5">
        <v>8.4558062283380601E-5</v>
      </c>
      <c r="DL57" s="5">
        <v>5.1346648461903502E-6</v>
      </c>
      <c r="DM57" s="5">
        <v>1.7116962240836201E-4</v>
      </c>
      <c r="DN57" s="5">
        <v>6.1684138578762199E-6</v>
      </c>
      <c r="DO57" s="5">
        <v>7.7353872149412604E-7</v>
      </c>
      <c r="DP57" s="5">
        <v>5.12249674871503E-5</v>
      </c>
      <c r="DQ57" s="5">
        <v>1.1152236238252199E-6</v>
      </c>
      <c r="DR57" s="5">
        <v>6.3707728263658707E-5</v>
      </c>
      <c r="DS57" s="5">
        <v>2.9473108678869601E-3</v>
      </c>
      <c r="DT57" s="5">
        <v>1.5176570830953801E-6</v>
      </c>
      <c r="DU57" s="5">
        <v>1.02922532687483E-6</v>
      </c>
      <c r="DV57" s="5">
        <v>2.2492728550230499E-4</v>
      </c>
      <c r="DW57" s="5">
        <v>4.4504101826173998E-5</v>
      </c>
      <c r="DX57" s="5">
        <v>6.1684138578762199E-6</v>
      </c>
      <c r="DY57" s="5">
        <v>2.5035203494427099E-5</v>
      </c>
      <c r="DZ57" s="5">
        <v>2.2383703638698999E-5</v>
      </c>
      <c r="EA57" s="5">
        <v>3.1593089116018403E-8</v>
      </c>
      <c r="EB57" s="5">
        <v>6.4683599076294403E-3</v>
      </c>
      <c r="EC57" s="5">
        <v>2.68161502359949E-3</v>
      </c>
      <c r="ED57" s="5">
        <v>1.8494714554032201E-4</v>
      </c>
      <c r="EE57" s="5">
        <v>2.6648770669361501E-5</v>
      </c>
      <c r="EF57" s="5">
        <v>9.8676787090514006E-6</v>
      </c>
      <c r="EG57" s="5">
        <v>3.4996730362487298E-4</v>
      </c>
      <c r="EH57" s="5">
        <v>3.64978521754122E-6</v>
      </c>
      <c r="EI57" s="5">
        <v>4.0414152943600099E-3</v>
      </c>
      <c r="EJ57" s="5">
        <v>2.1063178721308201E-5</v>
      </c>
      <c r="EK57">
        <v>1.9011727646105699E-4</v>
      </c>
      <c r="EL57" s="5">
        <v>-3.5937711558762201E-7</v>
      </c>
      <c r="EM57" s="5">
        <v>3.7090681155552297E-5</v>
      </c>
      <c r="EN57" s="5">
        <v>1.67583759042525E-3</v>
      </c>
      <c r="EO57" s="5">
        <v>2.7879793203223398E-6</v>
      </c>
      <c r="EP57" s="5">
        <v>5.83902416910834E-6</v>
      </c>
      <c r="EQ57" s="5">
        <v>1.13997342412556E-4</v>
      </c>
      <c r="ER57" s="5">
        <v>-7.3135910948876997E-5</v>
      </c>
      <c r="ES57" s="5">
        <v>9.6157495390043007E-6</v>
      </c>
      <c r="ET57" s="5">
        <v>6.8800605651928703E-3</v>
      </c>
      <c r="EU57" s="5">
        <v>3.64604872807617E-5</v>
      </c>
      <c r="EV57" s="5">
        <v>2.9332933245905901E-5</v>
      </c>
      <c r="EW57" s="5">
        <v>2.5951218529370399E-6</v>
      </c>
      <c r="EX57" s="5">
        <v>7.3783950591074099E-5</v>
      </c>
      <c r="EY57" s="5">
        <v>1.1168817862145599E-3</v>
      </c>
      <c r="EZ57" s="5">
        <v>1.5462293476117E-6</v>
      </c>
      <c r="FA57" s="5">
        <v>0</v>
      </c>
      <c r="FB57" s="5">
        <v>8.0899432388459892E-6</v>
      </c>
      <c r="FC57" s="5">
        <v>2.29937060789714E-3</v>
      </c>
      <c r="FD57" s="5">
        <v>7.0939833940294702E-4</v>
      </c>
      <c r="FE57" s="5">
        <v>1.41532681374083E-5</v>
      </c>
      <c r="FF57" s="5">
        <v>3.0161400910397598E-6</v>
      </c>
      <c r="FG57" s="5">
        <v>5.3102190753204599E-6</v>
      </c>
      <c r="FH57" s="5">
        <v>3.02764216175988E-6</v>
      </c>
      <c r="FI57" s="5">
        <v>9.5886631825404695E-6</v>
      </c>
      <c r="FJ57" s="5">
        <v>1.51913039887421E-4</v>
      </c>
      <c r="FK57" s="5">
        <v>5.6394630567639896E-7</v>
      </c>
      <c r="FL57" s="5">
        <v>9.6874807516490807E-6</v>
      </c>
      <c r="FM57" s="5">
        <v>6.1876707303938004E-6</v>
      </c>
      <c r="FN57" s="5">
        <v>1.8978245911524701E-4</v>
      </c>
      <c r="FO57" s="5">
        <v>1.24377204843891E-5</v>
      </c>
      <c r="FP57" s="5">
        <v>1.98013979830049E-7</v>
      </c>
      <c r="FQ57" s="5">
        <v>1.49781323184883E-5</v>
      </c>
      <c r="FR57" s="5">
        <v>6.3749581848383698E-7</v>
      </c>
      <c r="FS57" s="5">
        <v>0</v>
      </c>
      <c r="FT57" s="5">
        <v>1.2900557392643399E-6</v>
      </c>
      <c r="FU57" s="5">
        <v>5.5405013502346598E-4</v>
      </c>
      <c r="FV57" s="5">
        <v>7.0139108060440005E-7</v>
      </c>
      <c r="FW57" s="5">
        <v>2.8447508290561101E-10</v>
      </c>
      <c r="FX57" s="5">
        <v>2.05187072315998E-6</v>
      </c>
      <c r="FY57" s="5">
        <v>2.45737085081929E-6</v>
      </c>
      <c r="FZ57" s="5">
        <v>4.2401284075919502E-5</v>
      </c>
      <c r="GA57" s="5">
        <v>4.3190850793340701E-7</v>
      </c>
      <c r="GB57" s="5">
        <v>6.9659979264845098E-6</v>
      </c>
      <c r="GC57" s="5">
        <v>1.53797673086485E-5</v>
      </c>
      <c r="GD57" s="5">
        <v>1.59331135519518E-7</v>
      </c>
      <c r="GE57" s="5">
        <v>9.7055120958731406E-5</v>
      </c>
      <c r="GF57" s="5">
        <v>6.8648503803176204E-5</v>
      </c>
      <c r="GG57" s="5">
        <v>3.3480132837010899E-7</v>
      </c>
      <c r="GH57" s="5">
        <v>1.0716919886899199E-5</v>
      </c>
      <c r="GI57" s="5">
        <v>1.53797673086485E-5</v>
      </c>
      <c r="GJ57" s="5">
        <v>1.59331135519518E-7</v>
      </c>
      <c r="GK57" s="5">
        <v>1.10072797342872E-4</v>
      </c>
      <c r="GL57" s="5">
        <v>2.1063178721308201E-6</v>
      </c>
      <c r="GM57" s="5">
        <v>3.7118203232508099E-4</v>
      </c>
      <c r="GN57" s="5">
        <v>1.3205353768390801E-4</v>
      </c>
      <c r="GO57" s="5">
        <v>1.4850282886012101E-6</v>
      </c>
      <c r="GP57" s="5">
        <v>-3.6552513022324402E-5</v>
      </c>
      <c r="GQ57" s="5">
        <v>5.5109489075671602E-6</v>
      </c>
      <c r="GR57" s="5">
        <v>2.0711691612290199E-7</v>
      </c>
      <c r="GS57" s="5">
        <v>2.4238884754883899E-3</v>
      </c>
      <c r="GT57" s="5">
        <v>9.8300632394154809E-4</v>
      </c>
      <c r="GU57" s="5">
        <v>2.4428948354020501E-6</v>
      </c>
      <c r="GV57" s="5">
        <v>1.51765708309538E-5</v>
      </c>
      <c r="GW57" s="5">
        <v>2.0068942329379802E-6</v>
      </c>
      <c r="GX57" s="5">
        <v>3.6729455580578803E-5</v>
      </c>
      <c r="GY57" s="5">
        <v>1.7116962240836201E-4</v>
      </c>
      <c r="GZ57" s="5">
        <v>1.0573636539656201E-6</v>
      </c>
      <c r="HA57" s="5">
        <v>9.6874807516490807E-6</v>
      </c>
      <c r="HB57" s="5">
        <v>1.16285802303702E-5</v>
      </c>
      <c r="HC57" s="5">
        <v>7.6867772107707397E-4</v>
      </c>
      <c r="HD57" s="5">
        <v>1.7253952366461899E-6</v>
      </c>
      <c r="HE57" s="5">
        <v>2.0671924257497501E-7</v>
      </c>
      <c r="HF57" s="5">
        <v>8.8101206221592504E-7</v>
      </c>
      <c r="HG57" s="5">
        <v>2.1978089141429498E-6</v>
      </c>
      <c r="HH57" s="5">
        <v>7.9178818114305799E-4</v>
      </c>
      <c r="HI57" s="5">
        <v>2.00109034480343E-4</v>
      </c>
      <c r="HJ57" s="5">
        <v>1.4850282886012101E-6</v>
      </c>
      <c r="HK57" s="5">
        <v>3.02764216175988E-6</v>
      </c>
      <c r="HL57" s="5">
        <v>5.2868182698280804E-7</v>
      </c>
      <c r="HM57" s="5">
        <v>4.1575980013261497E-6</v>
      </c>
      <c r="HN57" s="5">
        <v>3.9470484640368398E-5</v>
      </c>
      <c r="HO57" s="5">
        <v>7.7668843546088102E-8</v>
      </c>
      <c r="HP57" s="5">
        <v>1.8248926087706101E-7</v>
      </c>
      <c r="HQ57" s="5">
        <v>1.7641212223736399E-7</v>
      </c>
      <c r="HR57" s="5">
        <v>4.6646936393162703E-5</v>
      </c>
      <c r="HS57" s="5">
        <v>1.6562419452199699E-7</v>
      </c>
      <c r="HT57" s="5">
        <v>1.8248926087706101E-7</v>
      </c>
      <c r="HU57" s="5">
        <v>1.9273218640910201E-7</v>
      </c>
      <c r="HV57" s="5">
        <v>3.9869176404412503E-6</v>
      </c>
      <c r="HW57" s="5">
        <v>1.8248926087706101E-7</v>
      </c>
      <c r="HX57" s="5">
        <v>1.0491469824689E-7</v>
      </c>
      <c r="HY57">
        <v>1.06220528899076E-3</v>
      </c>
      <c r="HZ57" s="5">
        <v>7.3087011193232701E-4</v>
      </c>
      <c r="IA57">
        <v>1.68414745560857</v>
      </c>
      <c r="IB57" s="5">
        <v>0</v>
      </c>
      <c r="ID57">
        <f t="shared" si="5"/>
        <v>11.78903218925999</v>
      </c>
      <c r="IE57">
        <f t="shared" si="6"/>
        <v>0</v>
      </c>
      <c r="IF57">
        <f t="shared" si="7"/>
        <v>0</v>
      </c>
      <c r="IG57" s="5">
        <v>8.9599999999999996E-5</v>
      </c>
      <c r="IH57">
        <v>5.4000000000000001E-4</v>
      </c>
      <c r="II57">
        <v>0.14799999999999999</v>
      </c>
      <c r="IJ57">
        <v>3.2400000000000001E-4</v>
      </c>
      <c r="IK57" s="5">
        <v>3.5299999999999997E-5</v>
      </c>
      <c r="IL57">
        <v>-2.1919586686059998E-2</v>
      </c>
      <c r="IM57">
        <v>-2.4920037219776099E-2</v>
      </c>
      <c r="IN57">
        <v>-3.8801783677801601E-4</v>
      </c>
      <c r="IO57">
        <v>-4.6328856379084498E-3</v>
      </c>
      <c r="IP57" s="5">
        <v>1.51132006011616E-5</v>
      </c>
      <c r="IQ57" s="5">
        <v>-4.5063989749223299E-5</v>
      </c>
      <c r="IR57" s="5">
        <v>1.34314079782726E-5</v>
      </c>
      <c r="IS57" s="5">
        <v>8.0977848354280902E-5</v>
      </c>
      <c r="IT57">
        <v>0.10656281477834501</v>
      </c>
      <c r="IU57" s="5">
        <v>8.3456676620263705E-5</v>
      </c>
      <c r="IV57" s="5">
        <v>3.1618707114922498E-5</v>
      </c>
      <c r="IW57" s="5">
        <v>1.4522563818318501E-5</v>
      </c>
      <c r="IX57" s="5">
        <v>8.7475871154377001E-5</v>
      </c>
      <c r="IY57" s="5">
        <v>1.4647511965059701E-5</v>
      </c>
      <c r="IZ57" s="5">
        <v>1.6077090374787198E-5</v>
      </c>
      <c r="JA57">
        <f t="shared" si="4"/>
        <v>1.758882278958402</v>
      </c>
    </row>
    <row r="58" spans="1:261" x14ac:dyDescent="0.3">
      <c r="A58" t="s">
        <v>167</v>
      </c>
      <c r="B58" s="5">
        <v>7.0334151684230297E-6</v>
      </c>
      <c r="C58" s="5">
        <v>3.28174489391575E-7</v>
      </c>
      <c r="D58" s="5">
        <v>1.7944517670603301E-8</v>
      </c>
      <c r="E58">
        <v>1.0386803331327699E-6</v>
      </c>
      <c r="F58">
        <v>9.7467615215143092E-7</v>
      </c>
      <c r="G58">
        <v>3.0229572219656802E-7</v>
      </c>
      <c r="H58">
        <v>2.0897440900883901E-6</v>
      </c>
      <c r="I58" s="5">
        <v>0</v>
      </c>
      <c r="J58" s="5">
        <v>9.52655846365087E-7</v>
      </c>
      <c r="K58" s="5">
        <v>1.8383243825773001E-8</v>
      </c>
      <c r="L58" s="5">
        <v>0</v>
      </c>
      <c r="M58" s="5">
        <v>1.42898376954763E-6</v>
      </c>
      <c r="N58" s="5">
        <v>8.4131070939431705E-6</v>
      </c>
      <c r="O58" s="5">
        <v>0</v>
      </c>
      <c r="P58" s="5">
        <v>9.52655846365087E-7</v>
      </c>
      <c r="Q58" s="5">
        <v>1.8908479363652301E-8</v>
      </c>
      <c r="R58" s="5">
        <v>6.93868174415013E-7</v>
      </c>
      <c r="S58" s="5">
        <v>7.5233448663973096E-6</v>
      </c>
      <c r="T58" s="5">
        <v>8.9893253121627196E-8</v>
      </c>
      <c r="U58" s="5">
        <v>9.52655846365087E-7</v>
      </c>
      <c r="V58" s="5">
        <v>0</v>
      </c>
      <c r="W58" s="5">
        <v>5.4236121028514503E-6</v>
      </c>
      <c r="X58" s="5">
        <v>9.52655846365087E-7</v>
      </c>
      <c r="Y58" s="5">
        <v>0</v>
      </c>
      <c r="Z58" s="5">
        <v>1.12400405106155E-8</v>
      </c>
      <c r="AA58" s="5">
        <v>9.52655846365087E-7</v>
      </c>
      <c r="AB58" s="5">
        <v>0</v>
      </c>
      <c r="AC58" s="5">
        <v>1.53515169526677E-6</v>
      </c>
      <c r="AD58" s="5">
        <v>1.8290418885293499E-6</v>
      </c>
      <c r="AE58" s="5">
        <v>1.5942311350974E-4</v>
      </c>
      <c r="AF58" s="5">
        <v>3.8106233854603502E-10</v>
      </c>
      <c r="AG58" s="5">
        <v>9.52655846365087E-7</v>
      </c>
      <c r="AH58">
        <v>0</v>
      </c>
      <c r="AI58" s="5">
        <v>1.8383243825773001E-8</v>
      </c>
      <c r="AJ58" s="5">
        <v>4.3601209176370996E-6</v>
      </c>
      <c r="AK58" s="5">
        <v>2.3132331282471901E-7</v>
      </c>
      <c r="AL58" s="5">
        <v>4.2605408498611398E-6</v>
      </c>
      <c r="AM58" s="5">
        <v>3.2126069976984898E-7</v>
      </c>
      <c r="AN58">
        <v>0</v>
      </c>
      <c r="AO58" s="5">
        <v>3.8461161207392997E-8</v>
      </c>
      <c r="AP58" s="5">
        <v>1.26772690897843E-5</v>
      </c>
      <c r="AQ58" s="5">
        <v>7.2887661110275101E-7</v>
      </c>
      <c r="AR58" s="5">
        <v>1.43733159973471E-6</v>
      </c>
      <c r="AS58" s="5">
        <v>1.01138609100922E-6</v>
      </c>
      <c r="AT58" s="5">
        <v>4.7476755199361101E-7</v>
      </c>
      <c r="AU58" s="5">
        <v>6.1582647394237105E-8</v>
      </c>
      <c r="AV58" s="5">
        <v>3.7066705462884102E-8</v>
      </c>
      <c r="AW58" s="5">
        <v>1.0242477803978399E-7</v>
      </c>
      <c r="AX58" s="5">
        <v>1.14536434050901E-7</v>
      </c>
      <c r="AY58" s="5">
        <v>1.1000000000000001E-7</v>
      </c>
      <c r="AZ58" s="5">
        <v>3.4200000000000002E-8</v>
      </c>
      <c r="BA58" s="5">
        <v>5.1799999999999999E-9</v>
      </c>
      <c r="BB58" s="5">
        <v>3.9099999999999999E-7</v>
      </c>
      <c r="BC58" s="5">
        <v>1.1600000000000001E-7</v>
      </c>
      <c r="BD58" s="5">
        <v>7.3700000000000005E-8</v>
      </c>
      <c r="BE58" s="5">
        <v>1.0957513283338E-7</v>
      </c>
      <c r="BF58" s="5">
        <v>8.6733521801876599E-8</v>
      </c>
      <c r="BG58" s="5">
        <v>1.37002614250179E-9</v>
      </c>
      <c r="BH58" s="5">
        <v>2.53929644646611E-6</v>
      </c>
      <c r="BI58" s="5">
        <v>5.8757679925145799E-8</v>
      </c>
      <c r="BJ58" s="5">
        <v>5.5509453953201004E-7</v>
      </c>
      <c r="BK58" s="5">
        <v>0</v>
      </c>
      <c r="BL58" s="5">
        <v>1.40869054008012E-7</v>
      </c>
      <c r="BM58" s="5">
        <v>1.3500602092699501E-7</v>
      </c>
      <c r="BN58" s="5">
        <v>3.0572623882825802E-7</v>
      </c>
      <c r="BO58" s="5">
        <v>1.1564469596712499E-7</v>
      </c>
      <c r="BP58" s="5">
        <v>0</v>
      </c>
      <c r="BQ58" s="5">
        <v>2.5352545626708401E-8</v>
      </c>
      <c r="BR58" s="5">
        <v>2.7795357249675501E-8</v>
      </c>
      <c r="BS58" s="5">
        <v>1.19122959641467E-8</v>
      </c>
      <c r="BT58" s="5">
        <v>2.2000000000000001E-6</v>
      </c>
      <c r="BU58" s="5">
        <v>5.0299999999999999E-7</v>
      </c>
      <c r="BV58" s="5"/>
      <c r="BW58" s="5">
        <v>1.0700000000000001E-7</v>
      </c>
      <c r="BX58" s="5">
        <v>9.9299999999999996E-8</v>
      </c>
      <c r="BY58" s="5">
        <v>2.1577703137134898E-6</v>
      </c>
      <c r="BZ58" s="5">
        <v>5.5509453953201004E-7</v>
      </c>
      <c r="CA58" s="5">
        <v>0</v>
      </c>
      <c r="CB58" s="5">
        <v>1.27221757511184E-7</v>
      </c>
      <c r="CC58" s="5">
        <v>1.9853826606911099E-8</v>
      </c>
      <c r="CD58" s="5">
        <v>3.1766122571057801E-8</v>
      </c>
      <c r="CE58" s="5">
        <v>2.75658947571595E-6</v>
      </c>
      <c r="CF58" s="5">
        <v>5.5509453953201004E-7</v>
      </c>
      <c r="CG58" s="5">
        <v>0</v>
      </c>
      <c r="CH58" s="5">
        <v>1.3950962085114901E-7</v>
      </c>
      <c r="CI58" s="5">
        <v>2.38245919282933E-8</v>
      </c>
      <c r="CJ58" s="5">
        <v>8.7356837070408803E-8</v>
      </c>
      <c r="CK58" s="5">
        <v>3.1338723946764699E-8</v>
      </c>
      <c r="CL58" s="5">
        <v>6.3094607430724598E-7</v>
      </c>
      <c r="CM58" s="5">
        <v>9.8247982766676306E-7</v>
      </c>
      <c r="CN58" s="5">
        <v>2.16499300923867E-8</v>
      </c>
      <c r="CO58" s="5">
        <v>6.7409170002919902E-7</v>
      </c>
      <c r="CP58" s="5">
        <v>1.84939861629958E-8</v>
      </c>
      <c r="CQ58" s="5">
        <v>4.0426610092992799E-8</v>
      </c>
      <c r="CR58" s="5">
        <v>1.8437207133268699E-6</v>
      </c>
      <c r="CS58" s="5">
        <v>7.4496782013896996E-7</v>
      </c>
      <c r="CT58" s="5">
        <v>9.0914983744078496E-8</v>
      </c>
      <c r="CU58" s="5">
        <v>4.3296889954871698E-8</v>
      </c>
      <c r="CV58" s="5">
        <v>4.94091546313669E-7</v>
      </c>
      <c r="CW58" s="5">
        <v>2.64507487151046E-5</v>
      </c>
      <c r="CX58" s="5">
        <v>2.4923090901426901E-5</v>
      </c>
      <c r="CY58" s="5">
        <v>1.09684657053735E-5</v>
      </c>
      <c r="CZ58" s="5">
        <v>2.56194888647834E-7</v>
      </c>
      <c r="DA58" s="5">
        <v>1.66324616820192E-5</v>
      </c>
      <c r="DB58" s="5">
        <v>1.41942909718317E-7</v>
      </c>
      <c r="DC58" s="5">
        <v>1.0653797999202999E-9</v>
      </c>
      <c r="DD58" s="5">
        <v>3.20075423922709E-7</v>
      </c>
      <c r="DE58" s="5">
        <v>2.20392614780741E-11</v>
      </c>
      <c r="DF58" s="5">
        <v>2.80688701182224E-7</v>
      </c>
      <c r="DG58" s="5">
        <v>3.1766122571057801E-8</v>
      </c>
      <c r="DH58" s="5">
        <v>8.1195784771162994E-8</v>
      </c>
      <c r="DI58" s="5">
        <v>7.1176014429585494E-5</v>
      </c>
      <c r="DJ58" s="5">
        <v>8.26202722232887E-7</v>
      </c>
      <c r="DK58" s="5">
        <v>9.9221587398470109E-7</v>
      </c>
      <c r="DL58" s="5">
        <v>4.86229164533291E-8</v>
      </c>
      <c r="DM58" s="5">
        <v>4.9664521342598003E-6</v>
      </c>
      <c r="DN58" s="5">
        <v>4.7798710513629696E-7</v>
      </c>
      <c r="DO58" s="5">
        <v>9.9703904253031006E-9</v>
      </c>
      <c r="DP58" s="5">
        <v>4.6548559788517901E-7</v>
      </c>
      <c r="DQ58" s="5">
        <v>6.1361363936510394E-8</v>
      </c>
      <c r="DR58" s="5">
        <v>6.2251379812586904E-7</v>
      </c>
      <c r="DS58" s="5">
        <v>2.7649174722882202E-5</v>
      </c>
      <c r="DT58" s="5">
        <v>1.2329324108663899E-8</v>
      </c>
      <c r="DU58" s="5">
        <v>9.7462908640308205E-9</v>
      </c>
      <c r="DV58" s="5">
        <v>2.1978548382811298E-6</v>
      </c>
      <c r="DW58" s="5">
        <v>1.29127755490755E-6</v>
      </c>
      <c r="DX58" s="5">
        <v>4.7798710513629696E-7</v>
      </c>
      <c r="DY58" s="5">
        <v>2.2749700465312699E-7</v>
      </c>
      <c r="DZ58" s="5">
        <v>2.1386002262705101E-6</v>
      </c>
      <c r="EA58" s="5">
        <v>3.0184900864791899E-9</v>
      </c>
      <c r="EB58" s="5">
        <v>7.2225460655446196E-5</v>
      </c>
      <c r="EC58" s="5">
        <v>2.84975948440144E-5</v>
      </c>
      <c r="ED58" s="5">
        <v>2.1106263565781801E-6</v>
      </c>
      <c r="EE58" s="5">
        <v>2.5460963879452E-6</v>
      </c>
      <c r="EF58" s="5">
        <v>9.3739649398385894E-8</v>
      </c>
      <c r="EG58" s="5">
        <v>1.0095592224494401E-5</v>
      </c>
      <c r="EH58" s="5">
        <v>1.7346704360375299E-6</v>
      </c>
      <c r="EI58" s="5">
        <v>6.1456000811329996E-5</v>
      </c>
      <c r="EJ58" s="5">
        <v>2.3824591928293301E-7</v>
      </c>
      <c r="EK58" s="5">
        <v>1.8060505784088999E-6</v>
      </c>
      <c r="EL58" s="5">
        <v>2.8888417022371699E-8</v>
      </c>
      <c r="EM58" s="5">
        <v>2.0407878172742301E-6</v>
      </c>
      <c r="EN58" s="5">
        <v>1.8377762212611499E-5</v>
      </c>
      <c r="EO58" s="5">
        <v>2.5897842004124899E-8</v>
      </c>
      <c r="EP58" s="5">
        <v>5.5292875552368503E-8</v>
      </c>
      <c r="EQ58" s="5">
        <v>3.3076099401217499E-6</v>
      </c>
      <c r="ER58" s="5">
        <v>4.9277209899833503E-6</v>
      </c>
      <c r="ES58" s="5">
        <v>8.7379126680760603E-8</v>
      </c>
      <c r="ET58" s="5">
        <v>7.3111828889360495E-5</v>
      </c>
      <c r="EU58" s="5">
        <v>3.4937783083029498E-7</v>
      </c>
      <c r="EV58" s="5">
        <v>1.6139442832583799E-6</v>
      </c>
      <c r="EW58" s="5">
        <v>2.4574611356608201E-8</v>
      </c>
      <c r="EX58" s="5">
        <v>7.20972613135572E-7</v>
      </c>
      <c r="EY58" s="5">
        <v>3.2406100176045201E-5</v>
      </c>
      <c r="EZ58" s="5">
        <v>8.3554440651724106E-8</v>
      </c>
      <c r="FA58" s="5">
        <v>0</v>
      </c>
      <c r="FB58" s="5">
        <v>7.3513996203824203E-8</v>
      </c>
      <c r="FC58" s="5">
        <v>2.77017146203192E-5</v>
      </c>
      <c r="FD58" s="5">
        <v>7.1549791628057101E-6</v>
      </c>
      <c r="FE58" s="5">
        <v>1.3277397640499299E-7</v>
      </c>
      <c r="FF58" s="5">
        <v>1.6595278817264001E-7</v>
      </c>
      <c r="FG58" s="5">
        <v>4.3107853175965901E-8</v>
      </c>
      <c r="FH58" s="5">
        <v>2.8670379916042902E-8</v>
      </c>
      <c r="FI58" s="5">
        <v>9.36946787995567E-8</v>
      </c>
      <c r="FJ58" s="5">
        <v>4.4077262691555699E-6</v>
      </c>
      <c r="FK58" s="5">
        <v>4.3699195736108503E-8</v>
      </c>
      <c r="FL58" s="5">
        <v>2.69673779019413E-9</v>
      </c>
      <c r="FM58" s="5">
        <v>5.6227885555544603E-8</v>
      </c>
      <c r="FN58" s="5">
        <v>1.78037831997604E-6</v>
      </c>
      <c r="FO58" s="5">
        <v>1.16680161083176E-7</v>
      </c>
      <c r="FP58" s="5">
        <v>1.7888507823241801E-9</v>
      </c>
      <c r="FQ58" s="5">
        <v>4.3458695234991099E-7</v>
      </c>
      <c r="FR58" s="5">
        <v>3.0298910305917898E-7</v>
      </c>
      <c r="FS58" s="5">
        <v>0</v>
      </c>
      <c r="FT58" s="5">
        <v>1.17228452560229E-8</v>
      </c>
      <c r="FU58" s="5">
        <v>7.3486228465221199E-6</v>
      </c>
      <c r="FV58" s="5">
        <v>3.8591644258007703E-8</v>
      </c>
      <c r="FW58" s="5">
        <v>2.20392614780741E-11</v>
      </c>
      <c r="FX58" s="5">
        <v>1.8645522236647801E-8</v>
      </c>
      <c r="FY58" s="5">
        <v>2.7795357249675501E-8</v>
      </c>
      <c r="FZ58" s="5">
        <v>4.8387273271992497E-7</v>
      </c>
      <c r="GA58" s="5">
        <v>4.0586728707011098E-9</v>
      </c>
      <c r="GB58" s="5">
        <v>2.34728359831596E-7</v>
      </c>
      <c r="GC58" s="5">
        <v>9.8539862101669997E-8</v>
      </c>
      <c r="GD58" s="5">
        <v>1.33644750572188E-8</v>
      </c>
      <c r="GE58" s="5">
        <v>1.4625256412970099E-6</v>
      </c>
      <c r="GF58" s="5">
        <v>7.8342026335871296E-7</v>
      </c>
      <c r="GG58" s="5">
        <v>2.7691329710029999E-8</v>
      </c>
      <c r="GH58" s="5">
        <v>3.6112055358707101E-7</v>
      </c>
      <c r="GI58" s="5">
        <v>9.8539862101669997E-8</v>
      </c>
      <c r="GJ58" s="5">
        <v>1.33644750572188E-8</v>
      </c>
      <c r="GK58" s="5">
        <v>1.66047964308986E-6</v>
      </c>
      <c r="GL58" s="5">
        <v>2.38245919282933E-8</v>
      </c>
      <c r="GM58" s="5">
        <v>4.2346699979525798E-6</v>
      </c>
      <c r="GN58" s="5">
        <v>1.68371092939581E-6</v>
      </c>
      <c r="GO58" s="5">
        <v>8.1708600253928194E-8</v>
      </c>
      <c r="GP58" s="5">
        <v>2.5259639160070702E-6</v>
      </c>
      <c r="GQ58" s="5">
        <v>5.0078457303014698E-8</v>
      </c>
      <c r="GR58" s="5">
        <v>1.1395899617005301E-8</v>
      </c>
      <c r="GS58" s="5">
        <v>3.5032170336114997E-5</v>
      </c>
      <c r="GT58" s="5">
        <v>1.12392477198357E-5</v>
      </c>
      <c r="GU58" s="5">
        <v>1.34411929456419E-7</v>
      </c>
      <c r="GV58" s="5">
        <v>1.2329324108663899E-7</v>
      </c>
      <c r="GW58" s="5">
        <v>1.9004366115777E-8</v>
      </c>
      <c r="GX58" s="5">
        <v>3.5889826116440402E-7</v>
      </c>
      <c r="GY58" s="5">
        <v>4.9664521342598003E-6</v>
      </c>
      <c r="GZ58" s="5">
        <v>8.1936052043413102E-8</v>
      </c>
      <c r="HA58" s="5">
        <v>2.69673779019413E-9</v>
      </c>
      <c r="HB58" s="5">
        <v>1.0566988885737099E-7</v>
      </c>
      <c r="HC58" s="5">
        <v>8.7695421654699898E-6</v>
      </c>
      <c r="HD58" s="5">
        <v>9.4933969105698504E-8</v>
      </c>
      <c r="HE58" s="5">
        <v>1.67812714149296E-9</v>
      </c>
      <c r="HF58" s="5">
        <v>6.8266326107915096E-8</v>
      </c>
      <c r="HG58" s="5">
        <v>1.9971674880883799E-8</v>
      </c>
      <c r="HH58" s="5">
        <v>1.03000319421963E-5</v>
      </c>
      <c r="HI58" s="5">
        <v>2.3529260870037801E-6</v>
      </c>
      <c r="HJ58" s="5">
        <v>8.1708600253928194E-8</v>
      </c>
      <c r="HK58" s="5">
        <v>2.8670379916042902E-8</v>
      </c>
      <c r="HL58" s="5">
        <v>4.0968026021706498E-8</v>
      </c>
      <c r="HM58" s="5">
        <v>3.7780443528812301E-8</v>
      </c>
      <c r="HN58" s="5">
        <v>4.5030325434726599E-7</v>
      </c>
      <c r="HO58" s="5">
        <v>4.2734623563769998E-9</v>
      </c>
      <c r="HP58" s="5">
        <v>8.6733521801876599E-8</v>
      </c>
      <c r="HQ58" s="5">
        <v>1.6030718265356001E-9</v>
      </c>
      <c r="HR58" s="5">
        <v>5.3217657331949702E-7</v>
      </c>
      <c r="HS58" s="5">
        <v>8.1671944516867697E-9</v>
      </c>
      <c r="HT58" s="5">
        <v>8.6733521801876599E-8</v>
      </c>
      <c r="HU58" s="5">
        <v>1.7513736254662001E-9</v>
      </c>
      <c r="HV58" s="5">
        <v>4.5485177206794597E-8</v>
      </c>
      <c r="HW58" s="5">
        <v>8.6733521801876599E-8</v>
      </c>
      <c r="HX58" s="5">
        <v>9.5336870741103804E-10</v>
      </c>
      <c r="HY58" s="5">
        <v>5.3699999999999997E-5</v>
      </c>
      <c r="HZ58" s="5">
        <v>6.64E-6</v>
      </c>
      <c r="IA58" s="5">
        <v>2.0600184584041201E-2</v>
      </c>
      <c r="IB58" s="5">
        <v>5.0098950191908498E-3</v>
      </c>
      <c r="ID58">
        <f t="shared" si="5"/>
        <v>0.14420129208828841</v>
      </c>
      <c r="IE58">
        <f t="shared" si="6"/>
        <v>3.5069265134335947E-2</v>
      </c>
      <c r="IF58">
        <f t="shared" si="7"/>
        <v>0</v>
      </c>
      <c r="IG58" s="5">
        <v>7.7599999999999993E-8</v>
      </c>
      <c r="IH58" s="5">
        <v>4.6800000000000001E-7</v>
      </c>
      <c r="II58" s="5">
        <v>2.3800000000000001E-6</v>
      </c>
      <c r="IJ58" s="5">
        <v>7.9500000000000001E-6</v>
      </c>
      <c r="IK58" s="5">
        <v>1.6900000000000001E-5</v>
      </c>
      <c r="IL58" s="5">
        <v>-1.8658594134913E-5</v>
      </c>
      <c r="IM58">
        <v>-2.4111420937652199E-4</v>
      </c>
      <c r="IN58" s="5">
        <v>-2.78241517913662E-6</v>
      </c>
      <c r="IO58">
        <v>-1.13138562791754E-4</v>
      </c>
      <c r="IP58" s="5">
        <v>-3.6309597931875701E-7</v>
      </c>
      <c r="IQ58" s="5">
        <v>-1.1275821937431099E-6</v>
      </c>
      <c r="IR58" s="5">
        <v>1.16328790701018E-8</v>
      </c>
      <c r="IS58" s="5">
        <v>7.0151192175883201E-8</v>
      </c>
      <c r="IT58" s="5">
        <v>1.71031416256537E-6</v>
      </c>
      <c r="IU58" s="5">
        <v>2.0509661329128498E-6</v>
      </c>
      <c r="IV58" s="5">
        <v>1.5092421531653599E-5</v>
      </c>
      <c r="IW58" s="5">
        <v>1.9326353866804501E-6</v>
      </c>
      <c r="IX58" s="5">
        <v>1.1641123853103801E-5</v>
      </c>
      <c r="IY58" s="5">
        <v>1.6647931309344899E-6</v>
      </c>
      <c r="IZ58" s="5">
        <v>3.4421727986640499E-7</v>
      </c>
      <c r="JA58">
        <f t="shared" si="4"/>
        <v>2.6570740455613674E-2</v>
      </c>
    </row>
    <row r="59" spans="1:261" x14ac:dyDescent="0.3">
      <c r="A59" t="s">
        <v>168</v>
      </c>
      <c r="B59">
        <v>1.3226414116439099E-4</v>
      </c>
      <c r="C59" s="5">
        <v>-1.0091248292365399E-5</v>
      </c>
      <c r="D59" s="5">
        <v>4.4411567486278397E-8</v>
      </c>
      <c r="E59">
        <v>8.0112033327005507E-6</v>
      </c>
      <c r="F59">
        <v>1.87094820399915E-5</v>
      </c>
      <c r="G59">
        <v>-8.6741461505595402E-6</v>
      </c>
      <c r="H59">
        <v>1.9118921929962699E-6</v>
      </c>
      <c r="I59" s="5">
        <v>9.2205547132198501E-3</v>
      </c>
      <c r="J59" s="5">
        <v>2.6626709838877201E-5</v>
      </c>
      <c r="K59" s="5">
        <v>4.5497387490247299E-8</v>
      </c>
      <c r="L59" s="5">
        <v>1.0820115374394699E-2</v>
      </c>
      <c r="M59" s="5">
        <v>3.9940064758315803E-5</v>
      </c>
      <c r="N59" s="5">
        <v>7.6970926000183897E-6</v>
      </c>
      <c r="O59" s="5">
        <v>6.2511745104175198E-3</v>
      </c>
      <c r="P59" s="5">
        <v>2.6626709838877201E-5</v>
      </c>
      <c r="Q59" s="5">
        <v>4.6797312847111502E-8</v>
      </c>
      <c r="R59" s="5">
        <v>4.07977312569363E-5</v>
      </c>
      <c r="S59" s="5">
        <v>0</v>
      </c>
      <c r="T59" s="5">
        <v>2.2248022214118499E-7</v>
      </c>
      <c r="U59" s="5">
        <v>2.6626709838877201E-5</v>
      </c>
      <c r="V59" s="5">
        <v>2.4106939362307398E-3</v>
      </c>
      <c r="W59" s="5">
        <v>4.9620246261077801E-6</v>
      </c>
      <c r="X59" s="5">
        <v>2.6626709838877201E-5</v>
      </c>
      <c r="Y59" s="5">
        <v>1.41280381048417E-3</v>
      </c>
      <c r="Z59" s="5">
        <v>2.7818402636894099E-8</v>
      </c>
      <c r="AA59" s="5">
        <v>2.6626709838877201E-5</v>
      </c>
      <c r="AB59" s="5">
        <v>1.3491189735019901E-4</v>
      </c>
      <c r="AC59" s="5">
        <v>1.40449950554538E-6</v>
      </c>
      <c r="AD59" s="5">
        <v>2.9904269138007799E-5</v>
      </c>
      <c r="AE59" s="5">
        <v>5.6434080910387297E-4</v>
      </c>
      <c r="AF59" s="5">
        <v>1.06506839355509E-8</v>
      </c>
      <c r="AG59" s="5">
        <v>2.6626709838877201E-5</v>
      </c>
      <c r="AH59">
        <v>1.8441109428809301E-2</v>
      </c>
      <c r="AI59" s="5">
        <v>4.5497387490247299E-8</v>
      </c>
      <c r="AJ59">
        <v>1.64796342052075E-2</v>
      </c>
      <c r="AK59">
        <v>8.7431602253684E-4</v>
      </c>
      <c r="AL59" s="5">
        <v>7.9237430857528102E-6</v>
      </c>
      <c r="AM59" s="5">
        <v>5.9747983606551304E-7</v>
      </c>
      <c r="AN59" s="5">
        <v>7.1441601951793804E-8</v>
      </c>
      <c r="AO59" s="5">
        <v>6.2882808935063305E-7</v>
      </c>
      <c r="AP59">
        <v>1.0714830056642399E-3</v>
      </c>
      <c r="AQ59" s="5">
        <v>5.7049189597922102E-5</v>
      </c>
      <c r="AR59">
        <v>1.0599437158582E-4</v>
      </c>
      <c r="AS59" s="5">
        <v>1.6535849756998101E-5</v>
      </c>
      <c r="AT59" s="5">
        <v>3.73677056071927E-5</v>
      </c>
      <c r="AU59" s="5">
        <v>2.5595142220717199E-6</v>
      </c>
      <c r="AV59" s="5">
        <v>1.1460744690428399E-6</v>
      </c>
      <c r="AW59" s="5">
        <v>-3.4466487795231798E-6</v>
      </c>
      <c r="AX59" s="5">
        <v>2.8347056543193399E-7</v>
      </c>
      <c r="AY59" s="5">
        <v>8.0600000000000008E-6</v>
      </c>
      <c r="AZ59" s="5">
        <v>5.5899999999999996E-7</v>
      </c>
      <c r="BA59" s="5">
        <v>2.35E-7</v>
      </c>
      <c r="BB59" s="5">
        <v>3.3099999999999998E-5</v>
      </c>
      <c r="BC59" s="5">
        <v>6.0700000000000003E-6</v>
      </c>
      <c r="BD59" s="5">
        <v>1.8300000000000001E-7</v>
      </c>
      <c r="BE59" s="5">
        <v>1.42623137951295E-5</v>
      </c>
      <c r="BF59" s="5">
        <v>4.5491250475297396E-6</v>
      </c>
      <c r="BG59" s="5">
        <v>3.3907296703415999E-9</v>
      </c>
      <c r="BH59" s="5">
        <v>3.7741342059286498E-5</v>
      </c>
      <c r="BI59" s="5">
        <v>7.6479073973882999E-6</v>
      </c>
      <c r="BJ59" s="5">
        <v>2.9114400304190301E-5</v>
      </c>
      <c r="BK59" s="5">
        <v>3.21179998450385E-5</v>
      </c>
      <c r="BL59" s="5">
        <v>3.4864216545948001E-7</v>
      </c>
      <c r="BM59" s="5">
        <v>2.4054173983121699E-6</v>
      </c>
      <c r="BN59" s="5">
        <v>4.5439824767897197E-6</v>
      </c>
      <c r="BO59" s="5">
        <v>6.0655000622897897E-6</v>
      </c>
      <c r="BP59" s="5">
        <v>1.9060190071973701E-5</v>
      </c>
      <c r="BQ59" s="5">
        <v>6.2745976889311105E-8</v>
      </c>
      <c r="BR59" s="5">
        <v>4.9523299377015303E-7</v>
      </c>
      <c r="BS59" s="5">
        <v>2.1224271161578E-7</v>
      </c>
      <c r="BT59" s="5">
        <v>3.2700000000000002E-5</v>
      </c>
      <c r="BU59" s="5">
        <v>2.6400000000000001E-5</v>
      </c>
      <c r="BV59" s="5">
        <v>4.1600000000000002E-5</v>
      </c>
      <c r="BW59" s="5">
        <v>2.6399999999999998E-7</v>
      </c>
      <c r="BX59" s="5">
        <v>1.77E-6</v>
      </c>
      <c r="BY59" s="5">
        <v>3.2070752356846497E-5</v>
      </c>
      <c r="BZ59" s="5">
        <v>2.9114400304190301E-5</v>
      </c>
      <c r="CA59" s="5">
        <v>7.7399114380666595E-5</v>
      </c>
      <c r="CB59" s="5">
        <v>3.1486595366599998E-7</v>
      </c>
      <c r="CC59" s="5">
        <v>3.53737852692966E-7</v>
      </c>
      <c r="CD59" s="5">
        <v>5.6598056430874602E-7</v>
      </c>
      <c r="CE59" s="5">
        <v>4.0970949439484202E-5</v>
      </c>
      <c r="CF59" s="5">
        <v>2.9114400304190301E-5</v>
      </c>
      <c r="CG59" s="5">
        <v>7.5293016030172306E-5</v>
      </c>
      <c r="CH59" s="5">
        <v>3.4527765277112502E-7</v>
      </c>
      <c r="CI59" s="5">
        <v>4.2448542323155999E-7</v>
      </c>
      <c r="CJ59" s="5">
        <v>1.55644655184905E-6</v>
      </c>
      <c r="CK59" s="5">
        <v>5.1237844317459096E-7</v>
      </c>
      <c r="CL59" s="5">
        <v>5.4569365191645599E-5</v>
      </c>
      <c r="CM59" s="5">
        <v>7.2451848932079501E-5</v>
      </c>
      <c r="CN59" s="5">
        <v>3.5396966048839499E-7</v>
      </c>
      <c r="CO59" s="5">
        <v>0</v>
      </c>
      <c r="CP59" s="5">
        <v>7.8575155122045501E-7</v>
      </c>
      <c r="CQ59" s="5">
        <v>6.0085718701351701E-7</v>
      </c>
      <c r="CR59" s="5">
        <v>2.3997893211804899E-4</v>
      </c>
      <c r="CS59" s="5">
        <v>2.6371065845975401E-6</v>
      </c>
      <c r="CT59" s="5">
        <v>-3.0590493149140602E-6</v>
      </c>
      <c r="CU59" s="5">
        <v>1.0715711536380899E-7</v>
      </c>
      <c r="CV59" s="5">
        <v>3.5666655803587102E-6</v>
      </c>
      <c r="CW59" s="5">
        <v>1.54758703902777E-3</v>
      </c>
      <c r="CX59" s="5">
        <v>-7.9028418478319898E-4</v>
      </c>
      <c r="CY59" s="5">
        <v>9.3239995410397398E-5</v>
      </c>
      <c r="CZ59" s="5">
        <v>6.3406644835387898E-7</v>
      </c>
      <c r="DA59" s="5">
        <v>1.2205693501535901E-3</v>
      </c>
      <c r="DB59" s="5">
        <v>2.3207226696494401E-6</v>
      </c>
      <c r="DC59" s="5">
        <v>4.4279596041840702E-8</v>
      </c>
      <c r="DD59" s="5">
        <v>1.13303284407233E-6</v>
      </c>
      <c r="DE59" s="5">
        <v>-7.4115892427332599E-10</v>
      </c>
      <c r="DF59" s="5">
        <v>6.9468711413802195E-7</v>
      </c>
      <c r="DG59" s="5">
        <v>5.6598056430874602E-7</v>
      </c>
      <c r="DH59" s="5">
        <v>1.32752596640689E-6</v>
      </c>
      <c r="DI59" s="5">
        <v>6.1040439285536896E-3</v>
      </c>
      <c r="DJ59" s="5">
        <v>1.3508158956421E-5</v>
      </c>
      <c r="DK59" s="5">
        <v>7.2243726173717003E-5</v>
      </c>
      <c r="DL59" s="5">
        <v>1.5033837634521599E-6</v>
      </c>
      <c r="DM59" s="5">
        <v>1.75807105639836E-5</v>
      </c>
      <c r="DN59" s="5">
        <v>-1.6084095614292299E-5</v>
      </c>
      <c r="DO59" s="5">
        <v>1.1118008783734599E-6</v>
      </c>
      <c r="DP59" s="5">
        <v>1.15204796383213E-6</v>
      </c>
      <c r="DQ59" s="5">
        <v>1.0032393207287701E-6</v>
      </c>
      <c r="DR59" s="5">
        <v>8.1026478372330199E-5</v>
      </c>
      <c r="DS59" s="5">
        <v>2.2122504705443902E-3</v>
      </c>
      <c r="DT59" s="5">
        <v>5.2383436748030295E-7</v>
      </c>
      <c r="DU59" s="5">
        <v>3.0134793442368398E-7</v>
      </c>
      <c r="DV59" s="5">
        <v>2.8607307670230902E-4</v>
      </c>
      <c r="DW59" s="5">
        <v>4.5709847466357299E-6</v>
      </c>
      <c r="DX59" s="5">
        <v>-1.6084095614292299E-5</v>
      </c>
      <c r="DY59" s="5">
        <v>5.6304096663629295E-7</v>
      </c>
      <c r="DZ59" s="5">
        <v>-2.0560341193211201E-7</v>
      </c>
      <c r="EA59" s="5">
        <v>-2.9019535911377498E-10</v>
      </c>
      <c r="EB59" s="5">
        <v>4.9538360518767404E-3</v>
      </c>
      <c r="EC59" s="5">
        <v>2.0352879625466398E-3</v>
      </c>
      <c r="ED59" s="5">
        <v>1.43066888168219E-4</v>
      </c>
      <c r="EE59" s="5">
        <v>-2.4477978541247499E-7</v>
      </c>
      <c r="EF59" s="5">
        <v>2.23848288524807E-6</v>
      </c>
      <c r="EG59" s="5">
        <v>2.06232051875652E-5</v>
      </c>
      <c r="EH59" s="5">
        <v>1.01994328142341E-4</v>
      </c>
      <c r="EI59" s="5">
        <v>5.62256635734687E-5</v>
      </c>
      <c r="EJ59" s="5">
        <v>4.2448542323156E-6</v>
      </c>
      <c r="EK59" s="5">
        <v>4.3128103589112898E-5</v>
      </c>
      <c r="EL59" s="5">
        <v>2.08534882722587E-7</v>
      </c>
      <c r="EM59" s="5">
        <v>3.3366249578026898E-5</v>
      </c>
      <c r="EN59" s="5">
        <v>1.53548095460157E-3</v>
      </c>
      <c r="EO59" s="5">
        <v>5.44868867618443E-7</v>
      </c>
      <c r="EP59" s="5">
        <v>1.70961384884844E-6</v>
      </c>
      <c r="EQ59" s="5">
        <v>1.17085862188627E-5</v>
      </c>
      <c r="ER59" s="5">
        <v>-1.6360461635805799E-4</v>
      </c>
      <c r="ES59" s="5">
        <v>2.1625791524237701E-7</v>
      </c>
      <c r="ET59" s="5">
        <v>6.0346766411061197E-3</v>
      </c>
      <c r="EU59" s="5">
        <v>7.81746057126714E-5</v>
      </c>
      <c r="EV59" s="5">
        <v>2.6387489823491399E-5</v>
      </c>
      <c r="EW59" s="5">
        <v>7.5982837726597198E-7</v>
      </c>
      <c r="EX59" s="5">
        <v>9.3841890767953795E-5</v>
      </c>
      <c r="EY59" s="5">
        <v>1.1471413642999299E-4</v>
      </c>
      <c r="EZ59" s="5">
        <v>-2.9813881900257999E-6</v>
      </c>
      <c r="FA59" s="5">
        <v>2.1060983504943299E-7</v>
      </c>
      <c r="FB59" s="5">
        <v>1.8194257786826201E-7</v>
      </c>
      <c r="FC59" s="5">
        <v>2.3698374060011299E-3</v>
      </c>
      <c r="FD59" s="5">
        <v>5.8124352013382897E-4</v>
      </c>
      <c r="FE59" s="5">
        <v>1.04502905511641E-5</v>
      </c>
      <c r="FF59" s="5">
        <v>2.7132767559018101E-6</v>
      </c>
      <c r="FG59" s="5">
        <v>1.7916599554502E-6</v>
      </c>
      <c r="FH59" s="5">
        <v>8.8646644014363299E-7</v>
      </c>
      <c r="FI59" s="5">
        <v>1.2195311795835399E-5</v>
      </c>
      <c r="FJ59" s="5">
        <v>1.5602880625535402E-5</v>
      </c>
      <c r="FK59" s="5">
        <v>-1.47053092657567E-6</v>
      </c>
      <c r="FL59" s="5">
        <v>2.1787128029745401E-7</v>
      </c>
      <c r="FM59" s="5">
        <v>1.3916052689739701E-7</v>
      </c>
      <c r="FN59" s="5">
        <v>1.4012889602697299E-4</v>
      </c>
      <c r="FO59" s="5">
        <v>9.1835886661744708E-6</v>
      </c>
      <c r="FP59" s="5">
        <v>4.0627205654857099E-8</v>
      </c>
      <c r="FQ59" s="5">
        <v>1.55919233971399E-6</v>
      </c>
      <c r="FR59" s="5">
        <v>1.0473791186615001E-5</v>
      </c>
      <c r="FS59" s="5">
        <v>1.9060190071973701E-5</v>
      </c>
      <c r="FT59" s="5">
        <v>2.9013314415909599E-8</v>
      </c>
      <c r="FU59" s="5">
        <v>3.7272849255165399E-4</v>
      </c>
      <c r="FV59" s="5">
        <v>6.3096144686857796E-7</v>
      </c>
      <c r="FW59" s="5">
        <v>-7.4115892427332599E-10</v>
      </c>
      <c r="FX59" s="5">
        <v>4.6146510278531497E-8</v>
      </c>
      <c r="FY59" s="5">
        <v>4.9523299377015303E-7</v>
      </c>
      <c r="FZ59" s="5">
        <v>3.2799688026595402E-5</v>
      </c>
      <c r="GA59" s="5">
        <v>3.0310050392518897E-7</v>
      </c>
      <c r="GB59" s="5">
        <v>0</v>
      </c>
      <c r="GC59" s="5">
        <v>1.46458939334545E-6</v>
      </c>
      <c r="GD59" s="5">
        <v>-4.0454934166170701E-7</v>
      </c>
      <c r="GE59" s="5">
        <v>1.36897692584451E-6</v>
      </c>
      <c r="GF59" s="5">
        <v>5.3103430106107302E-5</v>
      </c>
      <c r="GG59" s="5">
        <v>2.6825192814406699E-8</v>
      </c>
      <c r="GH59" s="5">
        <v>0</v>
      </c>
      <c r="GI59" s="5">
        <v>1.46458939334545E-6</v>
      </c>
      <c r="GJ59" s="5">
        <v>-4.0454934166170701E-7</v>
      </c>
      <c r="GK59" s="5">
        <v>1.55008365197197E-6</v>
      </c>
      <c r="GL59" s="5">
        <v>4.2448542323155999E-7</v>
      </c>
      <c r="GM59" s="5">
        <v>3.1228088590632401E-4</v>
      </c>
      <c r="GN59" s="5">
        <v>1.9550512883425799E-4</v>
      </c>
      <c r="GO59" s="5">
        <v>1.33591034093157E-6</v>
      </c>
      <c r="GP59" s="5">
        <v>-8.1836773603843901E-5</v>
      </c>
      <c r="GQ59" s="5">
        <v>1.2394107364418101E-7</v>
      </c>
      <c r="GR59" s="5">
        <v>1.86319433881669E-7</v>
      </c>
      <c r="GS59" s="5">
        <v>3.1105859320342301E-3</v>
      </c>
      <c r="GT59" s="5">
        <v>8.2478958675919097E-4</v>
      </c>
      <c r="GU59" s="5">
        <v>2.1975934717687401E-6</v>
      </c>
      <c r="GV59" s="5">
        <v>5.2383436748030297E-6</v>
      </c>
      <c r="GW59" s="5">
        <v>5.8760061175235096E-7</v>
      </c>
      <c r="GX59" s="5">
        <v>4.6714245184047497E-5</v>
      </c>
      <c r="GY59" s="5">
        <v>1.75807105639836E-5</v>
      </c>
      <c r="GZ59" s="5">
        <v>-2.7569172225639302E-6</v>
      </c>
      <c r="HA59" s="5">
        <v>2.1787128029745401E-7</v>
      </c>
      <c r="HB59" s="5">
        <v>2.6152641639093499E-7</v>
      </c>
      <c r="HC59" s="5">
        <v>6.4669983676411702E-4</v>
      </c>
      <c r="HD59" s="5">
        <v>1.5521410309300201E-6</v>
      </c>
      <c r="HE59" s="5">
        <v>6.9746762551454295E-8</v>
      </c>
      <c r="HF59" s="5">
        <v>-2.2973716007205702E-6</v>
      </c>
      <c r="HG59" s="5">
        <v>4.9428655763727698E-8</v>
      </c>
      <c r="HH59" s="5">
        <v>9.2387573167723898E-4</v>
      </c>
      <c r="HI59" s="5">
        <v>1.7049876702681101E-4</v>
      </c>
      <c r="HJ59" s="5">
        <v>1.33591034093157E-6</v>
      </c>
      <c r="HK59" s="5">
        <v>8.8646644014363299E-7</v>
      </c>
      <c r="HL59" s="5">
        <v>-1.37845861128197E-6</v>
      </c>
      <c r="HM59" s="5">
        <v>9.3504252844315297E-8</v>
      </c>
      <c r="HN59" s="5">
        <v>3.3207097427203101E-5</v>
      </c>
      <c r="HO59" s="5">
        <v>6.9869787705625903E-8</v>
      </c>
      <c r="HP59" s="5">
        <v>4.5491250475297396E-6</v>
      </c>
      <c r="HQ59" s="5">
        <v>3.9675032740595002E-9</v>
      </c>
      <c r="HR59" s="5">
        <v>3.9244751504876401E-5</v>
      </c>
      <c r="HS59" s="5">
        <v>1.4913877828488001E-7</v>
      </c>
      <c r="HT59" s="5">
        <v>4.5491250475297396E-6</v>
      </c>
      <c r="HU59" s="5">
        <v>4.3345410218799898E-9</v>
      </c>
      <c r="HV59" s="5">
        <v>3.3542522653740499E-6</v>
      </c>
      <c r="HW59" s="5">
        <v>4.5491250475297396E-6</v>
      </c>
      <c r="HX59" s="5">
        <v>2.35952837884596E-9</v>
      </c>
      <c r="HY59">
        <v>-1.48E-3</v>
      </c>
      <c r="HZ59" s="5">
        <v>1.6399999999999999E-5</v>
      </c>
      <c r="IA59">
        <v>2.34304819846919E-2</v>
      </c>
      <c r="IB59" s="5">
        <v>0</v>
      </c>
      <c r="IC59">
        <v>1.2199999999999999E-3</v>
      </c>
      <c r="ID59">
        <f t="shared" si="5"/>
        <v>0.16401337389284332</v>
      </c>
      <c r="IE59">
        <f t="shared" si="6"/>
        <v>0</v>
      </c>
      <c r="IF59">
        <f t="shared" si="7"/>
        <v>8.539999999999999E-3</v>
      </c>
      <c r="IG59" s="5">
        <v>6.0399999999999996E-7</v>
      </c>
      <c r="IH59" s="5">
        <v>3.67E-6</v>
      </c>
      <c r="II59" s="5">
        <v>2.3300000000000001E-5</v>
      </c>
      <c r="IJ59" s="5">
        <v>8.8100000000000004E-6</v>
      </c>
      <c r="IK59" s="5">
        <v>9.6299999999999993E-7</v>
      </c>
      <c r="IL59">
        <v>-4.5958982757435301E-4</v>
      </c>
      <c r="IM59">
        <v>-1.7963837802626101E-2</v>
      </c>
      <c r="IN59">
        <v>-1.7097296133687E-2</v>
      </c>
      <c r="IO59">
        <v>-9.6891811571459604E-4</v>
      </c>
      <c r="IP59" s="5">
        <v>-5.65304141500419E-5</v>
      </c>
      <c r="IQ59">
        <v>-4.7686543433377E-4</v>
      </c>
      <c r="IR59" s="5">
        <v>9.05719272808847E-8</v>
      </c>
      <c r="IS59" s="5">
        <v>5.5065976790934295E-7</v>
      </c>
      <c r="IT59" s="5">
        <v>1.6730444149127E-5</v>
      </c>
      <c r="IU59" s="5">
        <v>2.27167361795193E-6</v>
      </c>
      <c r="IV59" s="5">
        <v>8.6167232230862399E-7</v>
      </c>
      <c r="IW59" s="5">
        <v>8.1913910180321005E-5</v>
      </c>
      <c r="IX59">
        <v>4.9340397069879403E-4</v>
      </c>
      <c r="IY59" s="5">
        <v>7.8170357259995898E-5</v>
      </c>
      <c r="IZ59" s="5">
        <v>4.0380517492897299E-5</v>
      </c>
      <c r="JA59">
        <f t="shared" si="4"/>
        <v>0.12836404197225912</v>
      </c>
    </row>
    <row r="60" spans="1:261" x14ac:dyDescent="0.3">
      <c r="A60" t="s">
        <v>169</v>
      </c>
      <c r="B60" s="5">
        <v>3.006552715954E-5</v>
      </c>
      <c r="C60" s="5">
        <v>-5.5758236701188999E-8</v>
      </c>
      <c r="D60" s="5">
        <v>2.9524679735782301E-7</v>
      </c>
      <c r="E60">
        <v>1.4118537306960401E-6</v>
      </c>
      <c r="F60">
        <v>1.3260649677586601E-6</v>
      </c>
      <c r="G60">
        <v>8.5758957718685604E-7</v>
      </c>
      <c r="H60">
        <v>1.8006831262923001E-7</v>
      </c>
      <c r="I60" s="5">
        <v>2.1348042759044301E-3</v>
      </c>
      <c r="J60" s="5">
        <v>8.1643720882912206E-5</v>
      </c>
      <c r="K60" s="5">
        <v>3.0246529687999901E-7</v>
      </c>
      <c r="L60" s="5">
        <v>2.9010161230867302E-4</v>
      </c>
      <c r="M60" s="5">
        <v>1.22465581324368E-4</v>
      </c>
      <c r="N60" s="5">
        <v>7.2493756798291402E-7</v>
      </c>
      <c r="O60" s="5">
        <v>1.38530361098631E-3</v>
      </c>
      <c r="P60" s="5">
        <v>8.1643720882912206E-5</v>
      </c>
      <c r="Q60" s="5">
        <v>3.1110716250514399E-7</v>
      </c>
      <c r="R60" s="5">
        <v>9.0777199021792605E-5</v>
      </c>
      <c r="S60" s="5">
        <v>0</v>
      </c>
      <c r="T60" s="5">
        <v>1.4790419879446301E-6</v>
      </c>
      <c r="U60" s="5">
        <v>8.1643720882912206E-5</v>
      </c>
      <c r="V60" s="5">
        <v>4.2150568957691197E-5</v>
      </c>
      <c r="W60" s="5">
        <v>4.6733984527005599E-7</v>
      </c>
      <c r="X60" s="5">
        <v>8.1643720882912206E-5</v>
      </c>
      <c r="Y60" s="5">
        <v>3.2814889831824802E-4</v>
      </c>
      <c r="Z60" s="5">
        <v>1.84935924378056E-7</v>
      </c>
      <c r="AA60" s="5">
        <v>8.1643720882912206E-5</v>
      </c>
      <c r="AB60" s="5">
        <v>6.8468254251479797E-5</v>
      </c>
      <c r="AC60" s="5">
        <v>1.3228039581865501E-7</v>
      </c>
      <c r="AD60" s="5">
        <v>2.5006601033972299E-6</v>
      </c>
      <c r="AE60" s="5">
        <v>1.38117430965399E-6</v>
      </c>
      <c r="AF60" s="5">
        <v>3.2657488353164897E-8</v>
      </c>
      <c r="AG60" s="5">
        <v>8.1643720882912206E-5</v>
      </c>
      <c r="AH60">
        <v>4.2696085518088497E-3</v>
      </c>
      <c r="AI60" s="5">
        <v>3.0246529687999901E-7</v>
      </c>
      <c r="AJ60" s="5">
        <v>9.5381539890171903E-5</v>
      </c>
      <c r="AK60" s="5">
        <v>5.0604041049565699E-6</v>
      </c>
      <c r="AL60" s="5">
        <v>4.7585928185905802E-7</v>
      </c>
      <c r="AM60" s="5">
        <v>3.58815679204211E-8</v>
      </c>
      <c r="AN60" s="5">
        <v>3.5669043640509599E-6</v>
      </c>
      <c r="AO60" s="5">
        <v>5.2583974136857702E-8</v>
      </c>
      <c r="AP60" s="5">
        <v>6.5694914368190496E-5</v>
      </c>
      <c r="AQ60" s="5">
        <v>2.9389826507709199E-6</v>
      </c>
      <c r="AR60" s="5">
        <v>3.8502843222027703E-6</v>
      </c>
      <c r="AS60" s="5">
        <v>1.3827637643395901E-6</v>
      </c>
      <c r="AT60" s="5">
        <v>1.9229223929637E-6</v>
      </c>
      <c r="AU60" s="5">
        <v>1.0756809265217899E-8</v>
      </c>
      <c r="AV60" s="5">
        <v>3.1655707998915699E-7</v>
      </c>
      <c r="AW60" s="5">
        <v>2.8188734068139799E-5</v>
      </c>
      <c r="AX60" s="5">
        <v>1.8845040003338801E-6</v>
      </c>
      <c r="AY60" s="5">
        <v>2.9299999999999999E-7</v>
      </c>
      <c r="AZ60" s="5">
        <v>4.6700000000000001E-8</v>
      </c>
      <c r="BA60" s="5">
        <v>8.3099999999999996E-9</v>
      </c>
      <c r="BB60" s="5">
        <v>1.1200000000000001E-6</v>
      </c>
      <c r="BC60" s="5">
        <v>2.55E-5</v>
      </c>
      <c r="BD60" s="5">
        <v>1.2100000000000001E-6</v>
      </c>
      <c r="BE60" s="5">
        <v>3.1835438972353102E-7</v>
      </c>
      <c r="BF60" s="5">
        <v>1.9129084228466699E-5</v>
      </c>
      <c r="BG60" s="5">
        <v>2.2541471344910401E-8</v>
      </c>
      <c r="BH60" s="5">
        <v>3.9188305522303603E-6</v>
      </c>
      <c r="BI60" s="5">
        <v>1.7071177419957499E-7</v>
      </c>
      <c r="BJ60" s="5">
        <v>1.22426139062187E-4</v>
      </c>
      <c r="BK60" s="5">
        <v>1.0228004555303801E-3</v>
      </c>
      <c r="BL60" s="5">
        <v>2.3177628848072301E-6</v>
      </c>
      <c r="BM60" s="5">
        <v>1.9152814518508399E-7</v>
      </c>
      <c r="BN60" s="5">
        <v>4.7181939982076999E-7</v>
      </c>
      <c r="BO60" s="5">
        <v>2.5505445875732901E-5</v>
      </c>
      <c r="BP60" s="5">
        <v>6.0697338508524301E-4</v>
      </c>
      <c r="BQ60" s="5">
        <v>4.1713341303210702E-7</v>
      </c>
      <c r="BR60" s="5">
        <v>3.9432265185164202E-8</v>
      </c>
      <c r="BS60" s="5">
        <v>1.68995422222132E-8</v>
      </c>
      <c r="BT60" s="5">
        <v>3.4000000000000001E-6</v>
      </c>
      <c r="BU60" s="5">
        <v>1.11E-4</v>
      </c>
      <c r="BV60" s="5">
        <v>1.32E-3</v>
      </c>
      <c r="BW60" s="5">
        <v>1.7600000000000001E-6</v>
      </c>
      <c r="BX60" s="5">
        <v>1.4100000000000001E-7</v>
      </c>
      <c r="BY60" s="5">
        <v>3.3300311359251E-6</v>
      </c>
      <c r="BZ60" s="5">
        <v>1.22426139062187E-4</v>
      </c>
      <c r="CA60" s="5">
        <v>2.4647814256223998E-3</v>
      </c>
      <c r="CB60" s="5">
        <v>2.09321961999257E-6</v>
      </c>
      <c r="CC60" s="5">
        <v>2.8165903703688699E-8</v>
      </c>
      <c r="CD60" s="5">
        <v>4.5065445925902302E-8</v>
      </c>
      <c r="CE60" s="5">
        <v>4.25417326615256E-6</v>
      </c>
      <c r="CF60" s="5">
        <v>1.22426139062187E-4</v>
      </c>
      <c r="CG60" s="5">
        <v>2.3977125432925401E-3</v>
      </c>
      <c r="CH60" s="5">
        <v>2.2953957031892101E-6</v>
      </c>
      <c r="CI60" s="5">
        <v>3.3799084444426498E-8</v>
      </c>
      <c r="CJ60" s="5">
        <v>1.2392997629622999E-7</v>
      </c>
      <c r="CK60" s="5">
        <v>4.2846201148550699E-8</v>
      </c>
      <c r="CL60" s="5">
        <v>3.2458411028305299E-6</v>
      </c>
      <c r="CM60" s="5">
        <v>2.6318399164423798E-6</v>
      </c>
      <c r="CN60" s="5">
        <v>2.9599713797096899E-8</v>
      </c>
      <c r="CO60" s="5">
        <v>0</v>
      </c>
      <c r="CP60" s="5">
        <v>3.3175726212565302E-9</v>
      </c>
      <c r="CQ60" s="5">
        <v>6.2389342125060497E-8</v>
      </c>
      <c r="CR60" s="5">
        <v>5.35665864447854E-6</v>
      </c>
      <c r="CS60" s="5">
        <v>6.4540855591307201E-9</v>
      </c>
      <c r="CT60" s="5">
        <v>2.50204461749856E-5</v>
      </c>
      <c r="CU60" s="5">
        <v>7.1237735833220503E-7</v>
      </c>
      <c r="CV60" s="5">
        <v>-1.8569786079266099E-8</v>
      </c>
      <c r="CW60" s="5">
        <v>1.4706995169613899E-3</v>
      </c>
      <c r="CX60" s="5">
        <v>-7.6741634878286199E-3</v>
      </c>
      <c r="CY60" s="5">
        <v>5.3965847972439003E-7</v>
      </c>
      <c r="CZ60" s="5">
        <v>4.2152551414982696E-6</v>
      </c>
      <c r="DA60" s="5">
        <v>4.44180633970957E-5</v>
      </c>
      <c r="DB60" s="5">
        <v>1.9406388312850999E-7</v>
      </c>
      <c r="DC60" s="5">
        <v>1.8609280028827101E-10</v>
      </c>
      <c r="DD60" s="5">
        <v>2.7729978604805301E-9</v>
      </c>
      <c r="DE60" s="5">
        <v>6.0645235599710398E-9</v>
      </c>
      <c r="DF60" s="5">
        <v>4.6182595486720399E-6</v>
      </c>
      <c r="DG60" s="5">
        <v>4.5065445925902302E-8</v>
      </c>
      <c r="DH60" s="5">
        <v>1.11010612066699E-7</v>
      </c>
      <c r="DI60" s="5">
        <v>3.6409693487992099E-4</v>
      </c>
      <c r="DJ60" s="5">
        <v>1.1295816666436101E-6</v>
      </c>
      <c r="DK60" s="5">
        <v>2.47953462997366E-6</v>
      </c>
      <c r="DL60" s="5">
        <v>4.1524943371174E-7</v>
      </c>
      <c r="DM60" s="5">
        <v>4.3027237060871597E-8</v>
      </c>
      <c r="DN60" s="5">
        <v>1.3154808192529001E-4</v>
      </c>
      <c r="DO60" s="5">
        <v>2.3919240857291301E-8</v>
      </c>
      <c r="DP60" s="5">
        <v>7.6587810558392901E-6</v>
      </c>
      <c r="DQ60" s="5">
        <v>8.3893056604321903E-8</v>
      </c>
      <c r="DR60" s="5">
        <v>1.80862204016847E-6</v>
      </c>
      <c r="DS60" s="5">
        <v>1.36314123298462E-4</v>
      </c>
      <c r="DT60" s="5">
        <v>2.2117150808376402E-9</v>
      </c>
      <c r="DU60" s="5">
        <v>8.3235273761568105E-8</v>
      </c>
      <c r="DV60" s="5">
        <v>6.3855431214111101E-6</v>
      </c>
      <c r="DW60" s="5">
        <v>1.1187081635826599E-8</v>
      </c>
      <c r="DX60" s="5">
        <v>1.3154808192529001E-4</v>
      </c>
      <c r="DY60" s="5">
        <v>3.7430798233360802E-6</v>
      </c>
      <c r="DZ60" s="5">
        <v>4.9505758634904396E-6</v>
      </c>
      <c r="EA60" s="5">
        <v>6.9874041827670202E-9</v>
      </c>
      <c r="EB60" s="5">
        <v>4.4090427555613498E-4</v>
      </c>
      <c r="EC60" s="5">
        <v>1.83577055266748E-4</v>
      </c>
      <c r="ED60" s="5">
        <v>6.7193257563025797E-6</v>
      </c>
      <c r="EE60" s="5">
        <v>5.8938754281639896E-6</v>
      </c>
      <c r="EF60" s="5">
        <v>8.5292748508837104E-7</v>
      </c>
      <c r="EG60" s="5">
        <v>1.7031871902130601E-6</v>
      </c>
      <c r="EH60" s="5">
        <v>2.2694299755448099E-4</v>
      </c>
      <c r="EI60" s="5">
        <v>5.2955184414799101E-6</v>
      </c>
      <c r="EJ60" s="5">
        <v>3.3799084444426498E-7</v>
      </c>
      <c r="EK60" s="5">
        <v>1.6433069546036099E-5</v>
      </c>
      <c r="EL60" s="5">
        <v>-1.08573346027961E-9</v>
      </c>
      <c r="EM60" s="5">
        <v>2.7901584464312501E-6</v>
      </c>
      <c r="EN60" s="5">
        <v>8.4119563454764101E-5</v>
      </c>
      <c r="EO60" s="5">
        <v>1.9342222427363401E-7</v>
      </c>
      <c r="EP60" s="5">
        <v>4.7221221876835101E-7</v>
      </c>
      <c r="EQ60" s="5">
        <v>2.8655731123788901E-8</v>
      </c>
      <c r="ER60" s="5">
        <v>-1.5111486904825599E-3</v>
      </c>
      <c r="ES60" s="5">
        <v>1.4376762742796301E-6</v>
      </c>
      <c r="ET60" s="5">
        <v>3.2270698753541501E-4</v>
      </c>
      <c r="EU60" s="5">
        <v>3.5468338715031398E-5</v>
      </c>
      <c r="EV60" s="5">
        <v>2.2065793591503602E-6</v>
      </c>
      <c r="EW60" s="5">
        <v>2.0987209723037901E-7</v>
      </c>
      <c r="EX60" s="5">
        <v>2.09467960774613E-6</v>
      </c>
      <c r="EY60" s="5">
        <v>2.8075272182218798E-7</v>
      </c>
      <c r="EZ60" s="5">
        <v>2.22611902532742E-5</v>
      </c>
      <c r="FA60" s="5">
        <v>6.7068882329861096E-6</v>
      </c>
      <c r="FB60" s="5">
        <v>1.2095489184259801E-6</v>
      </c>
      <c r="FC60" s="5">
        <v>1.2380039816932301E-4</v>
      </c>
      <c r="FD60" s="5">
        <v>3.1706001416583198E-5</v>
      </c>
      <c r="FE60" s="5">
        <v>5.3776643193053097E-7</v>
      </c>
      <c r="FF60" s="5">
        <v>2.2689011062755201E-7</v>
      </c>
      <c r="FG60" s="5">
        <v>7.5297664856525707E-9</v>
      </c>
      <c r="FH60" s="5">
        <v>2.4485078010211098E-7</v>
      </c>
      <c r="FI60" s="5">
        <v>2.7221607237229499E-7</v>
      </c>
      <c r="FJ60" s="5">
        <v>3.8186672891523701E-8</v>
      </c>
      <c r="FK60" s="5">
        <v>1.20266747355771E-5</v>
      </c>
      <c r="FL60" s="5">
        <v>1.5496083719491599E-7</v>
      </c>
      <c r="FM60" s="5">
        <v>9.25135099043228E-7</v>
      </c>
      <c r="FN60" s="5">
        <v>7.2109589736139297E-6</v>
      </c>
      <c r="FO60" s="5">
        <v>4.7258262199955398E-7</v>
      </c>
      <c r="FP60" s="5">
        <v>1.7739238260705201E-8</v>
      </c>
      <c r="FQ60" s="5">
        <v>3.8705013914658902E-9</v>
      </c>
      <c r="FR60" s="5">
        <v>1.4339850182052799E-4</v>
      </c>
      <c r="FS60" s="5">
        <v>6.0697338508524301E-4</v>
      </c>
      <c r="FT60" s="5">
        <v>1.92879662819365E-7</v>
      </c>
      <c r="FU60" s="5">
        <v>1.5818055153457298E-5</v>
      </c>
      <c r="FV60" s="5">
        <v>5.2762370138003298E-8</v>
      </c>
      <c r="FW60" s="5">
        <v>6.0645235599710398E-9</v>
      </c>
      <c r="FX60" s="5">
        <v>3.06780646127515E-7</v>
      </c>
      <c r="FY60" s="5">
        <v>3.9432265185164202E-8</v>
      </c>
      <c r="FZ60" s="5">
        <v>1.5404560948823399E-6</v>
      </c>
      <c r="GA60" s="5">
        <v>1.7760555159953301E-8</v>
      </c>
      <c r="GB60" s="5">
        <v>0</v>
      </c>
      <c r="GC60" s="5">
        <v>1.5207402142983501E-7</v>
      </c>
      <c r="GD60" s="5">
        <v>3.62506890865703E-6</v>
      </c>
      <c r="GE60" s="5">
        <v>4.5044437403398602E-7</v>
      </c>
      <c r="GF60" s="5">
        <v>2.4940728789769399E-6</v>
      </c>
      <c r="GG60" s="5">
        <v>6.8632185932206304E-8</v>
      </c>
      <c r="GH60" s="5">
        <v>0</v>
      </c>
      <c r="GI60" s="5">
        <v>1.5207402142983501E-7</v>
      </c>
      <c r="GJ60" s="5">
        <v>3.62506890865703E-6</v>
      </c>
      <c r="GK60" s="5">
        <v>4.67501602835397E-7</v>
      </c>
      <c r="GL60" s="5">
        <v>3.3799084444426498E-8</v>
      </c>
      <c r="GM60" s="5">
        <v>1.1343717417628999E-5</v>
      </c>
      <c r="GN60" s="5">
        <v>5.3770688222887496E-6</v>
      </c>
      <c r="GO60" s="5">
        <v>1.11711731721858E-7</v>
      </c>
      <c r="GP60" s="5">
        <v>-7.6028410024346898E-4</v>
      </c>
      <c r="GQ60" s="5">
        <v>8.2395662044219E-7</v>
      </c>
      <c r="GR60" s="5">
        <v>1.5580436781291098E-8</v>
      </c>
      <c r="GS60" s="5">
        <v>1.4714308257238699E-4</v>
      </c>
      <c r="GT60" s="5">
        <v>3.0015136982454801E-5</v>
      </c>
      <c r="GU60" s="5">
        <v>1.83767551481594E-7</v>
      </c>
      <c r="GV60" s="5">
        <v>2.2117150808376501E-8</v>
      </c>
      <c r="GW60" s="5">
        <v>1.6230108852482701E-7</v>
      </c>
      <c r="GX60" s="5">
        <v>1.0427259721379399E-6</v>
      </c>
      <c r="GY60" s="5">
        <v>4.3027237060871597E-8</v>
      </c>
      <c r="GZ60" s="5">
        <v>2.2549511028130301E-5</v>
      </c>
      <c r="HA60" s="5">
        <v>1.5496083719491599E-7</v>
      </c>
      <c r="HB60" s="5">
        <v>1.73861994147692E-6</v>
      </c>
      <c r="HC60" s="5">
        <v>2.3491608143059801E-5</v>
      </c>
      <c r="HD60" s="5">
        <v>1.2979341287292501E-7</v>
      </c>
      <c r="HE60" s="5">
        <v>2.9312305247718901E-10</v>
      </c>
      <c r="HF60" s="5">
        <v>1.87880993765909E-5</v>
      </c>
      <c r="HG60" s="5">
        <v>3.28600252996067E-7</v>
      </c>
      <c r="HH60" s="5">
        <v>6.3622179750164103E-5</v>
      </c>
      <c r="HI60" s="5">
        <v>5.8632861737144697E-6</v>
      </c>
      <c r="HJ60" s="5">
        <v>1.11711731721858E-7</v>
      </c>
      <c r="HK60" s="5">
        <v>2.4485078010211098E-7</v>
      </c>
      <c r="HL60" s="5">
        <v>1.12747555140652E-5</v>
      </c>
      <c r="HM60" s="5">
        <v>6.21613528956157E-7</v>
      </c>
      <c r="HN60" s="5">
        <v>1.2062599617027499E-6</v>
      </c>
      <c r="HO60" s="5">
        <v>5.8426637929841702E-9</v>
      </c>
      <c r="HP60" s="5">
        <v>1.9129084228466699E-5</v>
      </c>
      <c r="HQ60" s="5">
        <v>2.6375845336570501E-8</v>
      </c>
      <c r="HR60" s="5">
        <v>1.4255799547396199E-6</v>
      </c>
      <c r="HS60" s="5">
        <v>1.2226210946711701E-8</v>
      </c>
      <c r="HT60" s="5">
        <v>1.9129084228466699E-5</v>
      </c>
      <c r="HU60" s="5">
        <v>2.8815901513081499E-8</v>
      </c>
      <c r="HV60" s="5">
        <v>1.21844440576036E-7</v>
      </c>
      <c r="HW60" s="5">
        <v>1.9129084228466699E-5</v>
      </c>
      <c r="HX60" s="5">
        <v>1.56860754204274E-8</v>
      </c>
      <c r="HY60" s="5">
        <v>1.34E-2</v>
      </c>
      <c r="HZ60" s="5">
        <v>1.0900000000000001E-4</v>
      </c>
      <c r="IA60" s="5">
        <v>2.20676007283707E-3</v>
      </c>
      <c r="IB60" s="5">
        <v>0</v>
      </c>
      <c r="IC60" s="5">
        <v>1.9900000000000001E-4</v>
      </c>
      <c r="ID60">
        <f t="shared" si="5"/>
        <v>1.544732050985949E-2</v>
      </c>
      <c r="IE60">
        <f t="shared" si="6"/>
        <v>0</v>
      </c>
      <c r="IF60">
        <f t="shared" si="7"/>
        <v>1.3930000000000001E-3</v>
      </c>
      <c r="IG60" s="5">
        <v>5.7000000000000005E-7</v>
      </c>
      <c r="IH60" s="5">
        <v>3.4400000000000001E-6</v>
      </c>
      <c r="II60" s="5">
        <v>9.0999999999999993E-6</v>
      </c>
      <c r="IJ60" s="5">
        <v>1.8500000000000001E-6</v>
      </c>
      <c r="IK60" s="5">
        <v>2.0200000000000001E-7</v>
      </c>
      <c r="IL60">
        <v>-1.5725501719914201E-4</v>
      </c>
      <c r="IM60">
        <v>-9.09070342160841E-4</v>
      </c>
      <c r="IN60">
        <v>-3.0206100929360902E-3</v>
      </c>
      <c r="IO60">
        <v>-7.0319148685238201E-4</v>
      </c>
      <c r="IP60" s="5">
        <v>-3.6333478253306801E-6</v>
      </c>
      <c r="IQ60" s="5">
        <v>-3.02828059564827E-5</v>
      </c>
      <c r="IR60" s="5">
        <v>8.5507789967622304E-8</v>
      </c>
      <c r="IS60" s="5">
        <v>5.1582454910902204E-7</v>
      </c>
      <c r="IT60" s="5">
        <v>6.5472228396187797E-6</v>
      </c>
      <c r="IU60" s="5">
        <v>4.7773778671316802E-7</v>
      </c>
      <c r="IV60" s="5">
        <v>1.8121195203544601E-7</v>
      </c>
      <c r="IW60" s="5">
        <v>5.6763015472808702E-6</v>
      </c>
      <c r="IX60" s="5">
        <v>3.4190892806200697E-5</v>
      </c>
      <c r="IY60" s="5">
        <v>5.3955554434884296E-6</v>
      </c>
      <c r="IZ60" s="5">
        <v>2.71034031631204E-6</v>
      </c>
      <c r="JA60">
        <f t="shared" si="4"/>
        <v>2.8919882451300446E-2</v>
      </c>
    </row>
    <row r="61" spans="1:261" x14ac:dyDescent="0.3">
      <c r="A61" t="s">
        <v>170</v>
      </c>
      <c r="B61" s="5">
        <v>2.0331601112320702E-6</v>
      </c>
      <c r="C61" s="5">
        <v>-5.4885375716256399E-15</v>
      </c>
      <c r="D61" s="5">
        <v>1.9449347177992599E-16</v>
      </c>
      <c r="E61">
        <v>3.1395676220163E-14</v>
      </c>
      <c r="F61">
        <v>8.6314389385749902E-14</v>
      </c>
      <c r="G61">
        <v>1.28626338426424E-8</v>
      </c>
      <c r="H61">
        <v>7.9186774434187393E-15</v>
      </c>
      <c r="I61" s="5">
        <v>6.9463925127403005E-4</v>
      </c>
      <c r="J61" s="5">
        <v>1.1576374849208201E-6</v>
      </c>
      <c r="K61" s="5">
        <v>1.9924864963680401E-16</v>
      </c>
      <c r="L61" s="5">
        <v>1.9877072537563201E-4</v>
      </c>
      <c r="M61" s="5">
        <v>1.73645622738123E-6</v>
      </c>
      <c r="N61" s="5">
        <v>3.18798276257148E-14</v>
      </c>
      <c r="O61" s="5">
        <v>4.1707619919046302E-6</v>
      </c>
      <c r="P61" s="5">
        <v>1.1576374849208201E-6</v>
      </c>
      <c r="Q61" s="5">
        <v>2.0494146819785499E-16</v>
      </c>
      <c r="R61" s="5">
        <v>1.2862638782326199E-6</v>
      </c>
      <c r="S61" s="5">
        <v>0</v>
      </c>
      <c r="T61" s="5">
        <v>9.74317126275208E-16</v>
      </c>
      <c r="U61" s="5">
        <v>1.1576374849208201E-6</v>
      </c>
      <c r="V61" s="5">
        <v>3.1647410873130302E-5</v>
      </c>
      <c r="W61" s="5">
        <v>2.0551719717454101E-14</v>
      </c>
      <c r="X61" s="5">
        <v>1.1576374849208201E-6</v>
      </c>
      <c r="Y61" s="5">
        <v>1.07297588206641E-4</v>
      </c>
      <c r="Z61" s="5">
        <v>1.2182631720650299E-16</v>
      </c>
      <c r="AA61" s="5">
        <v>1.1576374849208201E-6</v>
      </c>
      <c r="AB61" s="5">
        <v>8.0653048776822498E-6</v>
      </c>
      <c r="AC61" s="5">
        <v>5.8171577846265497E-15</v>
      </c>
      <c r="AD61" s="5">
        <v>5.9595195119743702E-14</v>
      </c>
      <c r="AE61" s="5">
        <v>7.0066911668310096E-12</v>
      </c>
      <c r="AF61" s="5">
        <v>4.6305499396832802E-10</v>
      </c>
      <c r="AG61" s="5">
        <v>1.1576374849208201E-6</v>
      </c>
      <c r="AH61">
        <v>1.3892803665507701E-3</v>
      </c>
      <c r="AI61" s="5">
        <v>1.9924864963680401E-16</v>
      </c>
      <c r="AJ61" s="5">
        <v>8.9821616639585693E-12</v>
      </c>
      <c r="AK61" s="5">
        <v>4.7654260780458004E-13</v>
      </c>
      <c r="AL61" s="5">
        <v>1.76444592835202E-14</v>
      </c>
      <c r="AM61" s="5">
        <v>1.3304581592426301E-15</v>
      </c>
      <c r="AN61" s="5">
        <v>3.1440226971506499E-9</v>
      </c>
      <c r="AO61" s="5">
        <v>1.2531699908357299E-15</v>
      </c>
      <c r="AP61" s="5">
        <v>5.2253473519245298E-6</v>
      </c>
      <c r="AQ61" s="5">
        <v>7.1473931766876604E-13</v>
      </c>
      <c r="AR61" s="5">
        <v>1.86635328121168E-12</v>
      </c>
      <c r="AS61" s="5">
        <v>3.2953729388643399E-14</v>
      </c>
      <c r="AT61" s="5">
        <v>4.6833914317346603E-13</v>
      </c>
      <c r="AU61" s="5">
        <v>1.7593546903347102E-14</v>
      </c>
      <c r="AV61" s="5">
        <v>5.1192753090831203E-15</v>
      </c>
      <c r="AW61" s="5">
        <v>5.4280320597085504E-9</v>
      </c>
      <c r="AX61" s="5">
        <v>1.24141473807043E-15</v>
      </c>
      <c r="AY61" s="5">
        <v>1.42E-13</v>
      </c>
      <c r="AZ61" s="5">
        <v>1.1100000000000001E-15</v>
      </c>
      <c r="BA61" s="5">
        <v>6.03E-12</v>
      </c>
      <c r="BB61" s="5">
        <v>2.8599999999999999E-7</v>
      </c>
      <c r="BC61" s="5">
        <v>2.03E-7</v>
      </c>
      <c r="BD61" s="5">
        <v>7.9899999999999997E-16</v>
      </c>
      <c r="BE61" s="5">
        <v>3.7296537149724397E-8</v>
      </c>
      <c r="BF61" s="5">
        <v>1.5256474293810901E-7</v>
      </c>
      <c r="BG61" s="5">
        <v>1.4849167070171401E-17</v>
      </c>
      <c r="BH61" s="5">
        <v>3.5755871142017198E-7</v>
      </c>
      <c r="BI61" s="5">
        <v>1.9999592384634799E-8</v>
      </c>
      <c r="BJ61" s="5">
        <v>9.7641435480389892E-7</v>
      </c>
      <c r="BK61" s="5">
        <v>1.71481231686872E-6</v>
      </c>
      <c r="BL61" s="5">
        <v>1.5268235058363101E-15</v>
      </c>
      <c r="BM61" s="5">
        <v>6.0482649620070203E-9</v>
      </c>
      <c r="BN61" s="5">
        <v>4.3049357295363997E-8</v>
      </c>
      <c r="BO61" s="5">
        <v>2.03419657460414E-7</v>
      </c>
      <c r="BP61" s="5">
        <v>1.0176427191909501E-6</v>
      </c>
      <c r="BQ61" s="5">
        <v>2.7478613289647102E-16</v>
      </c>
      <c r="BR61" s="5">
        <v>1.2452310215896801E-9</v>
      </c>
      <c r="BS61" s="5">
        <v>5.3367043782414904E-10</v>
      </c>
      <c r="BT61" s="5">
        <v>3.09884216564149E-7</v>
      </c>
      <c r="BU61" s="5">
        <v>8.8487550904103396E-7</v>
      </c>
      <c r="BV61" s="5">
        <v>2.2208225087316199E-6</v>
      </c>
      <c r="BW61" s="5">
        <v>1.15731652629377E-15</v>
      </c>
      <c r="BX61" s="5">
        <v>4.44725364853457E-9</v>
      </c>
      <c r="BY61" s="5">
        <v>3.03835959754057E-7</v>
      </c>
      <c r="BZ61" s="5">
        <v>9.7641435480389892E-7</v>
      </c>
      <c r="CA61" s="5">
        <v>4.1324165668803601E-6</v>
      </c>
      <c r="CB61" s="5">
        <v>1.37890590087185E-15</v>
      </c>
      <c r="CC61" s="5">
        <v>8.89450729706914E-10</v>
      </c>
      <c r="CD61" s="5">
        <v>1.42312116753106E-9</v>
      </c>
      <c r="CE61" s="5">
        <v>3.88155775282993E-7</v>
      </c>
      <c r="CF61" s="5">
        <v>9.7641435480389892E-7</v>
      </c>
      <c r="CG61" s="5">
        <v>4.01996985757749E-6</v>
      </c>
      <c r="CH61" s="5">
        <v>1.51208915191359E-15</v>
      </c>
      <c r="CI61" s="5">
        <v>1.0673408756482999E-9</v>
      </c>
      <c r="CJ61" s="5">
        <v>3.9135832107104196E-9</v>
      </c>
      <c r="CK61" s="5">
        <v>1.0211014740143001E-15</v>
      </c>
      <c r="CL61" s="5">
        <v>2.6525449004560701E-7</v>
      </c>
      <c r="CM61" s="5">
        <v>1.2757351542459601E-12</v>
      </c>
      <c r="CN61" s="5">
        <v>7.0541402921177099E-16</v>
      </c>
      <c r="CO61" s="5">
        <v>0</v>
      </c>
      <c r="CP61" s="5">
        <v>5.2872479462383204E-15</v>
      </c>
      <c r="CQ61" s="5">
        <v>5.6924769977340798E-9</v>
      </c>
      <c r="CR61" s="5">
        <v>6.2755477725840603E-7</v>
      </c>
      <c r="CS61" s="5">
        <v>3.2741547508556102E-14</v>
      </c>
      <c r="CT61" s="5">
        <v>4.8234882064892399E-9</v>
      </c>
      <c r="CU61" s="5">
        <v>4.6927772588680895E-16</v>
      </c>
      <c r="CV61" s="5">
        <v>4.2608920091865503E-14</v>
      </c>
      <c r="CW61" s="5">
        <v>1.04167620241902E-5</v>
      </c>
      <c r="CX61" s="5">
        <v>1.3428746289965E-5</v>
      </c>
      <c r="CY61" s="5">
        <v>5.0820103279859102E-14</v>
      </c>
      <c r="CZ61" s="5">
        <v>2.77679424212205E-15</v>
      </c>
      <c r="DA61" s="5">
        <v>2.1481441692046699E-11</v>
      </c>
      <c r="DB61" s="5">
        <v>4.6248888303639902E-15</v>
      </c>
      <c r="DC61" s="5">
        <v>3.04368361427905E-16</v>
      </c>
      <c r="DD61" s="5">
        <v>1.4067405887051099E-14</v>
      </c>
      <c r="DE61" s="5">
        <v>1.1769311248179499E-12</v>
      </c>
      <c r="DF61" s="5">
        <v>3.0422729094447302E-15</v>
      </c>
      <c r="DG61" s="5">
        <v>1.42312116753106E-9</v>
      </c>
      <c r="DH61" s="5">
        <v>2.6455810917643301E-15</v>
      </c>
      <c r="DI61" s="5">
        <v>2.8753371295817101E-5</v>
      </c>
      <c r="DJ61" s="5">
        <v>2.6919947951286101E-14</v>
      </c>
      <c r="DK61" s="5">
        <v>1.2684667343668001E-12</v>
      </c>
      <c r="DL61" s="5">
        <v>6.7153013073790403E-15</v>
      </c>
      <c r="DM61" s="5">
        <v>2.1827698339037399E-13</v>
      </c>
      <c r="DN61" s="5">
        <v>2.5339391371158401E-8</v>
      </c>
      <c r="DO61" s="5">
        <v>1.4901970418067301E-15</v>
      </c>
      <c r="DP61" s="5">
        <v>5.0452127863294603E-15</v>
      </c>
      <c r="DQ61" s="5">
        <v>1.9993213274903401E-15</v>
      </c>
      <c r="DR61" s="5">
        <v>2.1188757337234701E-7</v>
      </c>
      <c r="DS61" s="5">
        <v>7.9568397385377708E-6</v>
      </c>
      <c r="DT61" s="5">
        <v>3.52483196415888E-15</v>
      </c>
      <c r="DU61" s="5">
        <v>1.3460582901098601E-15</v>
      </c>
      <c r="DV61" s="5">
        <v>7.4809286109012401E-7</v>
      </c>
      <c r="DW61" s="5">
        <v>5.6752015681497297E-14</v>
      </c>
      <c r="DX61" s="5">
        <v>2.5339391371158401E-8</v>
      </c>
      <c r="DY61" s="5">
        <v>2.4657493205852701E-15</v>
      </c>
      <c r="DZ61" s="5">
        <v>6.6128966577539004E-14</v>
      </c>
      <c r="EA61" s="5">
        <v>9.3336579502525002E-17</v>
      </c>
      <c r="EB61" s="5">
        <v>2.18834473239069E-5</v>
      </c>
      <c r="EC61" s="5">
        <v>1.3792453708230101E-5</v>
      </c>
      <c r="ED61" s="5">
        <v>2.69945135644648E-12</v>
      </c>
      <c r="EE61" s="5">
        <v>7.8729404810379897E-14</v>
      </c>
      <c r="EF61" s="5">
        <v>1.24046239847366E-14</v>
      </c>
      <c r="EG61" s="5">
        <v>4.3409574093390602E-13</v>
      </c>
      <c r="EH61" s="5">
        <v>3.2156596955815499E-6</v>
      </c>
      <c r="EI61" s="5">
        <v>2.3287552274729402E-13</v>
      </c>
      <c r="EJ61" s="5">
        <v>1.0673408756482999E-8</v>
      </c>
      <c r="EK61" s="5">
        <v>2.38995755439258E-13</v>
      </c>
      <c r="EL61" s="5">
        <v>2.4912473440808399E-15</v>
      </c>
      <c r="EM61" s="5">
        <v>6.6494457525105301E-14</v>
      </c>
      <c r="EN61" s="5">
        <v>3.9258935597695396E-6</v>
      </c>
      <c r="EO61" s="5">
        <v>8.9321508224769694E-14</v>
      </c>
      <c r="EP61" s="5">
        <v>7.6364880301239907E-15</v>
      </c>
      <c r="EQ61" s="5">
        <v>1.4537039730664701E-13</v>
      </c>
      <c r="ER61" s="5">
        <v>2.54740265261405E-6</v>
      </c>
      <c r="ES61" s="5">
        <v>9.4706751227310495E-16</v>
      </c>
      <c r="ET61" s="5">
        <v>1.11412695547128E-5</v>
      </c>
      <c r="EU61" s="5">
        <v>1.1139539215097601E-5</v>
      </c>
      <c r="EV61" s="5">
        <v>5.2586725911736501E-14</v>
      </c>
      <c r="EW61" s="5">
        <v>3.3939946800551099E-15</v>
      </c>
      <c r="EX61" s="5">
        <v>2.4540040385470801E-7</v>
      </c>
      <c r="EY61" s="5">
        <v>1.4242573166221901E-12</v>
      </c>
      <c r="EZ61" s="5">
        <v>-2.8626975837918401E-17</v>
      </c>
      <c r="FA61" s="5">
        <v>1.12446709302867E-8</v>
      </c>
      <c r="FB61" s="5">
        <v>7.9678889165803503E-16</v>
      </c>
      <c r="FC61" s="5">
        <v>5.5444610418421901E-6</v>
      </c>
      <c r="FD61" s="5">
        <v>1.0344895399382801E-6</v>
      </c>
      <c r="FE61" s="5">
        <v>1.3097620105698601E-13</v>
      </c>
      <c r="FF61" s="5">
        <v>5.4071964419393702E-15</v>
      </c>
      <c r="FG61" s="5">
        <v>1.2315482832343E-14</v>
      </c>
      <c r="FH61" s="5">
        <v>3.9596604600642898E-15</v>
      </c>
      <c r="FI61" s="5">
        <v>3.1891241910633903E-8</v>
      </c>
      <c r="FJ61" s="5">
        <v>1.9372082275895699E-13</v>
      </c>
      <c r="FK61" s="5">
        <v>2.3152743381021502E-9</v>
      </c>
      <c r="FL61" s="5">
        <v>1.10654349844885E-15</v>
      </c>
      <c r="FM61" s="5">
        <v>6.0943163105784998E-16</v>
      </c>
      <c r="FN61" s="5">
        <v>1.7562717869004899E-12</v>
      </c>
      <c r="FO61" s="5">
        <v>1.1510029789856399E-13</v>
      </c>
      <c r="FP61" s="5">
        <v>3.7398252564595804E-15</v>
      </c>
      <c r="FQ61" s="5">
        <v>1.91099505677643E-14</v>
      </c>
      <c r="FR61" s="5">
        <v>4.5209200249160302E-7</v>
      </c>
      <c r="FS61" s="5">
        <v>1.0176427191909501E-6</v>
      </c>
      <c r="FT61" s="5">
        <v>1.2705924532693601E-16</v>
      </c>
      <c r="FU61" s="5">
        <v>6.2685810443828399E-12</v>
      </c>
      <c r="FV61" s="5">
        <v>1.2574214860639E-15</v>
      </c>
      <c r="FW61" s="5">
        <v>1.1769311248179499E-12</v>
      </c>
      <c r="FX61" s="5">
        <v>2.0209138075058101E-16</v>
      </c>
      <c r="FY61" s="5">
        <v>1.2452310215896801E-9</v>
      </c>
      <c r="FZ61" s="5">
        <v>6.1887004679424204E-13</v>
      </c>
      <c r="GA61" s="5">
        <v>3.9618012103729596E-15</v>
      </c>
      <c r="GB61" s="5">
        <v>0</v>
      </c>
      <c r="GC61" s="5">
        <v>1.3875412681976799E-8</v>
      </c>
      <c r="GD61" s="5">
        <v>1.60782963688802E-9</v>
      </c>
      <c r="GE61" s="5">
        <v>5.68168340649104E-15</v>
      </c>
      <c r="GF61" s="5">
        <v>1.0019797611264199E-12</v>
      </c>
      <c r="GG61" s="5">
        <v>6.7471131095250202E-14</v>
      </c>
      <c r="GH61" s="5">
        <v>0</v>
      </c>
      <c r="GI61" s="5">
        <v>1.3875412681976799E-8</v>
      </c>
      <c r="GJ61" s="5">
        <v>1.60782963688802E-9</v>
      </c>
      <c r="GK61" s="5">
        <v>6.4317914681749002E-15</v>
      </c>
      <c r="GL61" s="5">
        <v>1.0673408756482999E-9</v>
      </c>
      <c r="GM61" s="5">
        <v>5.49865476205086E-12</v>
      </c>
      <c r="GN61" s="5">
        <v>2.2732633420145E-12</v>
      </c>
      <c r="GO61" s="5">
        <v>2.6622900249754701E-15</v>
      </c>
      <c r="GP61" s="5">
        <v>1.30976473883274E-6</v>
      </c>
      <c r="GQ61" s="5">
        <v>5.42780430270468E-16</v>
      </c>
      <c r="GR61" s="5">
        <v>3.7130962691429201E-16</v>
      </c>
      <c r="GS61" s="5">
        <v>5.2273895499128298E-6</v>
      </c>
      <c r="GT61" s="5">
        <v>1.4515905550665399E-11</v>
      </c>
      <c r="GU61" s="5">
        <v>4.3795088634176802E-15</v>
      </c>
      <c r="GV61" s="5">
        <v>3.5248319641588798E-14</v>
      </c>
      <c r="GW61" s="5">
        <v>2.62468921924262E-15</v>
      </c>
      <c r="GX61" s="5">
        <v>1.22159672403445E-7</v>
      </c>
      <c r="GY61" s="5">
        <v>2.1827698339037399E-13</v>
      </c>
      <c r="GZ61" s="5">
        <v>4.3475707033902402E-9</v>
      </c>
      <c r="HA61" s="5">
        <v>1.10654349844885E-15</v>
      </c>
      <c r="HB61" s="5">
        <v>1.1453137901910501E-15</v>
      </c>
      <c r="HC61" s="5">
        <v>1.13871174878991E-11</v>
      </c>
      <c r="HD61" s="5">
        <v>3.09320877112052E-15</v>
      </c>
      <c r="HE61" s="5">
        <v>4.7942415311620898E-16</v>
      </c>
      <c r="HF61" s="5">
        <v>3.6144004937904102E-9</v>
      </c>
      <c r="HG61" s="5">
        <v>2.16465020467302E-16</v>
      </c>
      <c r="HH61" s="5">
        <v>7.98390172830444E-6</v>
      </c>
      <c r="HI61" s="5">
        <v>2.9922044476461702E-12</v>
      </c>
      <c r="HJ61" s="5">
        <v>2.6622900249754701E-15</v>
      </c>
      <c r="HK61" s="5">
        <v>3.9596604600642898E-15</v>
      </c>
      <c r="HL61" s="5">
        <v>2.1737853516951201E-9</v>
      </c>
      <c r="HM61" s="5">
        <v>4.0948716271943501E-16</v>
      </c>
      <c r="HN61" s="5">
        <v>5.8471194569606704E-13</v>
      </c>
      <c r="HO61" s="5">
        <v>1.39241110092859E-16</v>
      </c>
      <c r="HP61" s="5">
        <v>1.5256474293810901E-7</v>
      </c>
      <c r="HQ61" s="5">
        <v>1.73750563140666E-17</v>
      </c>
      <c r="HR61" s="5">
        <v>6.9102320854989396E-13</v>
      </c>
      <c r="HS61" s="5">
        <v>2.1138711270449101E-14</v>
      </c>
      <c r="HT61" s="5">
        <v>1.5256474293810901E-7</v>
      </c>
      <c r="HU61" s="5">
        <v>1.8982440378363501E-17</v>
      </c>
      <c r="HV61" s="5">
        <v>5.9061812696572401E-14</v>
      </c>
      <c r="HW61" s="5">
        <v>1.5256474293810901E-7</v>
      </c>
      <c r="HX61" s="5">
        <v>1.0333183270480099E-17</v>
      </c>
      <c r="HY61" s="5">
        <v>1.29E-5</v>
      </c>
      <c r="HZ61" s="5">
        <v>7.1999999999999996E-14</v>
      </c>
      <c r="IA61" s="5">
        <v>9.7044399187507403E-11</v>
      </c>
      <c r="IB61" s="5">
        <v>0</v>
      </c>
      <c r="IC61" s="5">
        <v>1.6900000000000001E-5</v>
      </c>
      <c r="ID61">
        <f t="shared" si="5"/>
        <v>6.7931079431255183E-10</v>
      </c>
      <c r="IE61">
        <f t="shared" si="6"/>
        <v>0</v>
      </c>
      <c r="IF61">
        <f t="shared" si="7"/>
        <v>1.183E-4</v>
      </c>
      <c r="IG61" s="5">
        <v>1.26E-14</v>
      </c>
      <c r="IH61" s="5">
        <v>7.6200000000000006E-14</v>
      </c>
      <c r="II61" s="5">
        <v>6.4399999999999998E-13</v>
      </c>
      <c r="IJ61" s="5">
        <v>6.8799999999999995E-14</v>
      </c>
      <c r="IK61" s="5">
        <v>7.5200000000000007E-15</v>
      </c>
      <c r="IL61" s="5">
        <v>-1.1556490832854301E-11</v>
      </c>
      <c r="IM61" s="5">
        <v>-2.8445369475092101E-11</v>
      </c>
      <c r="IN61">
        <v>-8.5297192775399798E-4</v>
      </c>
      <c r="IO61" s="5">
        <v>-5.0251979072164397E-6</v>
      </c>
      <c r="IP61" s="5">
        <v>-2.4264860602357201E-13</v>
      </c>
      <c r="IQ61" s="5">
        <v>-2.0017867381290602E-12</v>
      </c>
      <c r="IR61" s="5">
        <v>1.8938631624940498E-15</v>
      </c>
      <c r="IS61" s="5">
        <v>1.14378830724595E-14</v>
      </c>
      <c r="IT61" s="5">
        <v>4.6351792423691098E-13</v>
      </c>
      <c r="IU61" s="5">
        <v>1.7750913190094901E-14</v>
      </c>
      <c r="IV61" s="5">
        <v>6.7331883190733499E-15</v>
      </c>
      <c r="IW61" s="5">
        <v>3.5268790938006302E-10</v>
      </c>
      <c r="IX61" s="5">
        <v>2.12439638789684E-9</v>
      </c>
      <c r="IY61" s="5">
        <v>2.95117066571379E-10</v>
      </c>
      <c r="IZ61" s="5">
        <v>1.75748368699435E-13</v>
      </c>
      <c r="JA61">
        <f t="shared" si="4"/>
        <v>2.6537760061111312E-3</v>
      </c>
    </row>
    <row r="62" spans="1:261" x14ac:dyDescent="0.3">
      <c r="A62" t="s">
        <v>171</v>
      </c>
      <c r="B62">
        <v>1.03173644636482E-3</v>
      </c>
      <c r="C62" s="5">
        <v>1.26383246189776E-5</v>
      </c>
      <c r="D62" s="5">
        <v>1.9732692393558302E-6</v>
      </c>
      <c r="E62">
        <v>1.16413389821471E-4</v>
      </c>
      <c r="F62">
        <v>2.8782934497049401E-5</v>
      </c>
      <c r="G62">
        <v>1.27581056341814E-5</v>
      </c>
      <c r="H62">
        <v>1.1516564257485099E-4</v>
      </c>
      <c r="I62">
        <v>2.5006427033180699E-2</v>
      </c>
      <c r="J62" s="5">
        <v>1.3716353755811701E-4</v>
      </c>
      <c r="K62" s="5">
        <v>2.0215137696568799E-6</v>
      </c>
      <c r="L62">
        <v>2.0185192604007501E-2</v>
      </c>
      <c r="M62" s="5">
        <v>2.0574530633717499E-4</v>
      </c>
      <c r="N62" s="5">
        <v>4.63645711032503E-4</v>
      </c>
      <c r="O62">
        <v>1.81361049873584E-2</v>
      </c>
      <c r="P62" s="5">
        <v>1.3716353755811701E-4</v>
      </c>
      <c r="Q62" s="5">
        <v>2.0792713059327901E-6</v>
      </c>
      <c r="R62">
        <v>1.3836134771015501E-4</v>
      </c>
      <c r="S62" s="5">
        <v>4.5726354748114897E-4</v>
      </c>
      <c r="T62" s="5">
        <v>9.8851133514234092E-6</v>
      </c>
      <c r="U62" s="5">
        <v>1.3716353755811701E-4</v>
      </c>
      <c r="V62" s="5">
        <v>1.60492772078026E-3</v>
      </c>
      <c r="W62" s="5">
        <v>2.9889486270790502E-4</v>
      </c>
      <c r="X62" s="5">
        <v>1.3716353755811701E-4</v>
      </c>
      <c r="Y62" s="5">
        <v>3.7382580321738699E-3</v>
      </c>
      <c r="Z62" s="5">
        <v>1.2360112763044901E-6</v>
      </c>
      <c r="AA62" s="5">
        <v>1.3716353755811701E-4</v>
      </c>
      <c r="AB62" s="5">
        <v>4.60991639017621E-4</v>
      </c>
      <c r="AC62" s="5">
        <v>8.4602096626956396E-5</v>
      </c>
      <c r="AD62" s="5">
        <v>2.0649402228299201E-4</v>
      </c>
      <c r="AE62" s="5">
        <v>2.8143065218367701E-4</v>
      </c>
      <c r="AF62" s="5">
        <v>5.4865415023246699E-8</v>
      </c>
      <c r="AG62">
        <v>1.3716353755811701E-4</v>
      </c>
      <c r="AH62">
        <v>5.0012854066361398E-2</v>
      </c>
      <c r="AI62" s="5">
        <v>2.0215137696568799E-6</v>
      </c>
      <c r="AJ62">
        <v>3.6129879903056E-4</v>
      </c>
      <c r="AK62" s="5">
        <v>1.91684672719202E-5</v>
      </c>
      <c r="AL62">
        <v>1.449509161494E-4</v>
      </c>
      <c r="AM62" s="5">
        <v>1.09298406928676E-5</v>
      </c>
      <c r="AN62" s="5">
        <v>2.15734494642873E-7</v>
      </c>
      <c r="AO62" s="5">
        <v>4.3421640199694501E-6</v>
      </c>
      <c r="AP62">
        <v>2.3342653382163099E-3</v>
      </c>
      <c r="AQ62">
        <v>1.42932130179985E-4</v>
      </c>
      <c r="AR62">
        <v>2.7050994048361898E-4</v>
      </c>
      <c r="AS62">
        <v>1.14182831636234E-4</v>
      </c>
      <c r="AT62" s="5">
        <v>9.3614786887654606E-5</v>
      </c>
      <c r="AU62" s="5">
        <v>1.5020367081532E-6</v>
      </c>
      <c r="AV62" s="5">
        <v>1.5073480149393401E-5</v>
      </c>
      <c r="AW62" s="5">
        <v>2.3278832312043501E-6</v>
      </c>
      <c r="AX62" s="5">
        <v>1.25950012280576E-5</v>
      </c>
      <c r="AY62" s="5">
        <v>2.0599999999999999E-5</v>
      </c>
      <c r="AZ62" s="5">
        <v>3.8600000000000003E-6</v>
      </c>
      <c r="BA62" s="5">
        <v>3.9299999999999996E-6</v>
      </c>
      <c r="BB62" s="5">
        <v>1.4800000000000001E-5</v>
      </c>
      <c r="BC62" s="5">
        <v>2.1500000000000001E-5</v>
      </c>
      <c r="BD62" s="5">
        <v>8.1100000000000003E-6</v>
      </c>
      <c r="BE62" s="5">
        <v>6.2271034662118596E-6</v>
      </c>
      <c r="BF62" s="5">
        <v>1.61201002578609E-5</v>
      </c>
      <c r="BG62" s="5">
        <v>1.5065495176506499E-7</v>
      </c>
      <c r="BH62" s="5">
        <v>2.0538863448205799E-4</v>
      </c>
      <c r="BI62" s="5">
        <v>3.3391714239107098E-6</v>
      </c>
      <c r="BJ62" s="5">
        <v>1.0316864165031001E-4</v>
      </c>
      <c r="BK62" s="5">
        <v>2.0607879069401902E-3</v>
      </c>
      <c r="BL62" s="5">
        <v>1.5490668300688802E-5</v>
      </c>
      <c r="BM62" s="5">
        <v>6.1926238662088798E-6</v>
      </c>
      <c r="BN62" s="5">
        <v>2.4728382858038801E-5</v>
      </c>
      <c r="BO62" s="5">
        <v>2.1493467025266501E-5</v>
      </c>
      <c r="BP62" s="5">
        <v>1.22295938083991E-3</v>
      </c>
      <c r="BQ62" s="5">
        <v>2.7878931795700201E-6</v>
      </c>
      <c r="BR62" s="5">
        <v>1.27495197245477E-6</v>
      </c>
      <c r="BS62" s="5">
        <v>5.4640798819490105E-7</v>
      </c>
      <c r="BT62" s="5">
        <v>1.7800348321778399E-4</v>
      </c>
      <c r="BU62" s="5">
        <v>9.3496581495593404E-5</v>
      </c>
      <c r="BV62" s="5">
        <v>2.6688892565290999E-3</v>
      </c>
      <c r="BW62" s="5">
        <v>1.17417673746793E-5</v>
      </c>
      <c r="BX62" s="5">
        <v>4.55339990162417E-6</v>
      </c>
      <c r="BY62" s="5">
        <v>1.7452924760962899E-4</v>
      </c>
      <c r="BZ62" s="5">
        <v>1.0316864165031001E-4</v>
      </c>
      <c r="CA62" s="5">
        <v>4.9661610216427503E-3</v>
      </c>
      <c r="CB62" s="5">
        <v>1.3989943072410599E-5</v>
      </c>
      <c r="CC62" s="5">
        <v>9.1067998032483505E-7</v>
      </c>
      <c r="CD62" s="5">
        <v>1.45708796851974E-6</v>
      </c>
      <c r="CE62" s="5">
        <v>2.22964179323309E-4</v>
      </c>
      <c r="CF62" s="5">
        <v>1.0316864165031001E-4</v>
      </c>
      <c r="CG62" s="5">
        <v>4.8310273884007698E-3</v>
      </c>
      <c r="CH62" s="5">
        <v>1.5341178206798301E-5</v>
      </c>
      <c r="CI62" s="5">
        <v>1.0928159763898E-6</v>
      </c>
      <c r="CJ62" s="5">
        <v>4.0069919134292701E-6</v>
      </c>
      <c r="CK62" s="5">
        <v>3.53805957182696E-6</v>
      </c>
      <c r="CL62" s="5">
        <v>1.0871841641545299E-4</v>
      </c>
      <c r="CM62" s="5">
        <v>1.8490552893817E-4</v>
      </c>
      <c r="CN62" s="5">
        <v>2.4442202089297701E-6</v>
      </c>
      <c r="CO62" s="5">
        <v>4.0970813854310898E-5</v>
      </c>
      <c r="CP62" s="5">
        <v>4.5013118830710603E-7</v>
      </c>
      <c r="CQ62" s="5">
        <v>3.2698688076745502E-6</v>
      </c>
      <c r="CR62" s="5">
        <v>1.04777784409739E-4</v>
      </c>
      <c r="CS62" s="5">
        <v>1.3150965055312E-6</v>
      </c>
      <c r="CT62" s="5">
        <v>2.0668009732699298E-6</v>
      </c>
      <c r="CU62" s="5">
        <v>4.7611433573210201E-6</v>
      </c>
      <c r="CV62" s="5">
        <v>5.5433661495982301E-5</v>
      </c>
      <c r="CW62" s="5">
        <v>1.24524470935948E-3</v>
      </c>
      <c r="CX62" s="5">
        <v>8.4563754750340003E-4</v>
      </c>
      <c r="CY62" s="5">
        <v>5.0072112226083295E-4</v>
      </c>
      <c r="CZ62" s="5">
        <v>2.81724759800672E-5</v>
      </c>
      <c r="DA62" s="5">
        <v>3.1152047532576601E-3</v>
      </c>
      <c r="DB62" s="5">
        <v>1.6024981464942701E-5</v>
      </c>
      <c r="DC62" s="5">
        <v>2.5985235051050401E-8</v>
      </c>
      <c r="DD62" s="5">
        <v>5.6503121360148099E-7</v>
      </c>
      <c r="DE62" s="5">
        <v>5.0174971417419698E-10</v>
      </c>
      <c r="DF62" s="5">
        <v>3.0865938558213702E-5</v>
      </c>
      <c r="DG62" s="5">
        <v>1.45708796851974E-6</v>
      </c>
      <c r="DH62" s="5">
        <v>9.1667907088244E-6</v>
      </c>
      <c r="DI62" s="5">
        <v>1.2521972580317601E-2</v>
      </c>
      <c r="DJ62" s="5">
        <v>9.3276115984528899E-5</v>
      </c>
      <c r="DK62" s="5">
        <v>1.8563840428740901E-4</v>
      </c>
      <c r="DL62" s="5">
        <v>1.9772908242378299E-5</v>
      </c>
      <c r="DM62" s="5">
        <v>8.7673100368746906E-6</v>
      </c>
      <c r="DN62" s="5">
        <v>1.0864380707030701E-5</v>
      </c>
      <c r="DO62" s="5">
        <v>3.36318482840748E-7</v>
      </c>
      <c r="DP62" s="5">
        <v>5.1187132946722299E-5</v>
      </c>
      <c r="DQ62" s="5">
        <v>6.92753672372615E-6</v>
      </c>
      <c r="DR62" s="5">
        <v>3.5377167518189103E-5</v>
      </c>
      <c r="DS62" s="5">
        <v>5.6752144777911899E-3</v>
      </c>
      <c r="DT62" s="5">
        <v>3.0008745887140402E-7</v>
      </c>
      <c r="DU62" s="5">
        <v>3.9634092114360802E-6</v>
      </c>
      <c r="DV62" s="5">
        <v>1.24903060829525E-4</v>
      </c>
      <c r="DW62" s="5">
        <v>2.2795006095874198E-6</v>
      </c>
      <c r="DX62" s="5">
        <v>1.0864380707030701E-5</v>
      </c>
      <c r="DY62" s="5">
        <v>2.5016712600919501E-5</v>
      </c>
      <c r="DZ62" s="5">
        <v>9.0566959847386704E-4</v>
      </c>
      <c r="EA62" s="5">
        <v>1.2782915998219699E-6</v>
      </c>
      <c r="EB62" s="5">
        <v>1.3656339321192401E-2</v>
      </c>
      <c r="EC62" s="5">
        <v>5.6785043378027302E-3</v>
      </c>
      <c r="ED62" s="5">
        <v>4.04842751991508E-4</v>
      </c>
      <c r="EE62" s="5">
        <v>1.0782389644498299E-3</v>
      </c>
      <c r="EF62" s="5">
        <v>3.8214437581595799E-5</v>
      </c>
      <c r="EG62" s="5">
        <v>3.58500918605545E-5</v>
      </c>
      <c r="EH62" s="5">
        <v>3.4590336927538598E-4</v>
      </c>
      <c r="EI62" s="5">
        <v>3.3868356690593699E-3</v>
      </c>
      <c r="EJ62" s="5">
        <v>1.0928159763897999E-5</v>
      </c>
      <c r="EK62">
        <v>7.3626483073874498E-4</v>
      </c>
      <c r="EL62" s="5">
        <v>3.2410810148860601E-6</v>
      </c>
      <c r="EM62" s="5">
        <v>2.30399581145688E-4</v>
      </c>
      <c r="EN62" s="5">
        <v>3.2894063396446899E-3</v>
      </c>
      <c r="EO62" s="5">
        <v>1.47979872620111E-5</v>
      </c>
      <c r="EP62" s="5">
        <v>2.2485301880310601E-5</v>
      </c>
      <c r="EQ62" s="5">
        <v>5.8389451951131897E-6</v>
      </c>
      <c r="ER62" s="5">
        <v>1.5308160616481399E-4</v>
      </c>
      <c r="ES62" s="5">
        <v>9.6086473877970706E-6</v>
      </c>
      <c r="ET62" s="5">
        <v>1.3295049389277599E-2</v>
      </c>
      <c r="EU62" s="5">
        <v>3.8034323021243001E-4</v>
      </c>
      <c r="EV62" s="5">
        <v>1.8221006794908801E-4</v>
      </c>
      <c r="EW62" s="5">
        <v>9.9934675023602602E-6</v>
      </c>
      <c r="EX62" s="5">
        <v>4.0972535850147599E-5</v>
      </c>
      <c r="EY62" s="5">
        <v>5.7206697990607303E-5</v>
      </c>
      <c r="EZ62" s="5">
        <v>1.33938985359562E-6</v>
      </c>
      <c r="FA62" s="5">
        <v>1.3513363324198E-5</v>
      </c>
      <c r="FB62" s="5">
        <v>8.0839680416024298E-6</v>
      </c>
      <c r="FC62" s="5">
        <v>4.5919311047232098E-3</v>
      </c>
      <c r="FD62" s="5">
        <v>1.35618935224428E-3</v>
      </c>
      <c r="FE62" s="5">
        <v>2.6180406502479701E-5</v>
      </c>
      <c r="FF62" s="5">
        <v>1.8735633641719999E-5</v>
      </c>
      <c r="FG62" s="5">
        <v>1.05142569570724E-6</v>
      </c>
      <c r="FH62" s="5">
        <v>1.16590454194203E-5</v>
      </c>
      <c r="FI62" s="5">
        <v>5.3246247029927504E-6</v>
      </c>
      <c r="FJ62" s="5">
        <v>7.7809876577262792E-6</v>
      </c>
      <c r="FK62" s="5">
        <v>9.931267702789669E-7</v>
      </c>
      <c r="FL62" s="5">
        <v>2.3971571401404401E-7</v>
      </c>
      <c r="FM62" s="5">
        <v>6.1831005434344196E-6</v>
      </c>
      <c r="FN62" s="5">
        <v>3.5105545082870501E-4</v>
      </c>
      <c r="FO62" s="5">
        <v>2.3007023896118501E-5</v>
      </c>
      <c r="FP62" s="5">
        <v>8.2889564830192204E-7</v>
      </c>
      <c r="FQ62" s="5">
        <v>7.6657983339787202E-7</v>
      </c>
      <c r="FR62" s="5">
        <v>4.4750212436107602E-5</v>
      </c>
      <c r="FS62" s="5">
        <v>1.22295938083991E-3</v>
      </c>
      <c r="FT62" s="5">
        <v>1.28910290964988E-6</v>
      </c>
      <c r="FU62" s="5">
        <v>9.5606448366470395E-4</v>
      </c>
      <c r="FV62" s="5">
        <v>4.3568952134594197E-6</v>
      </c>
      <c r="FW62" s="5">
        <v>5.0174971417419698E-10</v>
      </c>
      <c r="FX62" s="5">
        <v>2.0503552202785401E-6</v>
      </c>
      <c r="FY62" s="5">
        <v>1.27495197245477E-6</v>
      </c>
      <c r="FZ62" s="5">
        <v>9.2811903122819099E-5</v>
      </c>
      <c r="GA62" s="5">
        <v>8.09766417095734E-7</v>
      </c>
      <c r="GB62" s="5">
        <v>1.4266622681411801E-5</v>
      </c>
      <c r="GC62" s="5">
        <v>7.9703052187067201E-6</v>
      </c>
      <c r="GD62" s="5">
        <v>3.9419990052884299E-7</v>
      </c>
      <c r="GE62" s="5">
        <v>8.1686992356785196E-5</v>
      </c>
      <c r="GF62" s="5">
        <v>1.5026914375230601E-4</v>
      </c>
      <c r="GG62" s="5">
        <v>1.2096330795322601E-5</v>
      </c>
      <c r="GH62" s="5">
        <v>2.1948650279095102E-5</v>
      </c>
      <c r="GI62" s="5">
        <v>7.9703052187067201E-6</v>
      </c>
      <c r="GJ62" s="5">
        <v>3.9419990052884299E-7</v>
      </c>
      <c r="GK62" s="5">
        <v>9.2596222785938995E-5</v>
      </c>
      <c r="GL62" s="5">
        <v>1.0928159763898E-6</v>
      </c>
      <c r="GM62" s="5">
        <v>7.9697707148813001E-4</v>
      </c>
      <c r="GN62" s="5">
        <v>2.3801865738908899E-4</v>
      </c>
      <c r="GO62" s="5">
        <v>9.2246862290906603E-6</v>
      </c>
      <c r="GP62" s="5">
        <v>8.2462755182820396E-5</v>
      </c>
      <c r="GQ62" s="5">
        <v>5.5068785444323797E-6</v>
      </c>
      <c r="GR62" s="5">
        <v>1.2865671170279899E-6</v>
      </c>
      <c r="GS62" s="5">
        <v>4.9972739468585802E-3</v>
      </c>
      <c r="GT62" s="5">
        <v>2.1050737026711199E-3</v>
      </c>
      <c r="GU62" s="5">
        <v>1.5174753585654799E-5</v>
      </c>
      <c r="GV62" s="5">
        <v>3.00087458871404E-6</v>
      </c>
      <c r="GW62" s="5">
        <v>7.7282815351586008E-6</v>
      </c>
      <c r="GX62" s="5">
        <v>2.03960200487519E-5</v>
      </c>
      <c r="GY62" s="5">
        <v>8.7673100368746906E-6</v>
      </c>
      <c r="GZ62" s="5">
        <v>1.8627441430304101E-6</v>
      </c>
      <c r="HA62" s="5">
        <v>2.3971571401404401E-7</v>
      </c>
      <c r="HB62" s="5">
        <v>1.1619991411080899E-5</v>
      </c>
      <c r="HC62" s="5">
        <v>1.6504530545962601E-3</v>
      </c>
      <c r="HD62" s="5">
        <v>1.07177956146685E-5</v>
      </c>
      <c r="HE62" s="5">
        <v>4.0930500297174697E-8</v>
      </c>
      <c r="HF62" s="5">
        <v>1.5512034222574099E-6</v>
      </c>
      <c r="HG62" s="5">
        <v>2.19618562194201E-6</v>
      </c>
      <c r="HH62" s="5">
        <v>1.77445389309429E-3</v>
      </c>
      <c r="HI62" s="5">
        <v>4.3813714406834098E-4</v>
      </c>
      <c r="HJ62" s="5">
        <v>9.2246862290906603E-6</v>
      </c>
      <c r="HK62" s="5">
        <v>1.16590454194203E-5</v>
      </c>
      <c r="HL62" s="5">
        <v>9.3137207151520599E-7</v>
      </c>
      <c r="HM62" s="5">
        <v>4.15452721734363E-6</v>
      </c>
      <c r="HN62" s="5">
        <v>8.4748367429994398E-5</v>
      </c>
      <c r="HO62" s="5">
        <v>4.8246266888549495E-7</v>
      </c>
      <c r="HP62" s="5">
        <v>1.61201002578609E-5</v>
      </c>
      <c r="HQ62" s="5">
        <v>1.76281825003453E-7</v>
      </c>
      <c r="HR62" s="5">
        <v>1.0015716150817499E-4</v>
      </c>
      <c r="HS62" s="5">
        <v>9.1433068552586305E-7</v>
      </c>
      <c r="HT62" s="5">
        <v>1.61201002578609E-5</v>
      </c>
      <c r="HU62" s="5">
        <v>1.9258983524606301E-7</v>
      </c>
      <c r="HV62" s="5">
        <v>8.5604411545448906E-6</v>
      </c>
      <c r="HW62" s="5">
        <v>1.61201002578609E-5</v>
      </c>
      <c r="HX62" s="5">
        <v>1.04837208702494E-7</v>
      </c>
      <c r="HY62">
        <v>2.0699999999999998E-3</v>
      </c>
      <c r="HZ62" s="5">
        <v>7.2999999999999996E-4</v>
      </c>
      <c r="IA62">
        <v>0.30570194305952902</v>
      </c>
      <c r="IB62" s="5">
        <v>1.1056676537673</v>
      </c>
      <c r="IC62" s="5">
        <v>5.3899999999999998E-4</v>
      </c>
      <c r="ID62">
        <f t="shared" si="5"/>
        <v>2.1399136014167031</v>
      </c>
      <c r="IE62">
        <f t="shared" si="6"/>
        <v>7.7396735763711</v>
      </c>
      <c r="IF62">
        <f t="shared" si="7"/>
        <v>3.7729999999999999E-3</v>
      </c>
      <c r="IG62" s="5">
        <v>2.5899999999999999E-5</v>
      </c>
      <c r="IH62">
        <v>1.56E-4</v>
      </c>
      <c r="II62">
        <v>1.7200000000000001E-4</v>
      </c>
      <c r="IJ62" s="5">
        <v>7.5500000000000006E-5</v>
      </c>
      <c r="IK62" s="5">
        <v>1.38E-5</v>
      </c>
      <c r="IL62">
        <v>-7.4794035436953404E-3</v>
      </c>
      <c r="IM62">
        <v>-4.7267739581747202E-2</v>
      </c>
      <c r="IN62">
        <v>-4.2108022516914999E-2</v>
      </c>
      <c r="IO62">
        <v>-1.00168321493811E-3</v>
      </c>
      <c r="IP62" s="5">
        <v>-1.06151133618118E-5</v>
      </c>
      <c r="IQ62">
        <v>-1.3525324056221701E-4</v>
      </c>
      <c r="IR62" s="5">
        <v>3.8865781004460797E-6</v>
      </c>
      <c r="IS62" s="5">
        <v>2.3433116200910701E-5</v>
      </c>
      <c r="IT62">
        <v>1.2368401063968099E-4</v>
      </c>
      <c r="IU62" s="5">
        <v>1.94685206257477E-5</v>
      </c>
      <c r="IV62" s="5">
        <v>1.2386803943453701E-5</v>
      </c>
      <c r="IW62" s="5">
        <v>8.17222916283457E-5</v>
      </c>
      <c r="IX62">
        <v>4.9224976680111603E-4</v>
      </c>
      <c r="IY62" s="5">
        <v>7.1500550871190003E-5</v>
      </c>
      <c r="IZ62" s="5">
        <v>1.80667237926448E-5</v>
      </c>
      <c r="JA62">
        <f t="shared" si="4"/>
        <v>1.6494850574712068</v>
      </c>
    </row>
    <row r="63" spans="1:261" x14ac:dyDescent="0.3">
      <c r="A63" t="s">
        <v>172</v>
      </c>
      <c r="B63">
        <v>6.3255794949373999E-4</v>
      </c>
      <c r="C63" s="5">
        <v>1.11807557380809E-5</v>
      </c>
      <c r="D63" s="5">
        <v>7.3497015222571299E-6</v>
      </c>
      <c r="E63">
        <v>1.07089231118536E-4</v>
      </c>
      <c r="F63">
        <v>9.1435906915081493E-5</v>
      </c>
      <c r="G63">
        <v>1.06832816268494E-5</v>
      </c>
      <c r="H63">
        <v>6.81512958359641E-4</v>
      </c>
      <c r="I63">
        <v>3.2707987656354701E-2</v>
      </c>
      <c r="J63" s="5">
        <v>6.7034887369972501E-5</v>
      </c>
      <c r="K63" s="5">
        <v>7.52939463798724E-6</v>
      </c>
      <c r="L63">
        <v>1.5753711435849901E-2</v>
      </c>
      <c r="M63" s="5">
        <v>1.00552331054959E-4</v>
      </c>
      <c r="N63" s="5">
        <v>2.74370509374054E-3</v>
      </c>
      <c r="O63">
        <v>1.6072072066472799E-2</v>
      </c>
      <c r="P63" s="5">
        <v>6.7034887369972501E-5</v>
      </c>
      <c r="Q63" s="5">
        <v>7.7445201990725901E-6</v>
      </c>
      <c r="R63" s="5">
        <v>6.2060146257657405E-5</v>
      </c>
      <c r="S63" s="5">
        <v>2.78458716433917E-4</v>
      </c>
      <c r="T63" s="5">
        <v>3.6818408353823201E-5</v>
      </c>
      <c r="U63" s="5">
        <v>6.7034887369972501E-5</v>
      </c>
      <c r="V63" s="5">
        <v>2.6999860806286901E-3</v>
      </c>
      <c r="W63" s="5">
        <v>1.76876295367492E-3</v>
      </c>
      <c r="X63" s="5">
        <v>6.7034887369972501E-5</v>
      </c>
      <c r="Y63" s="5">
        <v>4.9490019941003799E-3</v>
      </c>
      <c r="Z63" s="5">
        <v>4.6036870072264801E-6</v>
      </c>
      <c r="AA63" s="5">
        <v>6.7034887369972501E-5</v>
      </c>
      <c r="AB63" s="5">
        <v>4.9034490226354001E-4</v>
      </c>
      <c r="AC63" s="5">
        <v>5.0064779622265704E-4</v>
      </c>
      <c r="AD63" s="5">
        <v>1.8996033343193501E-4</v>
      </c>
      <c r="AE63" s="5">
        <v>4.5978770423174602E-4</v>
      </c>
      <c r="AF63" s="5">
        <v>2.6813954947989001E-8</v>
      </c>
      <c r="AG63" s="5">
        <v>6.7034887369972501E-5</v>
      </c>
      <c r="AH63">
        <v>6.5415975312709304E-2</v>
      </c>
      <c r="AI63" s="5">
        <v>7.52939463798724E-6</v>
      </c>
      <c r="AJ63">
        <v>4.5760733405686698E-4</v>
      </c>
      <c r="AK63" s="5">
        <v>2.4278052486738998E-5</v>
      </c>
      <c r="AL63">
        <v>2.9573399333324699E-4</v>
      </c>
      <c r="AM63" s="5">
        <v>2.22994481198478E-5</v>
      </c>
      <c r="AN63" s="5">
        <v>2.7682150622205199E-7</v>
      </c>
      <c r="AO63" s="5">
        <v>3.9944929927276102E-6</v>
      </c>
      <c r="AP63">
        <v>1.51722026367213E-3</v>
      </c>
      <c r="AQ63" s="5">
        <v>8.2197322660405406E-5</v>
      </c>
      <c r="AR63">
        <v>1.5411639760894001E-4</v>
      </c>
      <c r="AS63">
        <v>1.0504037129024501E-4</v>
      </c>
      <c r="AT63" s="5">
        <v>5.3612442380498798E-5</v>
      </c>
      <c r="AU63" s="5">
        <v>3.1840224672573699E-6</v>
      </c>
      <c r="AV63" s="5">
        <v>6.6222110375280497E-6</v>
      </c>
      <c r="AW63" s="5">
        <v>2.7725844364196699E-6</v>
      </c>
      <c r="AX63" s="5">
        <v>4.6911743137953401E-5</v>
      </c>
      <c r="AY63" s="5">
        <v>1.1800000000000001E-5</v>
      </c>
      <c r="AZ63" s="5">
        <v>3.5499999999999999E-6</v>
      </c>
      <c r="BA63" s="5">
        <v>9.2800000000000005E-7</v>
      </c>
      <c r="BB63" s="5">
        <v>2.5599999999999999E-5</v>
      </c>
      <c r="BC63" s="5">
        <v>1.03E-5</v>
      </c>
      <c r="BD63" s="5">
        <v>3.0199999999999999E-5</v>
      </c>
      <c r="BE63" s="5">
        <v>9.3293270009384103E-6</v>
      </c>
      <c r="BF63" s="5">
        <v>7.7172604303990792E-6</v>
      </c>
      <c r="BG63" s="5">
        <v>5.6113423664615602E-7</v>
      </c>
      <c r="BH63" s="5">
        <v>1.9088168036304201E-4</v>
      </c>
      <c r="BI63" s="5">
        <v>5.0026825947060999E-6</v>
      </c>
      <c r="BJ63" s="5">
        <v>4.9390466754554101E-5</v>
      </c>
      <c r="BK63" s="5">
        <v>1.7774557567510599E-4</v>
      </c>
      <c r="BL63" s="5">
        <v>5.7697037038655597E-5</v>
      </c>
      <c r="BM63" s="5">
        <v>1.18644577753183E-5</v>
      </c>
      <c r="BN63" s="5">
        <v>2.2981774451669799E-5</v>
      </c>
      <c r="BO63" s="5">
        <v>1.0289680593478599E-5</v>
      </c>
      <c r="BP63" s="5">
        <v>1.05481800646538E-4</v>
      </c>
      <c r="BQ63" s="5">
        <v>1.0383875822472701E-5</v>
      </c>
      <c r="BR63" s="5">
        <v>2.4426824831537602E-6</v>
      </c>
      <c r="BS63" s="5">
        <v>1.0468639213516099E-6</v>
      </c>
      <c r="BT63" s="5">
        <v>1.6543078964797E-4</v>
      </c>
      <c r="BU63" s="5">
        <v>4.4760110496314598E-5</v>
      </c>
      <c r="BV63" s="5">
        <v>2.3019508980874401E-4</v>
      </c>
      <c r="BW63" s="5">
        <v>4.3733761124174601E-5</v>
      </c>
      <c r="BX63" s="5">
        <v>8.7238660112634392E-6</v>
      </c>
      <c r="BY63" s="5">
        <v>1.6220194530352101E-4</v>
      </c>
      <c r="BZ63" s="5">
        <v>4.9390466754554101E-5</v>
      </c>
      <c r="CA63" s="5">
        <v>4.2833769875804198E-4</v>
      </c>
      <c r="CB63" s="5">
        <v>5.2107388006084999E-5</v>
      </c>
      <c r="CC63" s="5">
        <v>1.74477320225269E-6</v>
      </c>
      <c r="CD63" s="5">
        <v>2.7916371236043002E-6</v>
      </c>
      <c r="CE63" s="5">
        <v>2.07215834105551E-4</v>
      </c>
      <c r="CF63" s="5">
        <v>4.9390466754554101E-5</v>
      </c>
      <c r="CG63" s="5">
        <v>4.1668225117278898E-4</v>
      </c>
      <c r="CH63" s="5">
        <v>5.7140241468787699E-5</v>
      </c>
      <c r="CI63" s="5">
        <v>2.09372784270323E-6</v>
      </c>
      <c r="CJ63" s="5">
        <v>7.6770020899118308E-6</v>
      </c>
      <c r="CK63" s="5">
        <v>3.2547720681484201E-6</v>
      </c>
      <c r="CL63" s="5">
        <v>7.4640760875718906E-5</v>
      </c>
      <c r="CM63" s="5">
        <v>1.05345385707377E-4</v>
      </c>
      <c r="CN63" s="5">
        <v>2.24851490002486E-6</v>
      </c>
      <c r="CO63" s="5">
        <v>2.4949900992478899E-5</v>
      </c>
      <c r="CP63" s="5">
        <v>9.4519824945446703E-7</v>
      </c>
      <c r="CQ63" s="5">
        <v>3.0389123241877398E-6</v>
      </c>
      <c r="CR63" s="5">
        <v>1.5697606736361601E-4</v>
      </c>
      <c r="CS63" s="5">
        <v>2.1485406739801199E-6</v>
      </c>
      <c r="CT63" s="5">
        <v>2.4612389369792502E-6</v>
      </c>
      <c r="CU63" s="5">
        <v>1.7733506347268701E-5</v>
      </c>
      <c r="CV63" s="5">
        <v>3.8966823285981902E-5</v>
      </c>
      <c r="CW63" s="5">
        <v>1.26891770273596E-3</v>
      </c>
      <c r="CX63" s="5">
        <v>6.9897627395771103E-4</v>
      </c>
      <c r="CY63" s="5">
        <v>1.9785530413652999E-4</v>
      </c>
      <c r="CZ63" s="5">
        <v>1.04932102252831E-4</v>
      </c>
      <c r="DA63" s="5">
        <v>1.7817120777989799E-3</v>
      </c>
      <c r="DB63" s="5">
        <v>1.4741883511520101E-5</v>
      </c>
      <c r="DC63" s="5">
        <v>5.5083588683552597E-8</v>
      </c>
      <c r="DD63" s="5">
        <v>9.2312050057555998E-7</v>
      </c>
      <c r="DE63" s="5">
        <v>5.9694382962458905E-10</v>
      </c>
      <c r="DF63" s="5">
        <v>1.1496425884653E-4</v>
      </c>
      <c r="DG63" s="5">
        <v>2.7916371236043002E-6</v>
      </c>
      <c r="DH63" s="5">
        <v>8.4328185402027406E-6</v>
      </c>
      <c r="DI63" s="5">
        <v>8.4298520981209608E-3</v>
      </c>
      <c r="DJ63" s="5">
        <v>8.5807627251185698E-5</v>
      </c>
      <c r="DK63" s="5">
        <v>1.05660047803765E-4</v>
      </c>
      <c r="DL63" s="5">
        <v>8.6868042355816793E-6</v>
      </c>
      <c r="DM63" s="5">
        <v>1.4323604493200801E-5</v>
      </c>
      <c r="DN63" s="5">
        <v>1.2939145649030599E-5</v>
      </c>
      <c r="DO63" s="5">
        <v>5.8877409344188705E-7</v>
      </c>
      <c r="DP63">
        <v>1.90653227362586E-4</v>
      </c>
      <c r="DQ63" s="5">
        <v>6.3728585038531099E-6</v>
      </c>
      <c r="DR63" s="5">
        <v>5.3001393976345799E-5</v>
      </c>
      <c r="DS63" s="5">
        <v>3.3149860809041599E-3</v>
      </c>
      <c r="DT63" s="5">
        <v>6.3013216630297798E-7</v>
      </c>
      <c r="DU63" s="5">
        <v>1.7412390480554399E-6</v>
      </c>
      <c r="DV63" s="5">
        <v>1.8712737056954701E-4</v>
      </c>
      <c r="DW63" s="5">
        <v>3.7241371682322101E-6</v>
      </c>
      <c r="DX63" s="5">
        <v>1.2939145649030599E-5</v>
      </c>
      <c r="DY63" s="5">
        <v>9.3178045356278705E-5</v>
      </c>
      <c r="DZ63" s="5">
        <v>2.0508680110730199E-4</v>
      </c>
      <c r="EA63" s="5">
        <v>2.8946619775201399E-7</v>
      </c>
      <c r="EB63" s="5">
        <v>8.8022053666121994E-3</v>
      </c>
      <c r="EC63" s="5">
        <v>3.5954880743500799E-3</v>
      </c>
      <c r="ED63" s="5">
        <v>2.3051646370278599E-4</v>
      </c>
      <c r="EE63" s="5">
        <v>2.4416473780382401E-4</v>
      </c>
      <c r="EF63" s="5">
        <v>1.6877406642576201E-5</v>
      </c>
      <c r="EG63" s="5">
        <v>3.9069692347946397E-5</v>
      </c>
      <c r="EH63" s="5">
        <v>1.5515036564414301E-4</v>
      </c>
      <c r="EI63" s="5">
        <v>2.0042196133264599E-2</v>
      </c>
      <c r="EJ63" s="5">
        <v>2.0937278427032301E-5</v>
      </c>
      <c r="EK63">
        <v>3.2517136798030201E-4</v>
      </c>
      <c r="EL63" s="5">
        <v>2.2783021679303901E-6</v>
      </c>
      <c r="EM63" s="5">
        <v>2.1195180748153801E-4</v>
      </c>
      <c r="EN63" s="5">
        <v>2.1121036479499898E-3</v>
      </c>
      <c r="EO63" s="5">
        <v>1.8340492434422401E-6</v>
      </c>
      <c r="EP63" s="5">
        <v>9.8784363543236095E-6</v>
      </c>
      <c r="EQ63" s="5">
        <v>9.5393845182290602E-6</v>
      </c>
      <c r="ER63" s="5">
        <v>1.3454529139118201E-4</v>
      </c>
      <c r="ES63" s="5">
        <v>3.5788674411190898E-5</v>
      </c>
      <c r="ET63" s="5">
        <v>8.3379433554405698E-3</v>
      </c>
      <c r="EU63" s="5">
        <v>3.0913203388644101E-4</v>
      </c>
      <c r="EV63" s="5">
        <v>1.67620761509644E-4</v>
      </c>
      <c r="EW63" s="5">
        <v>4.3904161574771603E-6</v>
      </c>
      <c r="EX63" s="5">
        <v>6.13842675134209E-5</v>
      </c>
      <c r="EY63" s="5">
        <v>9.3461519318135294E-5</v>
      </c>
      <c r="EZ63" s="5">
        <v>2.2788678600638601E-6</v>
      </c>
      <c r="FA63" s="5">
        <v>1.1655447585252901E-6</v>
      </c>
      <c r="FB63" s="5">
        <v>3.01098051073047E-5</v>
      </c>
      <c r="FC63" s="5">
        <v>3.1279815660022899E-3</v>
      </c>
      <c r="FD63" s="5">
        <v>8.2205554943168399E-4</v>
      </c>
      <c r="FE63" s="5">
        <v>1.4993310157258101E-5</v>
      </c>
      <c r="FF63" s="5">
        <v>1.72354975426951E-5</v>
      </c>
      <c r="FG63" s="5">
        <v>2.2288157270801599E-6</v>
      </c>
      <c r="FH63" s="5">
        <v>5.1221521837233498E-6</v>
      </c>
      <c r="FI63" s="5">
        <v>7.9772506239908193E-6</v>
      </c>
      <c r="FJ63" s="5">
        <v>1.27121989877157E-5</v>
      </c>
      <c r="FK63" s="5">
        <v>1.18289444896781E-6</v>
      </c>
      <c r="FL63" s="5">
        <v>2.6125099505773202E-7</v>
      </c>
      <c r="FM63" s="5">
        <v>2.3029773418646099E-5</v>
      </c>
      <c r="FN63" s="5">
        <v>2.0104665892686999E-4</v>
      </c>
      <c r="FO63" s="5">
        <v>1.3175939229105601E-5</v>
      </c>
      <c r="FP63" s="5">
        <v>3.531007944502E-7</v>
      </c>
      <c r="FQ63" s="5">
        <v>1.2416388206451999E-6</v>
      </c>
      <c r="FR63" s="5">
        <v>2.6562825861349001E-5</v>
      </c>
      <c r="FS63" s="5">
        <v>1.05481800646538E-4</v>
      </c>
      <c r="FT63" s="5">
        <v>4.8014337974947401E-6</v>
      </c>
      <c r="FU63" s="5">
        <v>7.4017465611340603E-4</v>
      </c>
      <c r="FV63" s="5">
        <v>4.0080446800658999E-6</v>
      </c>
      <c r="FW63" s="5">
        <v>5.9694382962458905E-10</v>
      </c>
      <c r="FX63" s="5">
        <v>7.6368184245189307E-6</v>
      </c>
      <c r="FY63" s="5">
        <v>2.4426824831537602E-6</v>
      </c>
      <c r="FZ63" s="5">
        <v>5.2847022916608699E-5</v>
      </c>
      <c r="GA63" s="5">
        <v>4.6352819986116702E-7</v>
      </c>
      <c r="GB63" s="5">
        <v>8.6879119527381905E-6</v>
      </c>
      <c r="GC63" s="5">
        <v>7.4073487902076099E-6</v>
      </c>
      <c r="GD63" s="5">
        <v>3.8993679597897398E-7</v>
      </c>
      <c r="GE63" s="5">
        <v>4.7861702896255602E-4</v>
      </c>
      <c r="GF63" s="5">
        <v>8.5562879540335507E-5</v>
      </c>
      <c r="GG63" s="5">
        <v>2.6888212138326098E-6</v>
      </c>
      <c r="GH63" s="5">
        <v>1.3366018388828001E-5</v>
      </c>
      <c r="GI63" s="5">
        <v>7.4073487902076099E-6</v>
      </c>
      <c r="GJ63" s="5">
        <v>3.8993679597897398E-7</v>
      </c>
      <c r="GK63" s="5">
        <v>5.4317431998246598E-4</v>
      </c>
      <c r="GL63" s="5">
        <v>2.09372784270323E-6</v>
      </c>
      <c r="GM63" s="5">
        <v>4.5405812080355501E-4</v>
      </c>
      <c r="GN63" s="5">
        <v>1.7285032033937899E-4</v>
      </c>
      <c r="GO63" s="5">
        <v>8.4860784467724406E-6</v>
      </c>
      <c r="GP63" s="5">
        <v>7.0287829557045804E-5</v>
      </c>
      <c r="GQ63" s="5">
        <v>2.0511095401311001E-5</v>
      </c>
      <c r="GR63" s="5">
        <v>1.1835534793267001E-6</v>
      </c>
      <c r="GS63" s="5">
        <v>3.8128928307011498E-3</v>
      </c>
      <c r="GT63" s="5">
        <v>1.2039771241182701E-3</v>
      </c>
      <c r="GU63" s="5">
        <v>1.39597321947071E-5</v>
      </c>
      <c r="GV63" s="5">
        <v>6.3013216630297796E-6</v>
      </c>
      <c r="GW63" s="5">
        <v>3.3952551617823402E-6</v>
      </c>
      <c r="GX63" s="5">
        <v>3.0556926119015701E-5</v>
      </c>
      <c r="GY63" s="5">
        <v>1.4323604493200801E-5</v>
      </c>
      <c r="GZ63" s="5">
        <v>2.2181521782254401E-6</v>
      </c>
      <c r="HA63" s="5">
        <v>2.6125099505773202E-7</v>
      </c>
      <c r="HB63" s="5">
        <v>4.3280190487597103E-5</v>
      </c>
      <c r="HC63" s="5">
        <v>9.4030510946214096E-4</v>
      </c>
      <c r="HD63" s="5">
        <v>9.8596366427865507E-6</v>
      </c>
      <c r="HE63" s="5">
        <v>8.6764612232763402E-8</v>
      </c>
      <c r="HF63" s="5">
        <v>1.84781917602487E-6</v>
      </c>
      <c r="HG63" s="5">
        <v>8.1799829880365098E-6</v>
      </c>
      <c r="HH63" s="5">
        <v>1.29350601865394E-3</v>
      </c>
      <c r="HI63" s="5">
        <v>2.5033560171599801E-4</v>
      </c>
      <c r="HJ63" s="5">
        <v>8.4860784467724406E-6</v>
      </c>
      <c r="HK63" s="5">
        <v>5.1221521837233498E-6</v>
      </c>
      <c r="HL63" s="5">
        <v>1.1090760891127201E-6</v>
      </c>
      <c r="HM63" s="5">
        <v>1.5474084531686699E-5</v>
      </c>
      <c r="HN63" s="5">
        <v>4.8283301782547701E-5</v>
      </c>
      <c r="HO63" s="5">
        <v>4.43832554747512E-7</v>
      </c>
      <c r="HP63" s="5">
        <v>7.7172604303990792E-6</v>
      </c>
      <c r="HQ63" s="5">
        <v>6.5658490576637802E-7</v>
      </c>
      <c r="HR63" s="5">
        <v>5.70620839248292E-5</v>
      </c>
      <c r="HS63" s="5">
        <v>8.6189446655825697E-7</v>
      </c>
      <c r="HT63" s="5">
        <v>7.7172604303990792E-6</v>
      </c>
      <c r="HU63" s="5">
        <v>7.1732624066106496E-7</v>
      </c>
      <c r="HV63" s="5">
        <v>4.87710119015634E-6</v>
      </c>
      <c r="HW63" s="5">
        <v>7.7172604303990792E-6</v>
      </c>
      <c r="HX63" s="5">
        <v>3.9048001003727302E-7</v>
      </c>
      <c r="HY63">
        <v>1.82E-3</v>
      </c>
      <c r="HZ63" s="5">
        <v>2.7200000000000002E-3</v>
      </c>
      <c r="IA63">
        <v>0.64049770223886504</v>
      </c>
      <c r="IB63" s="5">
        <v>7.7115302790850899</v>
      </c>
      <c r="IC63">
        <v>7.3700000000000002E-4</v>
      </c>
      <c r="ID63">
        <f t="shared" si="5"/>
        <v>4.4834839156720552</v>
      </c>
      <c r="IE63">
        <f t="shared" si="6"/>
        <v>53.98071195359563</v>
      </c>
      <c r="IF63">
        <f t="shared" si="7"/>
        <v>5.1590000000000004E-3</v>
      </c>
      <c r="IG63" s="5">
        <v>2.41E-5</v>
      </c>
      <c r="IH63">
        <v>1.45E-4</v>
      </c>
      <c r="II63">
        <v>4.2299999999999998E-4</v>
      </c>
      <c r="IJ63" s="5">
        <v>8.1899999999999999E-5</v>
      </c>
      <c r="IK63" s="5">
        <v>4.49E-5</v>
      </c>
      <c r="IL63">
        <v>-3.3291487899406598E-3</v>
      </c>
      <c r="IM63">
        <v>-2.6976623264084901E-2</v>
      </c>
      <c r="IN63">
        <v>-4.8577016681915101E-2</v>
      </c>
      <c r="IO63">
        <v>-1.07249148526111E-3</v>
      </c>
      <c r="IP63" s="5">
        <v>3.7722439117116301E-5</v>
      </c>
      <c r="IQ63">
        <v>-2.2331603857034699E-4</v>
      </c>
      <c r="IR63" s="5">
        <v>3.6099588655712699E-6</v>
      </c>
      <c r="IS63" s="5">
        <v>2.1765565486572399E-5</v>
      </c>
      <c r="IT63">
        <v>3.0427625701990002E-4</v>
      </c>
      <c r="IU63" s="5">
        <v>2.1133932845067701E-5</v>
      </c>
      <c r="IV63" s="5">
        <v>4.0164889016322998E-5</v>
      </c>
      <c r="IW63">
        <v>1.78776183046837E-4</v>
      </c>
      <c r="IX63">
        <v>1.07684858881117E-3</v>
      </c>
      <c r="IY63">
        <v>1.5341608098732001E-4</v>
      </c>
      <c r="IZ63" s="5">
        <v>2.6056811374114999E-5</v>
      </c>
      <c r="JA63">
        <f t="shared" si="4"/>
        <v>8.5861828319424003</v>
      </c>
    </row>
    <row r="64" spans="1:261" x14ac:dyDescent="0.3">
      <c r="A64" t="s">
        <v>173</v>
      </c>
      <c r="B64">
        <v>3.7210589344579799E-3</v>
      </c>
      <c r="C64" s="5">
        <v>5.8316379365234399E-5</v>
      </c>
      <c r="D64" s="5">
        <v>1.08293141908409E-5</v>
      </c>
      <c r="E64">
        <v>3.6149094731997898E-4</v>
      </c>
      <c r="F64">
        <v>4.66466698746371E-4</v>
      </c>
      <c r="G64">
        <v>5.3954580775326599E-5</v>
      </c>
      <c r="H64">
        <v>1.11807277474144E-3</v>
      </c>
      <c r="I64">
        <v>5.78648393111715E-2</v>
      </c>
      <c r="J64" s="5">
        <v>1.90601920560635E-4</v>
      </c>
      <c r="K64" s="5">
        <v>1.1094080481319399E-5</v>
      </c>
      <c r="L64">
        <v>3.35564511891129E-2</v>
      </c>
      <c r="M64" s="5">
        <v>2.8590288084095301E-4</v>
      </c>
      <c r="N64" s="5">
        <v>4.5012525874994101E-3</v>
      </c>
      <c r="O64">
        <v>4.1938992384357499E-2</v>
      </c>
      <c r="P64" s="5">
        <v>1.90601920560635E-4</v>
      </c>
      <c r="Q64" s="5">
        <v>1.1411054209357101E-5</v>
      </c>
      <c r="R64">
        <v>1.46983934661557E-4</v>
      </c>
      <c r="S64" s="5">
        <v>1.6015008928222201E-3</v>
      </c>
      <c r="T64" s="5">
        <v>5.42495652187768E-5</v>
      </c>
      <c r="U64">
        <v>1.90601920560635E-4</v>
      </c>
      <c r="V64" s="5">
        <v>5.4880221179947801E-3</v>
      </c>
      <c r="W64" s="5">
        <v>2.9017873823487701E-3</v>
      </c>
      <c r="X64">
        <v>1.90601920560635E-4</v>
      </c>
      <c r="Y64" s="5">
        <v>8.7985054495836098E-3</v>
      </c>
      <c r="Z64" s="5">
        <v>6.7832377800067203E-6</v>
      </c>
      <c r="AA64">
        <v>1.90601920560635E-4</v>
      </c>
      <c r="AB64" s="5">
        <v>1.07141583646945E-3</v>
      </c>
      <c r="AC64" s="5">
        <v>8.2135000343671195E-4</v>
      </c>
      <c r="AD64">
        <v>6.4249459105547699E-4</v>
      </c>
      <c r="AE64" s="5">
        <v>2.6016410125760401E-3</v>
      </c>
      <c r="AF64" s="5">
        <v>7.6240768224254203E-8</v>
      </c>
      <c r="AG64">
        <v>1.90601920560635E-4</v>
      </c>
      <c r="AH64">
        <v>0.115729678637727</v>
      </c>
      <c r="AI64" s="5">
        <v>1.1094080481319399E-5</v>
      </c>
      <c r="AJ64">
        <v>1.26305278469257E-2</v>
      </c>
      <c r="AK64">
        <v>6.7010424698476102E-4</v>
      </c>
      <c r="AL64">
        <v>3.5168528010920698E-3</v>
      </c>
      <c r="AM64">
        <v>2.6518384207094699E-4</v>
      </c>
      <c r="AN64" s="5">
        <v>3.2342005594962098E-7</v>
      </c>
      <c r="AO64" s="5">
        <v>1.3510400279204E-5</v>
      </c>
      <c r="AP64">
        <v>5.8940823897170201E-3</v>
      </c>
      <c r="AQ64">
        <v>3.1889956021994502E-4</v>
      </c>
      <c r="AR64">
        <v>6.05282313332289E-4</v>
      </c>
      <c r="AS64">
        <v>3.5527348882351202E-4</v>
      </c>
      <c r="AT64">
        <v>2.07876556487527E-4</v>
      </c>
      <c r="AU64" s="5">
        <v>1.8804177657170999E-5</v>
      </c>
      <c r="AV64" s="5">
        <v>1.5739742730651199E-5</v>
      </c>
      <c r="AW64" s="5">
        <v>-1.10699428108093E-6</v>
      </c>
      <c r="AX64" s="5">
        <v>6.9121447196525705E-5</v>
      </c>
      <c r="AY64" s="5">
        <v>4.6199999999999998E-5</v>
      </c>
      <c r="AZ64" s="5">
        <v>1.2E-5</v>
      </c>
      <c r="BA64" s="5">
        <v>2.0999999999999998E-6</v>
      </c>
      <c r="BB64">
        <v>2.6200000000000003E-4</v>
      </c>
      <c r="BC64" s="5">
        <v>2.27E-5</v>
      </c>
      <c r="BD64" s="5">
        <v>4.4499999999999997E-5</v>
      </c>
      <c r="BE64" s="5">
        <v>7.6733783169035603E-5</v>
      </c>
      <c r="BF64" s="5">
        <v>1.70309623513629E-5</v>
      </c>
      <c r="BG64" s="5">
        <v>8.2679533767143899E-7</v>
      </c>
      <c r="BH64" s="5">
        <v>1.2749075888371E-3</v>
      </c>
      <c r="BI64" s="5">
        <v>4.1147101119627799E-5</v>
      </c>
      <c r="BJ64" s="5">
        <v>1.0899815904872301E-4</v>
      </c>
      <c r="BK64">
        <v>1.8012302087768299E-4</v>
      </c>
      <c r="BL64" s="5">
        <v>8.5012886588665105E-5</v>
      </c>
      <c r="BM64" s="5">
        <v>6.5620789220139801E-5</v>
      </c>
      <c r="BN64" s="5">
        <v>1.53496336566457E-4</v>
      </c>
      <c r="BO64" s="5">
        <v>2.2707949815024399E-5</v>
      </c>
      <c r="BP64" s="5">
        <v>1.06892677963477E-4</v>
      </c>
      <c r="BQ64" s="5">
        <v>1.52999755785591E-5</v>
      </c>
      <c r="BR64" s="5">
        <v>1.35101624864994E-5</v>
      </c>
      <c r="BS64" s="5">
        <v>5.7900696370711598E-6</v>
      </c>
      <c r="BT64" s="5">
        <v>1.1049199103254899E-3</v>
      </c>
      <c r="BU64" s="5">
        <v>9.8779581637904802E-5</v>
      </c>
      <c r="BV64" s="5">
        <v>2.3327407621863801E-4</v>
      </c>
      <c r="BW64" s="5">
        <v>6.4438894358722506E-5</v>
      </c>
      <c r="BX64" s="5">
        <v>4.8250580308926299E-5</v>
      </c>
      <c r="BY64" s="5">
        <v>1.08335430932028E-3</v>
      </c>
      <c r="BZ64" s="5">
        <v>1.0899815904872301E-4</v>
      </c>
      <c r="CA64" s="5">
        <v>4.3406695195113699E-4</v>
      </c>
      <c r="CB64" s="5">
        <v>7.6776896949231805E-5</v>
      </c>
      <c r="CC64" s="5">
        <v>9.6501160617852595E-6</v>
      </c>
      <c r="CD64" s="5">
        <v>1.5440185698856399E-5</v>
      </c>
      <c r="CE64" s="5">
        <v>1.38400415862814E-3</v>
      </c>
      <c r="CF64" s="5">
        <v>1.0899815904872301E-4</v>
      </c>
      <c r="CG64" s="5">
        <v>4.22255606319813E-4</v>
      </c>
      <c r="CH64" s="5">
        <v>8.4192483998449903E-5</v>
      </c>
      <c r="CI64" s="5">
        <v>1.1580139274142299E-5</v>
      </c>
      <c r="CJ64" s="5">
        <v>4.2460510671855202E-5</v>
      </c>
      <c r="CK64" s="5">
        <v>1.1008474301573599E-5</v>
      </c>
      <c r="CL64" s="5">
        <v>2.9491021836548602E-4</v>
      </c>
      <c r="CM64" s="5">
        <v>4.13737277467641E-4</v>
      </c>
      <c r="CN64" s="5">
        <v>7.6050543556834598E-6</v>
      </c>
      <c r="CO64" s="5">
        <v>1.43494479996871E-4</v>
      </c>
      <c r="CP64" s="5">
        <v>5.6679815443656003E-6</v>
      </c>
      <c r="CQ64" s="5">
        <v>2.02970362401927E-5</v>
      </c>
      <c r="CR64" s="5">
        <v>1.2911293081050801E-3</v>
      </c>
      <c r="CS64" s="5">
        <v>1.2157200993345999E-5</v>
      </c>
      <c r="CT64" s="5">
        <v>-9.8150841120463592E-7</v>
      </c>
      <c r="CU64" s="5">
        <v>2.6129185159190901E-5</v>
      </c>
      <c r="CV64" s="5">
        <v>1.5481324771217099E-4</v>
      </c>
      <c r="CW64" s="5">
        <v>7.0051954688055496E-3</v>
      </c>
      <c r="CX64" s="5">
        <v>-2.2381961841740501E-4</v>
      </c>
      <c r="CY64" s="5">
        <v>1.06783987234714E-3</v>
      </c>
      <c r="CZ64" s="5">
        <v>1.5461072814455901E-4</v>
      </c>
      <c r="DA64" s="5">
        <v>7.0009412096546601E-3</v>
      </c>
      <c r="DB64" s="5">
        <v>4.9860832769675999E-5</v>
      </c>
      <c r="DC64" s="5">
        <v>3.2531227346905898E-7</v>
      </c>
      <c r="DD64" s="5">
        <v>5.2233414067911001E-6</v>
      </c>
      <c r="DE64" s="5">
        <v>-2.36510320004753E-10</v>
      </c>
      <c r="DF64" s="5">
        <v>1.6939246797928299E-4</v>
      </c>
      <c r="DG64" s="5">
        <v>1.5440185698856399E-5</v>
      </c>
      <c r="DH64" s="5">
        <v>2.8521956144986201E-5</v>
      </c>
      <c r="DI64" s="5">
        <v>3.3154553439403503E-2</v>
      </c>
      <c r="DJ64" s="5">
        <v>2.9022341340512197E-4</v>
      </c>
      <c r="DK64" s="5">
        <v>4.1548027320575899E-4</v>
      </c>
      <c r="DL64" s="5">
        <v>2.0646890146621599E-5</v>
      </c>
      <c r="DM64" s="5">
        <v>8.1048006622306599E-5</v>
      </c>
      <c r="DN64" s="5">
        <v>-5.1649971682446201E-6</v>
      </c>
      <c r="DO64" s="5">
        <v>6.80201161924272E-6</v>
      </c>
      <c r="DP64">
        <v>2.8091531259533299E-4</v>
      </c>
      <c r="DQ64" s="5">
        <v>2.1554642721000699E-5</v>
      </c>
      <c r="DR64" s="5">
        <v>4.3593685510524599E-4</v>
      </c>
      <c r="DS64" s="5">
        <v>1.2549403550950701E-2</v>
      </c>
      <c r="DT64" s="5">
        <v>3.7786543629104001E-6</v>
      </c>
      <c r="DU64" s="5">
        <v>4.1385957792107703E-6</v>
      </c>
      <c r="DV64" s="5">
        <v>1.5391239986368901E-3</v>
      </c>
      <c r="DW64" s="5">
        <v>2.1072481721799699E-5</v>
      </c>
      <c r="DX64" s="5">
        <v>-5.1649971682446201E-6</v>
      </c>
      <c r="DY64">
        <v>1.37291878560761E-4</v>
      </c>
      <c r="DZ64" s="5">
        <v>7.7653442245413098E-4</v>
      </c>
      <c r="EA64" s="5">
        <v>1.09602600205241E-6</v>
      </c>
      <c r="EB64" s="5">
        <v>3.2468639354503302E-2</v>
      </c>
      <c r="EC64" s="5">
        <v>1.31192953771039E-2</v>
      </c>
      <c r="ED64" s="5">
        <v>8.8154330496438202E-4</v>
      </c>
      <c r="EE64" s="5">
        <v>9.24497932731206E-4</v>
      </c>
      <c r="EF64" s="5">
        <v>3.93790354763642E-5</v>
      </c>
      <c r="EG64" s="5">
        <v>1.70165472434047E-4</v>
      </c>
      <c r="EH64" s="5">
        <v>3.6745983665389102E-4</v>
      </c>
      <c r="EI64" s="5">
        <v>3.2880715718990199E-2</v>
      </c>
      <c r="EJ64" s="5">
        <v>1.15801392741423E-4</v>
      </c>
      <c r="EK64">
        <v>7.5870275017795002E-4</v>
      </c>
      <c r="EL64" s="5">
        <v>9.0515810154293196E-6</v>
      </c>
      <c r="EM64" s="5">
        <v>7.1687539925336101E-4</v>
      </c>
      <c r="EN64" s="5">
        <v>8.3398271240908706E-3</v>
      </c>
      <c r="EO64" s="5">
        <v>1.5662311380480201E-5</v>
      </c>
      <c r="EP64" s="5">
        <v>2.3479174239092901E-5</v>
      </c>
      <c r="EQ64" s="5">
        <v>5.3977202454393299E-5</v>
      </c>
      <c r="ER64" s="5">
        <v>-6.2184724251055097E-5</v>
      </c>
      <c r="ES64" s="5">
        <v>5.2732318244329099E-5</v>
      </c>
      <c r="ET64" s="5">
        <v>3.2872719149653701E-2</v>
      </c>
      <c r="EU64" s="5">
        <v>7.7371174786286696E-4</v>
      </c>
      <c r="EV64" s="5">
        <v>5.6693642653103996E-4</v>
      </c>
      <c r="EW64" s="5">
        <v>1.0435188550708E-5</v>
      </c>
      <c r="EX64" s="5">
        <v>5.0488605157597295E-4</v>
      </c>
      <c r="EY64" s="5">
        <v>5.2883824321055099E-4</v>
      </c>
      <c r="EZ64" s="5">
        <v>8.7236521841803896E-7</v>
      </c>
      <c r="FA64" s="5">
        <v>1.1811345631323501E-6</v>
      </c>
      <c r="FB64" s="5">
        <v>4.4364868252751899E-5</v>
      </c>
      <c r="FC64" s="5">
        <v>1.26098468894047E-2</v>
      </c>
      <c r="FD64" s="5">
        <v>3.2044402036897502E-3</v>
      </c>
      <c r="FE64" s="5">
        <v>5.8134969187189897E-5</v>
      </c>
      <c r="FF64" s="5">
        <v>5.8294875278787499E-5</v>
      </c>
      <c r="FG64" s="5">
        <v>1.31629243600197E-5</v>
      </c>
      <c r="FH64" s="5">
        <v>1.21743866424926E-5</v>
      </c>
      <c r="FI64" s="5">
        <v>6.5612945028595602E-5</v>
      </c>
      <c r="FJ64" s="5">
        <v>7.1930105877297094E-5</v>
      </c>
      <c r="FK64" s="5">
        <v>-4.7236145659101302E-7</v>
      </c>
      <c r="FL64" s="5">
        <v>1.1547159631197901E-6</v>
      </c>
      <c r="FM64" s="5">
        <v>3.3932895280052499E-5</v>
      </c>
      <c r="FN64" s="5">
        <v>7.7953708682822805E-4</v>
      </c>
      <c r="FO64" s="5">
        <v>5.10883062554093E-5</v>
      </c>
      <c r="FP64" s="5">
        <v>7.66339885426099E-7</v>
      </c>
      <c r="FQ64" s="5">
        <v>7.1228835345351603E-6</v>
      </c>
      <c r="FR64" s="5">
        <v>4.6289258397664597E-5</v>
      </c>
      <c r="FS64" s="5">
        <v>1.06892677963477E-4</v>
      </c>
      <c r="FT64" s="5">
        <v>7.0746050029558802E-6</v>
      </c>
      <c r="FU64" s="5">
        <v>3.0027583908017398E-3</v>
      </c>
      <c r="FV64" s="5">
        <v>1.35562355631142E-5</v>
      </c>
      <c r="FW64" s="5">
        <v>-2.36510320004753E-10</v>
      </c>
      <c r="FX64" s="5">
        <v>1.12523625465704E-5</v>
      </c>
      <c r="FY64" s="5">
        <v>1.35101624864994E-5</v>
      </c>
      <c r="FZ64" s="5">
        <v>2.0210108282718299E-4</v>
      </c>
      <c r="GA64" s="5">
        <v>1.7671563643053599E-6</v>
      </c>
      <c r="GB64" s="5">
        <v>4.9966827856053297E-5</v>
      </c>
      <c r="GC64" s="5">
        <v>4.9474025835469602E-5</v>
      </c>
      <c r="GD64" s="5">
        <v>-7.3968500219018095E-8</v>
      </c>
      <c r="GE64" s="5">
        <v>7.8384997593828405E-4</v>
      </c>
      <c r="GF64" s="5">
        <v>3.2721039703918103E-4</v>
      </c>
      <c r="GG64" s="5">
        <v>1.01844396759063E-5</v>
      </c>
      <c r="GH64" s="5">
        <v>7.6872042855466604E-5</v>
      </c>
      <c r="GI64" s="5">
        <v>4.9474025835469602E-5</v>
      </c>
      <c r="GJ64" s="5">
        <v>-7.3968500219018095E-8</v>
      </c>
      <c r="GK64" s="5">
        <v>8.8976102079083399E-4</v>
      </c>
      <c r="GL64" s="5">
        <v>1.1580139274142299E-5</v>
      </c>
      <c r="GM64" s="5">
        <v>1.7832842838998799E-3</v>
      </c>
      <c r="GN64" s="5">
        <v>7.6429198998178595E-4</v>
      </c>
      <c r="GO64" s="5">
        <v>2.8702094815375499E-5</v>
      </c>
      <c r="GP64" s="5">
        <v>-1.83606441431465E-5</v>
      </c>
      <c r="GQ64" s="5">
        <v>3.0221784629819E-5</v>
      </c>
      <c r="GR64" s="5">
        <v>4.0030815642085796E-6</v>
      </c>
      <c r="GS64" s="5">
        <v>1.59745176946481E-2</v>
      </c>
      <c r="GT64" s="5">
        <v>4.7308278223504299E-3</v>
      </c>
      <c r="GU64" s="5">
        <v>4.7215396317968699E-5</v>
      </c>
      <c r="GV64" s="5">
        <v>3.7786543629104E-5</v>
      </c>
      <c r="GW64" s="5">
        <v>8.0698791458808199E-6</v>
      </c>
      <c r="GX64" s="5">
        <v>2.5133094197394299E-4</v>
      </c>
      <c r="GY64" s="5">
        <v>8.1048006622306599E-5</v>
      </c>
      <c r="GZ64" s="5">
        <v>-8.84872509596522E-7</v>
      </c>
      <c r="HA64" s="5">
        <v>1.1547159631197901E-6</v>
      </c>
      <c r="HB64" s="5">
        <v>6.3770587092588894E-5</v>
      </c>
      <c r="HC64" s="5">
        <v>3.6929882914704202E-3</v>
      </c>
      <c r="HD64" s="5">
        <v>3.3347821086198203E-5</v>
      </c>
      <c r="HE64" s="5">
        <v>5.1241384115791095E-7</v>
      </c>
      <c r="HF64" s="5">
        <v>-7.3818617932599104E-7</v>
      </c>
      <c r="HG64" s="5">
        <v>1.20526807224651E-5</v>
      </c>
      <c r="HH64" s="5">
        <v>5.0350972684402202E-3</v>
      </c>
      <c r="HI64" s="5">
        <v>9.8484360676178904E-4</v>
      </c>
      <c r="HJ64" s="5">
        <v>2.8702094815375499E-5</v>
      </c>
      <c r="HK64" s="5">
        <v>1.21743866424926E-5</v>
      </c>
      <c r="HL64" s="5">
        <v>-4.42436254798261E-7</v>
      </c>
      <c r="HM64" s="5">
        <v>2.2800071907927301E-5</v>
      </c>
      <c r="HN64" s="5">
        <v>1.89629585506002E-4</v>
      </c>
      <c r="HO64" s="5">
        <v>1.50115558657822E-6</v>
      </c>
      <c r="HP64" s="5">
        <v>1.70309623513629E-5</v>
      </c>
      <c r="HQ64" s="5">
        <v>9.6743578170833398E-7</v>
      </c>
      <c r="HR64" s="5">
        <v>2.24107691961639E-4</v>
      </c>
      <c r="HS64" s="5">
        <v>2.90473527448684E-6</v>
      </c>
      <c r="HT64" s="5">
        <v>1.70309623513629E-5</v>
      </c>
      <c r="HU64" s="5">
        <v>1.0569342460954499E-6</v>
      </c>
      <c r="HV64" s="5">
        <v>1.9154503586464799E-5</v>
      </c>
      <c r="HW64" s="5">
        <v>1.70309623513629E-5</v>
      </c>
      <c r="HX64" s="5">
        <v>5.75347271060022E-7</v>
      </c>
      <c r="HY64">
        <v>1.9400000000000001E-3</v>
      </c>
      <c r="HZ64">
        <v>4.0099999999999997E-3</v>
      </c>
      <c r="IA64">
        <v>13.702124053918901</v>
      </c>
      <c r="IB64">
        <v>0</v>
      </c>
      <c r="IC64">
        <v>3.48E-3</v>
      </c>
      <c r="ID64">
        <f t="shared" si="5"/>
        <v>95.914868377432299</v>
      </c>
      <c r="IE64">
        <f t="shared" si="6"/>
        <v>0</v>
      </c>
      <c r="IF64">
        <f t="shared" si="7"/>
        <v>2.436E-2</v>
      </c>
      <c r="IG64" s="5">
        <v>3.5599999999999998E-5</v>
      </c>
      <c r="IH64">
        <v>2.1499999999999999E-4</v>
      </c>
      <c r="II64">
        <v>4.9899999999999999E-4</v>
      </c>
      <c r="IJ64">
        <v>3.4299999999999999E-4</v>
      </c>
      <c r="IK64" s="5">
        <v>3.7499999999999997E-5</v>
      </c>
      <c r="IL64">
        <v>-7.8501168292902605E-3</v>
      </c>
      <c r="IM64">
        <v>-0.104252253476809</v>
      </c>
      <c r="IN64">
        <v>-9.3918820014787796E-2</v>
      </c>
      <c r="IO64">
        <v>-6.0908779633005597E-3</v>
      </c>
      <c r="IP64">
        <v>-3.01935722069938E-4</v>
      </c>
      <c r="IQ64">
        <v>-2.56503059681244E-3</v>
      </c>
      <c r="IR64" s="5">
        <v>5.3387722355786597E-6</v>
      </c>
      <c r="IS64" s="5">
        <v>3.2199178320118797E-5</v>
      </c>
      <c r="IT64">
        <v>3.5873705071109697E-4</v>
      </c>
      <c r="IU64" s="5">
        <v>8.8561264033138894E-5</v>
      </c>
      <c r="IV64" s="5">
        <v>3.3592242904988698E-5</v>
      </c>
      <c r="IW64">
        <v>8.1807012749732905E-4</v>
      </c>
      <c r="IX64">
        <v>4.9276007985542504E-3</v>
      </c>
      <c r="IY64">
        <v>7.1894026176879495E-4</v>
      </c>
      <c r="IZ64">
        <v>2.62635356964247E-4</v>
      </c>
      <c r="JA64">
        <f t="shared" si="4"/>
        <v>14.279284692847682</v>
      </c>
    </row>
    <row r="65" spans="1:261" x14ac:dyDescent="0.3">
      <c r="A65" t="s">
        <v>174</v>
      </c>
      <c r="B65">
        <v>2.9850512866280401E-2</v>
      </c>
      <c r="C65" s="5">
        <v>2.09641747473179E-7</v>
      </c>
      <c r="D65" s="5">
        <v>7.3922310219904898E-8</v>
      </c>
      <c r="E65">
        <v>1.1410518224539499E-5</v>
      </c>
      <c r="F65">
        <v>1.9560313796144301E-6</v>
      </c>
      <c r="G65">
        <v>2.9665022183254001E-7</v>
      </c>
      <c r="H65">
        <v>2.7893078557520199E-6</v>
      </c>
      <c r="I65" s="5">
        <v>3.0770809691421599</v>
      </c>
      <c r="J65" s="5">
        <v>9.92718016707429E-6</v>
      </c>
      <c r="K65" s="5">
        <v>7.5729639429826794E-8</v>
      </c>
      <c r="L65" s="5">
        <v>0.42302355128642699</v>
      </c>
      <c r="M65" s="5">
        <v>1.48907702506114E-5</v>
      </c>
      <c r="N65" s="5">
        <v>1.12294829877596E-5</v>
      </c>
      <c r="O65" s="5">
        <v>9.9349204250042497E-2</v>
      </c>
      <c r="P65" s="5">
        <v>9.92718016707429E-6</v>
      </c>
      <c r="Q65" s="5">
        <v>7.7893343413536197E-8</v>
      </c>
      <c r="R65" s="5">
        <v>1.0797264910667901E-5</v>
      </c>
      <c r="S65" s="5">
        <v>6.6086415416599898E-6</v>
      </c>
      <c r="T65" s="5">
        <v>3.7031460337434299E-7</v>
      </c>
      <c r="U65" s="5">
        <v>9.92718016707429E-6</v>
      </c>
      <c r="V65" s="5">
        <v>8.95120222412331E-2</v>
      </c>
      <c r="W65" s="5">
        <v>7.2392231741616898E-6</v>
      </c>
      <c r="X65" s="5">
        <v>9.92718016707429E-6</v>
      </c>
      <c r="Y65" s="5">
        <v>0.47861098111254602</v>
      </c>
      <c r="Z65" s="5">
        <v>4.6303265251379801E-8</v>
      </c>
      <c r="AA65" s="5">
        <v>9.92718016707429E-6</v>
      </c>
      <c r="AB65" s="5">
        <v>2.4012891876024699E-2</v>
      </c>
      <c r="AC65" s="5">
        <v>2.0490598364116E-6</v>
      </c>
      <c r="AD65" s="5">
        <v>2.0244531525853701E-5</v>
      </c>
      <c r="AE65" s="5">
        <v>7.0518206421430694E-5</v>
      </c>
      <c r="AF65" s="5">
        <v>3.9708720668297202E-9</v>
      </c>
      <c r="AG65" s="5">
        <v>9.92718016707429E-6</v>
      </c>
      <c r="AH65">
        <v>6.15416193828431</v>
      </c>
      <c r="AI65" s="5">
        <v>7.5729639429826794E-8</v>
      </c>
      <c r="AJ65" s="5">
        <v>8.9818773871685795E-5</v>
      </c>
      <c r="AK65" s="5">
        <v>4.7652752568872602E-6</v>
      </c>
      <c r="AL65" s="5">
        <v>6.1636713047660499E-6</v>
      </c>
      <c r="AM65" s="5">
        <v>4.6476384719677498E-7</v>
      </c>
      <c r="AN65" s="5">
        <v>1.6896414188859501E-7</v>
      </c>
      <c r="AO65" s="5">
        <v>4.2570276573057002E-7</v>
      </c>
      <c r="AP65">
        <v>7.0656498923800503E-3</v>
      </c>
      <c r="AQ65">
        <v>4.7440217455490099E-4</v>
      </c>
      <c r="AR65" s="5">
        <v>7.7981178595884607E-5</v>
      </c>
      <c r="AS65" s="5">
        <v>1.11944060618039E-5</v>
      </c>
      <c r="AT65">
        <v>3.10991987152132E-4</v>
      </c>
      <c r="AU65" s="5">
        <v>-2.19889424332995E-8</v>
      </c>
      <c r="AV65" s="5">
        <v>2.1344291808107301E-5</v>
      </c>
      <c r="AW65" s="5">
        <v>6.7187902748050299E-8</v>
      </c>
      <c r="AX65" s="5">
        <v>4.7183200823852002E-7</v>
      </c>
      <c r="AY65" s="5">
        <v>5.9200000000000001E-6</v>
      </c>
      <c r="AZ65" s="5">
        <v>3.7800000000000002E-7</v>
      </c>
      <c r="BA65" s="5">
        <v>6.8399999999999996E-5</v>
      </c>
      <c r="BB65" s="5">
        <v>4.8400000000000002E-6</v>
      </c>
      <c r="BC65" s="5">
        <v>2.1799999999999999E-6</v>
      </c>
      <c r="BD65" s="5">
        <v>3.0400000000000002E-7</v>
      </c>
      <c r="BE65" s="5">
        <v>1.67270645135122E-6</v>
      </c>
      <c r="BF65" s="5">
        <v>1.63582489385836E-6</v>
      </c>
      <c r="BG65" s="5">
        <v>5.6438127440620002E-9</v>
      </c>
      <c r="BH65" s="5">
        <v>3.5389643819306102E-4</v>
      </c>
      <c r="BI65" s="5">
        <v>8.9695853188398695E-7</v>
      </c>
      <c r="BJ65" s="5">
        <v>1.04692793206935E-5</v>
      </c>
      <c r="BK65" s="5">
        <v>4.1170506682847799E-5</v>
      </c>
      <c r="BL65" s="5">
        <v>5.8030904490812802E-7</v>
      </c>
      <c r="BM65" s="5">
        <v>6.1710442066969501E-6</v>
      </c>
      <c r="BN65" s="5">
        <v>4.26084268869257E-5</v>
      </c>
      <c r="BO65" s="5">
        <v>2.18109986970802E-6</v>
      </c>
      <c r="BP65" s="5">
        <v>2.44323334740835E-5</v>
      </c>
      <c r="BQ65" s="5">
        <v>1.04439627583415E-7</v>
      </c>
      <c r="BR65" s="5">
        <v>1.27050910137878E-6</v>
      </c>
      <c r="BS65" s="5">
        <v>5.4450390059090797E-7</v>
      </c>
      <c r="BT65" s="5">
        <v>3.0671024643398598E-4</v>
      </c>
      <c r="BU65" s="5">
        <v>9.48778438437849E-6</v>
      </c>
      <c r="BV65" s="5">
        <v>5.3319180785983198E-5</v>
      </c>
      <c r="BW65" s="5">
        <v>4.3986829221761598E-7</v>
      </c>
      <c r="BX65" s="5">
        <v>4.5375325049242302E-6</v>
      </c>
      <c r="BY65" s="5">
        <v>3.0072393852425302E-4</v>
      </c>
      <c r="BZ65" s="5">
        <v>1.04692793206935E-5</v>
      </c>
      <c r="CA65" s="5">
        <v>9.9214171842272605E-5</v>
      </c>
      <c r="CB65" s="5">
        <v>5.2408910610452002E-7</v>
      </c>
      <c r="CC65" s="5">
        <v>9.0750650098484602E-7</v>
      </c>
      <c r="CD65" s="5">
        <v>1.4520104015757501E-6</v>
      </c>
      <c r="CE65" s="5">
        <v>3.84180113501124E-4</v>
      </c>
      <c r="CF65" s="5">
        <v>1.04692793206935E-5</v>
      </c>
      <c r="CG65" s="5">
        <v>9.6514466486020294E-5</v>
      </c>
      <c r="CH65" s="5">
        <v>5.7470886989146805E-7</v>
      </c>
      <c r="CI65" s="5">
        <v>1.08900780118182E-6</v>
      </c>
      <c r="CJ65" s="5">
        <v>3.9930286043333199E-6</v>
      </c>
      <c r="CK65" s="5">
        <v>3.4686892022490899E-7</v>
      </c>
      <c r="CL65" s="5">
        <v>3.1961166014980101E-4</v>
      </c>
      <c r="CM65" s="5">
        <v>5.3303590432630001E-5</v>
      </c>
      <c r="CN65" s="5">
        <v>2.3962966350664802E-7</v>
      </c>
      <c r="CO65" s="5">
        <v>5.92134282132735E-7</v>
      </c>
      <c r="CP65" s="5">
        <v>-6.4857157361377803E-9</v>
      </c>
      <c r="CQ65" s="5">
        <v>5.6341721503372904E-6</v>
      </c>
      <c r="CR65" s="5">
        <v>2.8145104203170499E-5</v>
      </c>
      <c r="CS65" s="5">
        <v>3.2952432907210599E-7</v>
      </c>
      <c r="CT65" s="5">
        <v>5.9685901137597294E-8</v>
      </c>
      <c r="CU65" s="5">
        <v>1.7836122372039801E-7</v>
      </c>
      <c r="CV65" s="5">
        <v>3.3340190606405702E-5</v>
      </c>
      <c r="CW65" s="5">
        <v>1.20520274227921E-4</v>
      </c>
      <c r="CX65" s="5">
        <v>2.5576391059887598E-4</v>
      </c>
      <c r="CY65" s="5">
        <v>1.05235087634556E-5</v>
      </c>
      <c r="CZ65" s="5">
        <v>1.0553929831395899E-6</v>
      </c>
      <c r="DA65" s="5">
        <v>8.9743217135974604E-4</v>
      </c>
      <c r="DB65" s="5">
        <v>1.57107813040541E-6</v>
      </c>
      <c r="DC65" s="5">
        <v>-3.8040870409608102E-10</v>
      </c>
      <c r="DD65" s="5">
        <v>1.4158012798583101E-7</v>
      </c>
      <c r="DE65" s="5">
        <v>1.45357635513915E-11</v>
      </c>
      <c r="DF65" s="5">
        <v>1.15629506598585E-6</v>
      </c>
      <c r="DG65" s="5">
        <v>1.4520104015757501E-6</v>
      </c>
      <c r="DH65" s="5">
        <v>8.9870583876453699E-7</v>
      </c>
      <c r="DI65" s="5">
        <v>3.72640947808828E-2</v>
      </c>
      <c r="DJ65" s="5">
        <v>9.1447260786566892E-6</v>
      </c>
      <c r="DK65" s="5">
        <v>-2.35867054223172E-5</v>
      </c>
      <c r="DL65" s="5">
        <v>2.7998758033143199E-5</v>
      </c>
      <c r="DM65" s="5">
        <v>2.1968288604807102E-6</v>
      </c>
      <c r="DN65" s="5">
        <v>3.1361556285380198E-7</v>
      </c>
      <c r="DO65" s="5">
        <v>1.22175024721284E-7</v>
      </c>
      <c r="DP65" s="5">
        <v>1.9175645398447302E-6</v>
      </c>
      <c r="DQ65" s="5">
        <v>6.7917092247728197E-7</v>
      </c>
      <c r="DR65" s="5">
        <v>9.5029120134735901E-6</v>
      </c>
      <c r="DS65" s="5">
        <v>1.82334875062636E-2</v>
      </c>
      <c r="DT65" s="5">
        <v>-4.3238104907585102E-9</v>
      </c>
      <c r="DU65" s="5">
        <v>5.6122515786267696E-6</v>
      </c>
      <c r="DV65" s="5">
        <v>3.3551097516957797E-5</v>
      </c>
      <c r="DW65" s="5">
        <v>5.7117550372498397E-7</v>
      </c>
      <c r="DX65" s="5">
        <v>3.1361556285380198E-7</v>
      </c>
      <c r="DY65" s="5">
        <v>9.3717225844511503E-7</v>
      </c>
      <c r="DZ65" s="5">
        <v>1.4361257209754099E-4</v>
      </c>
      <c r="EA65" s="5">
        <v>2.02699466616148E-7</v>
      </c>
      <c r="EB65" s="5">
        <v>3.8239917341226497E-2</v>
      </c>
      <c r="EC65" s="5">
        <v>1.6123881891220899E-2</v>
      </c>
      <c r="ED65" s="5">
        <v>1.13145597890848E-4</v>
      </c>
      <c r="EE65" s="5">
        <v>1.70977000090721E-4</v>
      </c>
      <c r="EF65" s="5">
        <v>5.3072995977407599E-5</v>
      </c>
      <c r="EG65" s="5">
        <v>4.6220260998628901E-6</v>
      </c>
      <c r="EH65" s="5">
        <v>2.6993162276669801E-5</v>
      </c>
      <c r="EI65" s="5">
        <v>8.2029042053132403E-5</v>
      </c>
      <c r="EJ65" s="5">
        <v>1.0890078011818099E-5</v>
      </c>
      <c r="EK65">
        <v>1.0225397224980499E-3</v>
      </c>
      <c r="EL65" s="5">
        <v>1.9493256604551701E-6</v>
      </c>
      <c r="EM65" s="5">
        <v>2.25882160291067E-5</v>
      </c>
      <c r="EN65" s="5">
        <v>1.0220320732116799E-2</v>
      </c>
      <c r="EO65" s="5">
        <v>2.15377099514927E-3</v>
      </c>
      <c r="EP65" s="5">
        <v>3.1839551315961197E-5</v>
      </c>
      <c r="EQ65" s="5">
        <v>1.46306715120598E-6</v>
      </c>
      <c r="ER65" s="5">
        <v>5.1412073517199898E-5</v>
      </c>
      <c r="ES65" s="5">
        <v>3.5995767776032901E-7</v>
      </c>
      <c r="ET65" s="5">
        <v>4.2004012334918198E-2</v>
      </c>
      <c r="EU65" s="5">
        <v>3.9469036316895899E-4</v>
      </c>
      <c r="EV65" s="5">
        <v>1.78637493915828E-5</v>
      </c>
      <c r="EW65" s="5">
        <v>1.4150911695982801E-5</v>
      </c>
      <c r="EX65" s="5">
        <v>1.10059236074414E-5</v>
      </c>
      <c r="EY65" s="5">
        <v>1.43343083146366E-5</v>
      </c>
      <c r="EZ65" s="5">
        <v>3.6129084509040397E-8</v>
      </c>
      <c r="FA65" s="5">
        <v>2.6997053562523198E-7</v>
      </c>
      <c r="FB65" s="5">
        <v>3.0284037345771099E-7</v>
      </c>
      <c r="FC65" s="5">
        <v>1.38962640436626E-2</v>
      </c>
      <c r="FD65" s="5">
        <v>4.3491792024340798E-3</v>
      </c>
      <c r="FE65" s="5">
        <v>8.6972335390002995E-5</v>
      </c>
      <c r="FF65" s="5">
        <v>1.8368286002819001E-6</v>
      </c>
      <c r="FG65" s="5">
        <v>-1.5392259703309601E-8</v>
      </c>
      <c r="FH65" s="5">
        <v>1.6509396978646601E-5</v>
      </c>
      <c r="FI65" s="5">
        <v>1.43028522651771E-6</v>
      </c>
      <c r="FJ65" s="5">
        <v>1.9496856136766302E-6</v>
      </c>
      <c r="FK65" s="5">
        <v>2.8660758607050299E-8</v>
      </c>
      <c r="FL65" s="5">
        <v>1.1412282268791701E-6</v>
      </c>
      <c r="FM65" s="5">
        <v>2.3163036618451101E-7</v>
      </c>
      <c r="FN65" s="5">
        <v>1.1662199518205E-3</v>
      </c>
      <c r="FO65" s="5">
        <v>7.6430234130608698E-5</v>
      </c>
      <c r="FP65" s="5">
        <v>1.03396895245094E-6</v>
      </c>
      <c r="FQ65" s="5">
        <v>1.92351986784889E-7</v>
      </c>
      <c r="FR65" s="5">
        <v>8.5303627558868098E-6</v>
      </c>
      <c r="FS65" s="5">
        <v>2.44323334740835E-5</v>
      </c>
      <c r="FT65" s="5">
        <v>4.8292175893660099E-8</v>
      </c>
      <c r="FU65" s="5">
        <v>2.5853827953816399E-4</v>
      </c>
      <c r="FV65" s="5">
        <v>4.2714700178023401E-7</v>
      </c>
      <c r="FW65" s="5">
        <v>1.45357635513915E-11</v>
      </c>
      <c r="FX65" s="5">
        <v>7.6810093438597793E-8</v>
      </c>
      <c r="FY65" s="5">
        <v>1.27050910137878E-6</v>
      </c>
      <c r="FZ65" s="5">
        <v>2.5939503401664399E-5</v>
      </c>
      <c r="GA65" s="5">
        <v>2.6356825841257399E-6</v>
      </c>
      <c r="GB65" s="5">
        <v>2.06189616099792E-7</v>
      </c>
      <c r="GC65" s="5">
        <v>1.3733294616447101E-5</v>
      </c>
      <c r="GD65" s="5">
        <v>1.58973312351402E-8</v>
      </c>
      <c r="GE65" s="5">
        <v>2.0073191187275398E-6</v>
      </c>
      <c r="GF65" s="5">
        <v>4.1997274326297401E-5</v>
      </c>
      <c r="GG65" s="5">
        <v>1.82013628185793E-6</v>
      </c>
      <c r="GH65" s="5">
        <v>3.1721479399967902E-7</v>
      </c>
      <c r="GI65" s="5">
        <v>1.3733294616447101E-5</v>
      </c>
      <c r="GJ65" s="5">
        <v>1.58973312351402E-8</v>
      </c>
      <c r="GK65" s="5">
        <v>2.2715403001139198E-6</v>
      </c>
      <c r="GL65" s="5">
        <v>1.08900780118182E-6</v>
      </c>
      <c r="GM65" s="5">
        <v>2.29748345799901E-4</v>
      </c>
      <c r="GN65" s="5">
        <v>8.5901251172318095E-5</v>
      </c>
      <c r="GO65" s="5">
        <v>9.0438187564094504E-7</v>
      </c>
      <c r="GP65" s="5">
        <v>2.5730663265623701E-5</v>
      </c>
      <c r="GQ65" s="5">
        <v>2.06297841159152E-7</v>
      </c>
      <c r="GR65" s="5">
        <v>1.26134152809058E-7</v>
      </c>
      <c r="GS65" s="5">
        <v>1.43363615538349E-2</v>
      </c>
      <c r="GT65" s="5">
        <v>6.0643232526261205E-4</v>
      </c>
      <c r="GU65" s="5">
        <v>1.4877223755215501E-6</v>
      </c>
      <c r="GV65" s="5">
        <v>-4.3238104907585202E-8</v>
      </c>
      <c r="GW65" s="5">
        <v>1.094337171156E-5</v>
      </c>
      <c r="GX65" s="5">
        <v>5.4787196812373296E-6</v>
      </c>
      <c r="GY65" s="5">
        <v>2.1968288604807102E-6</v>
      </c>
      <c r="GZ65" s="5">
        <v>5.37922537722182E-8</v>
      </c>
      <c r="HA65" s="5">
        <v>1.1412282268791701E-6</v>
      </c>
      <c r="HB65" s="5">
        <v>4.3530633970809001E-7</v>
      </c>
      <c r="HC65" s="5">
        <v>4.7578389978754902E-4</v>
      </c>
      <c r="HD65" s="5">
        <v>1.05076529000659E-6</v>
      </c>
      <c r="HE65" s="5">
        <v>-5.9919868130741197E-10</v>
      </c>
      <c r="HF65" s="5">
        <v>4.47531498692985E-8</v>
      </c>
      <c r="HG65" s="5">
        <v>8.2273169625190296E-8</v>
      </c>
      <c r="HH65" s="5">
        <v>4.8389001283111301E-3</v>
      </c>
      <c r="HI65" s="5">
        <v>-5.5600685339126801E-5</v>
      </c>
      <c r="HJ65" s="5">
        <v>9.0438187564094504E-7</v>
      </c>
      <c r="HK65" s="5">
        <v>1.6509396978646601E-5</v>
      </c>
      <c r="HL65" s="5">
        <v>2.68961268861091E-8</v>
      </c>
      <c r="HM65" s="5">
        <v>1.5563626273207901E-7</v>
      </c>
      <c r="HN65" s="5">
        <v>2.44308122816221E-5</v>
      </c>
      <c r="HO65" s="5">
        <v>4.7300307303396702E-8</v>
      </c>
      <c r="HP65" s="5">
        <v>1.63582489385836E-6</v>
      </c>
      <c r="HQ65" s="5">
        <v>6.6038427469179096E-9</v>
      </c>
      <c r="HR65" s="5">
        <v>2.8872778151007901E-5</v>
      </c>
      <c r="HS65" s="5">
        <v>5.5723621813722501E-8</v>
      </c>
      <c r="HT65" s="5">
        <v>1.63582489385836E-6</v>
      </c>
      <c r="HU65" s="5">
        <v>7.2147709305534902E-9</v>
      </c>
      <c r="HV65" s="5">
        <v>2.4677588163254601E-6</v>
      </c>
      <c r="HW65" s="5">
        <v>1.63582489385836E-6</v>
      </c>
      <c r="HX65" s="5">
        <v>3.9273954662287101E-9</v>
      </c>
      <c r="HY65" s="5">
        <v>1.3100000000000001E-4</v>
      </c>
      <c r="HZ65" s="5">
        <v>2.7399999999999999E-5</v>
      </c>
      <c r="IA65" s="5">
        <v>3.4183322523815902E-2</v>
      </c>
      <c r="IB65" s="5">
        <v>0</v>
      </c>
      <c r="IC65">
        <v>1.81E-3</v>
      </c>
      <c r="ID65">
        <f t="shared" si="5"/>
        <v>0.23928325766671132</v>
      </c>
      <c r="IE65">
        <f t="shared" si="6"/>
        <v>0</v>
      </c>
      <c r="IF65">
        <f t="shared" si="7"/>
        <v>1.2670000000000001E-2</v>
      </c>
      <c r="IG65" s="5">
        <v>2.5899999999999998E-7</v>
      </c>
      <c r="IH65" s="5">
        <v>1.5600000000000001E-6</v>
      </c>
      <c r="II65" s="5">
        <v>7.7600000000000002E-6</v>
      </c>
      <c r="IJ65" s="5">
        <v>1.66E-6</v>
      </c>
      <c r="IK65" s="5">
        <v>1.8099999999999999E-7</v>
      </c>
      <c r="IL65">
        <v>-1.05714869532337E-2</v>
      </c>
      <c r="IM65">
        <v>-0.13026022188247999</v>
      </c>
      <c r="IN65">
        <v>-3.63138380591537</v>
      </c>
      <c r="IO65">
        <v>5.9639738205503499E-4</v>
      </c>
      <c r="IP65" s="5">
        <v>-2.7556719793478898E-6</v>
      </c>
      <c r="IQ65" s="5">
        <v>-2.2922147620764101E-5</v>
      </c>
      <c r="IR65" s="5">
        <v>3.8864953433284602E-8</v>
      </c>
      <c r="IS65" s="5">
        <v>2.34520115241684E-7</v>
      </c>
      <c r="IT65" s="5">
        <v>5.5849104146357596E-6</v>
      </c>
      <c r="IU65" s="5">
        <v>4.2730621244668701E-7</v>
      </c>
      <c r="IV65" s="5">
        <v>1.62082565905012E-7</v>
      </c>
      <c r="IW65" s="5">
        <v>5.9867764478373596E-6</v>
      </c>
      <c r="IX65" s="5">
        <v>3.6061021437585098E-5</v>
      </c>
      <c r="IY65" s="5">
        <v>5.4598625337026498E-6</v>
      </c>
      <c r="IZ65" s="5">
        <v>2.0882032495275601E-6</v>
      </c>
      <c r="JA65">
        <f t="shared" si="4"/>
        <v>10.630768143642255</v>
      </c>
    </row>
    <row r="66" spans="1:261" x14ac:dyDescent="0.3">
      <c r="A66" t="s">
        <v>175</v>
      </c>
      <c r="B66">
        <v>1.7980350827603999E-4</v>
      </c>
      <c r="C66" s="5">
        <v>9.84916411338608E-7</v>
      </c>
      <c r="D66" s="5">
        <v>4.2763119647730699E-8</v>
      </c>
      <c r="E66">
        <v>6.3450426927855004E-5</v>
      </c>
      <c r="F66">
        <v>1.8425984900801398E-5</v>
      </c>
      <c r="G66">
        <v>1.18449318785486E-4</v>
      </c>
      <c r="H66">
        <v>6.1134889803356305E-7</v>
      </c>
      <c r="I66" s="5">
        <v>1.1469842413861E-2</v>
      </c>
      <c r="J66" s="5">
        <v>1.05816453777867E-2</v>
      </c>
      <c r="K66" s="5">
        <v>4.3808636691457898E-8</v>
      </c>
      <c r="L66" s="5">
        <v>2.7038782400305101</v>
      </c>
      <c r="M66" s="5">
        <v>1.5872468066679999E-2</v>
      </c>
      <c r="N66" s="5">
        <v>2.46123138967808E-6</v>
      </c>
      <c r="O66" s="5">
        <v>5.7780848058592198E-3</v>
      </c>
      <c r="P66" s="5">
        <v>1.05816453777867E-2</v>
      </c>
      <c r="Q66" s="5">
        <v>4.5060312025502297E-8</v>
      </c>
      <c r="R66" s="5">
        <v>1.17562894015281E-2</v>
      </c>
      <c r="S66" s="5">
        <v>4.45171575565791E-4</v>
      </c>
      <c r="T66" s="5">
        <v>2.14222305069884E-7</v>
      </c>
      <c r="U66" s="5">
        <v>1.05816453777867E-2</v>
      </c>
      <c r="V66" s="5">
        <v>0.588153751768271</v>
      </c>
      <c r="W66" s="5">
        <v>1.58666283501662E-6</v>
      </c>
      <c r="X66" s="5">
        <v>1.05816453777867E-2</v>
      </c>
      <c r="Y66" s="5">
        <v>1.7687757903191699E-3</v>
      </c>
      <c r="Z66" s="5">
        <v>2.6785852148492699E-8</v>
      </c>
      <c r="AA66" s="5">
        <v>1.05816453777867E-2</v>
      </c>
      <c r="AB66" s="5">
        <v>1.4250411214141199E-4</v>
      </c>
      <c r="AC66" s="5">
        <v>4.4910441506546997E-7</v>
      </c>
      <c r="AD66" s="5">
        <v>1.12279261827481E-4</v>
      </c>
      <c r="AE66" s="5">
        <v>5.75349268998138E-3</v>
      </c>
      <c r="AF66" s="5">
        <v>4.23265815111466E-6</v>
      </c>
      <c r="AG66">
        <v>1.05816453777867E-2</v>
      </c>
      <c r="AH66">
        <v>2.2939684827722E-2</v>
      </c>
      <c r="AI66" s="5">
        <v>4.3808636691457898E-8</v>
      </c>
      <c r="AJ66">
        <v>2.5044298374080098E-4</v>
      </c>
      <c r="AK66" s="5">
        <v>1.3287085786611999E-5</v>
      </c>
      <c r="AL66" s="5">
        <v>8.7030290012456201E-7</v>
      </c>
      <c r="AM66" s="5">
        <v>6.5624090592833901E-8</v>
      </c>
      <c r="AN66" s="5">
        <v>8.7287917834286104E-8</v>
      </c>
      <c r="AO66" s="5">
        <v>2.3610125150638702E-6</v>
      </c>
      <c r="AP66">
        <v>8.71756253470801E-4</v>
      </c>
      <c r="AQ66" s="5">
        <v>2.2581199795316399E-5</v>
      </c>
      <c r="AR66" s="5">
        <v>4.1401969559345901E-5</v>
      </c>
      <c r="AS66" s="5">
        <v>6.2085884655382599E-5</v>
      </c>
      <c r="AT66" s="5">
        <v>1.47714437376354E-5</v>
      </c>
      <c r="AU66" s="5">
        <v>-3.26658733321947E-7</v>
      </c>
      <c r="AV66" s="5">
        <v>5.7309085329721199E-6</v>
      </c>
      <c r="AW66" s="5">
        <v>5.0352113704336997E-5</v>
      </c>
      <c r="AX66" s="5">
        <v>2.7294883725778398E-7</v>
      </c>
      <c r="AY66" s="5">
        <v>3.1499999999999999E-6</v>
      </c>
      <c r="AZ66" s="5">
        <v>2.0999999999999998E-6</v>
      </c>
      <c r="BA66" s="5">
        <v>6.5099999999999999E-7</v>
      </c>
      <c r="BB66" s="5">
        <v>1.01E-5</v>
      </c>
      <c r="BC66">
        <v>1.7600000000000001E-3</v>
      </c>
      <c r="BD66" s="5">
        <v>1.7599999999999999E-7</v>
      </c>
      <c r="BE66" s="5">
        <v>2.0495027674894798E-5</v>
      </c>
      <c r="BF66">
        <v>1.32286681147992E-3</v>
      </c>
      <c r="BG66" s="5">
        <v>3.26487414862643E-9</v>
      </c>
      <c r="BH66" s="5">
        <v>9.5799728814753904E-5</v>
      </c>
      <c r="BI66" s="5">
        <v>1.0990087303929101E-5</v>
      </c>
      <c r="BJ66" s="5">
        <v>8.4663475934715193E-3</v>
      </c>
      <c r="BK66" s="5">
        <v>7.9903547662563794E-3</v>
      </c>
      <c r="BL66" s="5">
        <v>3.3570142824601099E-7</v>
      </c>
      <c r="BM66" s="5">
        <v>3.3607248325225E-6</v>
      </c>
      <c r="BN66" s="5">
        <v>1.15340967030697E-5</v>
      </c>
      <c r="BO66" s="5">
        <v>1.76382241531415E-3</v>
      </c>
      <c r="BP66" s="5">
        <v>4.7418170907947699E-3</v>
      </c>
      <c r="BQ66" s="5">
        <v>6.0417000997779498E-8</v>
      </c>
      <c r="BR66" s="5">
        <v>6.9191393610761801E-7</v>
      </c>
      <c r="BS66" s="5">
        <v>2.96534544046124E-7</v>
      </c>
      <c r="BT66" s="5">
        <v>8.3026431639454106E-5</v>
      </c>
      <c r="BU66" s="5">
        <v>7.6726275065835603E-3</v>
      </c>
      <c r="BV66" s="5">
        <v>1.0348164369413999E-2</v>
      </c>
      <c r="BW66" s="5">
        <v>2.54458232614615E-7</v>
      </c>
      <c r="BX66" s="5">
        <v>2.4711212003844299E-6</v>
      </c>
      <c r="BY66" s="5">
        <v>8.1405938714230206E-5</v>
      </c>
      <c r="BZ66" s="5">
        <v>8.4663475934715193E-3</v>
      </c>
      <c r="CA66" s="5">
        <v>1.9255445092453902E-2</v>
      </c>
      <c r="CB66" s="5">
        <v>3.0317890612115302E-7</v>
      </c>
      <c r="CC66" s="5">
        <v>4.9422424007686804E-7</v>
      </c>
      <c r="CD66" s="5">
        <v>7.9075878412292005E-7</v>
      </c>
      <c r="CE66" s="5">
        <v>1.0399751655412899E-4</v>
      </c>
      <c r="CF66" s="5">
        <v>8.4663475934715193E-3</v>
      </c>
      <c r="CG66" s="5">
        <v>1.87314874028633E-2</v>
      </c>
      <c r="CH66" s="5">
        <v>3.3246179796965199E-7</v>
      </c>
      <c r="CI66" s="5">
        <v>5.9306908809224801E-7</v>
      </c>
      <c r="CJ66" s="5">
        <v>2.1745866563380299E-6</v>
      </c>
      <c r="CK66" s="5">
        <v>1.9237879752372198E-6</v>
      </c>
      <c r="CL66" s="5">
        <v>4.2557280044161803E-5</v>
      </c>
      <c r="CM66" s="5">
        <v>2.8300080458315601E-5</v>
      </c>
      <c r="CN66" s="5">
        <v>1.32902268922023E-6</v>
      </c>
      <c r="CO66" s="5">
        <v>3.9887373170694899E-5</v>
      </c>
      <c r="CP66" s="5">
        <v>-9.9596645133774704E-8</v>
      </c>
      <c r="CQ66" s="5">
        <v>1.5251698119761899E-6</v>
      </c>
      <c r="CR66" s="5">
        <v>3.44851117834099E-4</v>
      </c>
      <c r="CS66" s="5">
        <v>2.68854798597261E-5</v>
      </c>
      <c r="CT66" s="5">
        <v>4.4743351115467798E-5</v>
      </c>
      <c r="CU66" s="5">
        <v>1.03179707557588E-7</v>
      </c>
      <c r="CV66" s="5">
        <v>2.02599942883815E-4</v>
      </c>
      <c r="CW66" s="5">
        <v>1.23130246794383E-3</v>
      </c>
      <c r="CX66" s="5">
        <v>0.112611719084648</v>
      </c>
      <c r="CY66" s="5">
        <v>6.6160021418156401E-4</v>
      </c>
      <c r="CZ66" s="5">
        <v>6.1053146579318401E-7</v>
      </c>
      <c r="DA66" s="5">
        <v>4.7736479458948598E-4</v>
      </c>
      <c r="DB66" s="5">
        <v>8.7134391097142993E-6</v>
      </c>
      <c r="DC66" s="5">
        <v>-5.6511960864695702E-9</v>
      </c>
      <c r="DD66" s="5">
        <v>1.1551346421731301E-5</v>
      </c>
      <c r="DE66" s="5">
        <v>1.09162325166411E-8</v>
      </c>
      <c r="DF66" s="5">
        <v>6.6890204199162598E-7</v>
      </c>
      <c r="DG66" s="5">
        <v>7.9075878412292005E-7</v>
      </c>
      <c r="DH66" s="5">
        <v>4.9843597540236699E-6</v>
      </c>
      <c r="DI66" s="5">
        <v>4.7334201299009697E-3</v>
      </c>
      <c r="DJ66" s="5">
        <v>5.0718046619890299E-5</v>
      </c>
      <c r="DK66" s="5">
        <v>2.8289526878545099E-5</v>
      </c>
      <c r="DL66" s="5">
        <v>7.5176221711797199E-6</v>
      </c>
      <c r="DM66" s="5">
        <v>1.7923653239817401E-4</v>
      </c>
      <c r="DN66" s="5">
        <v>2.3505490732732E-4</v>
      </c>
      <c r="DO66" s="5">
        <v>1.37531968671398E-7</v>
      </c>
      <c r="DP66" s="5">
        <v>1.1092867850813699E-6</v>
      </c>
      <c r="DQ66" s="5">
        <v>3.7667856000052799E-6</v>
      </c>
      <c r="DR66" s="5">
        <v>1.1643551954432999E-4</v>
      </c>
      <c r="DS66" s="5">
        <v>1.67206783707019E-3</v>
      </c>
      <c r="DT66" s="5">
        <v>-6.63977634225195E-8</v>
      </c>
      <c r="DU66" s="5">
        <v>1.5068806569127401E-6</v>
      </c>
      <c r="DV66" s="5">
        <v>4.1108867104426599E-4</v>
      </c>
      <c r="DW66" s="5">
        <v>4.66014984235252E-5</v>
      </c>
      <c r="DX66" s="5">
        <v>2.3505490732732E-4</v>
      </c>
      <c r="DY66" s="5">
        <v>5.4214227476387199E-7</v>
      </c>
      <c r="DZ66" s="5">
        <v>2.6500707558673301E-3</v>
      </c>
      <c r="EA66" s="5">
        <v>3.7403962679849298E-6</v>
      </c>
      <c r="EB66" s="5">
        <v>4.1124632007578698E-3</v>
      </c>
      <c r="EC66" s="5">
        <v>2.1869578112722098E-3</v>
      </c>
      <c r="ED66" s="5">
        <v>6.0450539939624402E-5</v>
      </c>
      <c r="EE66" s="5">
        <v>3.1550242520453002E-3</v>
      </c>
      <c r="EF66" s="5">
        <v>1.42738020834165E-5</v>
      </c>
      <c r="EG66" s="5">
        <v>3.6358381456579102E-4</v>
      </c>
      <c r="EH66" s="5">
        <v>2.9390723503820299E-2</v>
      </c>
      <c r="EI66" s="5">
        <v>1.79787843649186E-5</v>
      </c>
      <c r="EJ66" s="5">
        <v>5.9306908809223102E-6</v>
      </c>
      <c r="EK66">
        <v>2.7500858680716198E-4</v>
      </c>
      <c r="EL66" s="5">
        <v>1.18455611766746E-5</v>
      </c>
      <c r="EM66" s="5">
        <v>1.2527769380629399E-4</v>
      </c>
      <c r="EN66" s="5">
        <v>8.9286084778988895E-4</v>
      </c>
      <c r="EO66" s="5">
        <v>9.0339420120442196E-8</v>
      </c>
      <c r="EP66" s="5">
        <v>8.5488690823342408E-6</v>
      </c>
      <c r="EQ66" s="5">
        <v>1.19369827830126E-4</v>
      </c>
      <c r="ER66" s="5">
        <v>2.09716506311599E-2</v>
      </c>
      <c r="ES66" s="5">
        <v>2.0823095485508799E-7</v>
      </c>
      <c r="ET66" s="5">
        <v>3.1550792157430999E-3</v>
      </c>
      <c r="EU66" s="5">
        <v>1.1471974639086101E-3</v>
      </c>
      <c r="EV66" s="5">
        <v>9.9075080724716905E-5</v>
      </c>
      <c r="EW66" s="5">
        <v>3.7994973699261601E-6</v>
      </c>
      <c r="EX66" s="5">
        <v>1.34851341513076E-4</v>
      </c>
      <c r="EY66" s="5">
        <v>1.1695183738980801E-3</v>
      </c>
      <c r="EZ66" s="5">
        <v>2.6531711169008198E-7</v>
      </c>
      <c r="FA66" s="5">
        <v>5.2395768959058201E-5</v>
      </c>
      <c r="FB66" s="5">
        <v>1.75189318161329E-7</v>
      </c>
      <c r="FC66" s="5">
        <v>1.24414560103048E-3</v>
      </c>
      <c r="FD66" s="5">
        <v>3.1320008961829799E-4</v>
      </c>
      <c r="FE66" s="5">
        <v>4.1309969774751604E-6</v>
      </c>
      <c r="FF66" s="5">
        <v>1.01873317779607E-5</v>
      </c>
      <c r="FG66" s="5">
        <v>-2.28661113325366E-7</v>
      </c>
      <c r="FH66" s="5">
        <v>4.4327469315806199E-6</v>
      </c>
      <c r="FI66" s="5">
        <v>1.7524733808968E-5</v>
      </c>
      <c r="FJ66" s="5">
        <v>1.59072422503379E-4</v>
      </c>
      <c r="FK66" s="5">
        <v>2.1477285204317599E-5</v>
      </c>
      <c r="FL66" s="5">
        <v>5.6686239879351002E-8</v>
      </c>
      <c r="FM66" s="5">
        <v>1.33995231395358E-7</v>
      </c>
      <c r="FN66" s="5">
        <v>5.5392914016134901E-5</v>
      </c>
      <c r="FO66" s="5">
        <v>3.6302700711144699E-6</v>
      </c>
      <c r="FP66" s="5">
        <v>2.9200987742176598E-7</v>
      </c>
      <c r="FQ66" s="5">
        <v>1.5681331055513499E-5</v>
      </c>
      <c r="FR66" s="5">
        <v>3.17798818919364E-3</v>
      </c>
      <c r="FS66" s="5">
        <v>4.7418170907947699E-3</v>
      </c>
      <c r="FT66" s="5">
        <v>2.7936411749667799E-8</v>
      </c>
      <c r="FU66" s="5">
        <v>1.6269594628193199E-4</v>
      </c>
      <c r="FV66" s="5">
        <v>2.36902246863347E-6</v>
      </c>
      <c r="FW66" s="5">
        <v>1.09162325166411E-8</v>
      </c>
      <c r="FX66" s="5">
        <v>4.4433665642982302E-8</v>
      </c>
      <c r="FY66" s="5">
        <v>6.9191393610761801E-7</v>
      </c>
      <c r="FZ66" s="5">
        <v>1.38587417741823E-5</v>
      </c>
      <c r="GA66" s="5">
        <v>1.25752547616701E-7</v>
      </c>
      <c r="GB66" s="5">
        <v>1.38893531576527E-5</v>
      </c>
      <c r="GC66" s="5">
        <v>3.71760141669198E-6</v>
      </c>
      <c r="GD66" s="5">
        <v>1.47946356527089E-5</v>
      </c>
      <c r="GE66" s="5">
        <v>4.6929531996081299E-7</v>
      </c>
      <c r="GF66" s="5">
        <v>2.24379733400372E-5</v>
      </c>
      <c r="GG66" s="5">
        <v>3.5122439635279001E-5</v>
      </c>
      <c r="GH66" s="5">
        <v>2.1368235627157999E-5</v>
      </c>
      <c r="GI66" s="5">
        <v>3.71760141669198E-6</v>
      </c>
      <c r="GJ66" s="5">
        <v>1.47946356527089E-5</v>
      </c>
      <c r="GK66" s="5">
        <v>5.2720621987979895E-7</v>
      </c>
      <c r="GL66" s="5">
        <v>5.9306908809224801E-7</v>
      </c>
      <c r="GM66" s="5">
        <v>1.21978587530894E-4</v>
      </c>
      <c r="GN66" s="5">
        <v>2.2379941789899001E-5</v>
      </c>
      <c r="GO66" s="5">
        <v>5.0158399208912297E-6</v>
      </c>
      <c r="GP66" s="5">
        <v>1.0877594801581E-2</v>
      </c>
      <c r="GQ66" s="5">
        <v>1.1934068670627101E-7</v>
      </c>
      <c r="GR66" s="5">
        <v>6.9955926372262305E-7</v>
      </c>
      <c r="GS66" s="5">
        <v>1.25550233791216E-3</v>
      </c>
      <c r="GT66" s="5">
        <v>3.2257529018731002E-4</v>
      </c>
      <c r="GU66" s="5">
        <v>8.2511353702831892E-6</v>
      </c>
      <c r="GV66" s="5">
        <v>-6.63977634225155E-7</v>
      </c>
      <c r="GW66" s="5">
        <v>2.9382779660763399E-6</v>
      </c>
      <c r="GX66" s="5">
        <v>6.7128641369945297E-5</v>
      </c>
      <c r="GY66" s="5">
        <v>1.7923653239817401E-4</v>
      </c>
      <c r="GZ66" s="5">
        <v>4.0328664122524401E-5</v>
      </c>
      <c r="HA66" s="5">
        <v>5.6686239879351002E-8</v>
      </c>
      <c r="HB66" s="5">
        <v>2.51819200901289E-7</v>
      </c>
      <c r="HC66" s="5">
        <v>2.5260442186847399E-4</v>
      </c>
      <c r="HD66" s="5">
        <v>5.8277046799137299E-6</v>
      </c>
      <c r="HE66" s="5">
        <v>-8.9014504830227593E-9</v>
      </c>
      <c r="HF66" s="5">
        <v>3.35287726192167E-5</v>
      </c>
      <c r="HG66" s="5">
        <v>4.75939859835826E-8</v>
      </c>
      <c r="HH66" s="5">
        <v>1.0491178729242999E-3</v>
      </c>
      <c r="HI66" s="5">
        <v>6.6848587909951198E-5</v>
      </c>
      <c r="HJ66" s="5">
        <v>5.0158399208912297E-6</v>
      </c>
      <c r="HK66" s="5">
        <v>4.4327469315806199E-6</v>
      </c>
      <c r="HL66" s="5">
        <v>2.01643320612622E-5</v>
      </c>
      <c r="HM66" s="5">
        <v>9.0033605618367702E-8</v>
      </c>
      <c r="HN66" s="5">
        <v>1.2970870210054401E-5</v>
      </c>
      <c r="HO66" s="5">
        <v>2.6233472389598502E-7</v>
      </c>
      <c r="HP66" s="5">
        <v>1.32286681147992E-3</v>
      </c>
      <c r="HQ66" s="5">
        <v>3.8202393388566503E-9</v>
      </c>
      <c r="HR66" s="5">
        <v>1.53292102482491E-5</v>
      </c>
      <c r="HS66" s="5">
        <v>2.8584057218070901E-7</v>
      </c>
      <c r="HT66" s="5">
        <v>1.32286681147992E-3</v>
      </c>
      <c r="HU66" s="5">
        <v>4.1736535508216396E-9</v>
      </c>
      <c r="HV66" s="5">
        <v>1.31018891010525E-6</v>
      </c>
      <c r="HW66" s="5">
        <v>1.32286681147992E-3</v>
      </c>
      <c r="HX66" s="5">
        <v>2.2719485054875399E-9</v>
      </c>
      <c r="HY66">
        <v>0.11799999999999999</v>
      </c>
      <c r="HZ66" s="5">
        <v>1.5800000000000001E-5</v>
      </c>
      <c r="IA66">
        <v>7.4921584983720403E-3</v>
      </c>
      <c r="IB66" s="5">
        <v>0</v>
      </c>
      <c r="IC66" s="5">
        <v>1.5399999999999999E-3</v>
      </c>
      <c r="ID66">
        <f t="shared" si="5"/>
        <v>5.2445109488604286E-2</v>
      </c>
      <c r="IE66">
        <f t="shared" si="6"/>
        <v>0</v>
      </c>
      <c r="IF66">
        <f t="shared" si="7"/>
        <v>1.078E-2</v>
      </c>
      <c r="IG66" s="5">
        <v>1.6300000000000001E-6</v>
      </c>
      <c r="IH66" s="5">
        <v>9.8400000000000007E-6</v>
      </c>
      <c r="II66" s="5">
        <v>1.1399999999999999E-5</v>
      </c>
      <c r="IJ66" s="5">
        <v>-1.64E-6</v>
      </c>
      <c r="IK66" s="5">
        <v>1.0499999999999999E-6</v>
      </c>
      <c r="IL66">
        <v>-2.50865245610114E-3</v>
      </c>
      <c r="IM66">
        <v>-7.3987800868282596E-3</v>
      </c>
      <c r="IN66">
        <v>-1.1707123048216399</v>
      </c>
      <c r="IO66">
        <v>-4.5286042350865504E-3</v>
      </c>
      <c r="IP66" s="5">
        <v>2.1872588157292699E-5</v>
      </c>
      <c r="IQ66">
        <v>1.1688553392832599E-4</v>
      </c>
      <c r="IR66" s="5">
        <v>2.4479202339970102E-7</v>
      </c>
      <c r="IS66" s="5">
        <v>1.4764531443925401E-6</v>
      </c>
      <c r="IT66" s="5">
        <v>8.2123952535354798E-6</v>
      </c>
      <c r="IU66" s="5">
        <v>-4.2392875343846098E-7</v>
      </c>
      <c r="IV66" s="5">
        <v>9.3709595091067701E-7</v>
      </c>
      <c r="IW66" s="5">
        <v>5.1416687431669198E-6</v>
      </c>
      <c r="IX66" s="5">
        <v>3.0970561267419602E-5</v>
      </c>
      <c r="IY66" s="5">
        <v>5.6037225061315996E-6</v>
      </c>
      <c r="IZ66" s="5">
        <v>7.4459942150947793E-5</v>
      </c>
      <c r="JA66">
        <f t="shared" si="4"/>
        <v>3.8817710814987425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60"/>
  <sheetViews>
    <sheetView workbookViewId="0">
      <selection activeCell="I13" sqref="I13"/>
    </sheetView>
  </sheetViews>
  <sheetFormatPr baseColWidth="10" defaultColWidth="11.44140625" defaultRowHeight="14.4" x14ac:dyDescent="0.3"/>
  <cols>
    <col min="3" max="3" width="11.6640625" bestFit="1" customWidth="1"/>
    <col min="4" max="6" width="12" bestFit="1" customWidth="1"/>
    <col min="7" max="8" width="12.6640625" bestFit="1" customWidth="1"/>
    <col min="9" max="9" width="30.88671875" bestFit="1" customWidth="1"/>
    <col min="10" max="12" width="12.6640625" bestFit="1" customWidth="1"/>
    <col min="13" max="13" width="28.44140625" bestFit="1" customWidth="1"/>
    <col min="14" max="15" width="12" bestFit="1" customWidth="1"/>
    <col min="16" max="16" width="30.6640625" bestFit="1" customWidth="1"/>
    <col min="17" max="17" width="34" bestFit="1" customWidth="1"/>
    <col min="18" max="18" width="31.109375" bestFit="1" customWidth="1"/>
    <col min="19" max="19" width="32.5546875" bestFit="1" customWidth="1"/>
    <col min="20" max="20" width="34.5546875" bestFit="1" customWidth="1"/>
    <col min="21" max="22" width="12.6640625" bestFit="1" customWidth="1"/>
    <col min="23" max="23" width="12" bestFit="1" customWidth="1"/>
    <col min="24" max="26" width="12.6640625" bestFit="1" customWidth="1"/>
    <col min="27" max="28" width="12" bestFit="1" customWidth="1"/>
    <col min="29" max="31" width="12.6640625" bestFit="1" customWidth="1"/>
  </cols>
  <sheetData>
    <row r="1" spans="1:32" x14ac:dyDescent="0.3">
      <c r="A1" t="str">
        <f t="array" ref="A1:AE260">TRANSPOSE(Master!A36:IZ66)</f>
        <v>Type</v>
      </c>
      <c r="B1" t="str">
        <v>Système</v>
      </c>
      <c r="C1" t="str">
        <v>Composant</v>
      </c>
      <c r="D1" t="str">
        <v>EF 3.0 Acidification</v>
      </c>
      <c r="E1" t="str">
        <v>EF 3.0 Climate Change - total</v>
      </c>
      <c r="F1" t="str">
        <v>EF 3.0 Climate Change, biogenic</v>
      </c>
      <c r="G1" t="str">
        <v>EF 3.0 Climate Change, fossil</v>
      </c>
      <c r="H1" t="str">
        <v>EF 3.0 Climate Change, land use and land use change</v>
      </c>
      <c r="I1" t="str">
        <v>EF 3.0 Ecotoxicity, freshwater - total</v>
      </c>
      <c r="J1" t="str">
        <v>EF 3.0 Ecotoxicity, freshwater inorganics</v>
      </c>
      <c r="K1" t="str">
        <v>EF 3.0 Ecotoxicity, freshwater metals</v>
      </c>
      <c r="L1" t="str">
        <v>EF 3.0 Ecotoxicity, freshwater organics</v>
      </c>
      <c r="M1" t="str">
        <v>EF 3.0 Eutrophication, freshwater</v>
      </c>
      <c r="N1" t="str">
        <v>EF 3.0 Eutrophication, marine</v>
      </c>
      <c r="O1" t="str">
        <v>EF 3.0 Eutrophication, terrestrial</v>
      </c>
      <c r="P1" t="str">
        <v>EF 3.0 Human toxicity, cancer - total</v>
      </c>
      <c r="Q1" t="str">
        <v>EF 3.0 Human toxicity, cancer inorganics</v>
      </c>
      <c r="R1" t="str">
        <v>EF 3.0 Human toxicity, cancer metals</v>
      </c>
      <c r="S1" t="str">
        <v>EF 3.0 Human toxicity, cancer organics</v>
      </c>
      <c r="T1" t="str">
        <v>EF 3.0 Human toxicity, non-cancer - total</v>
      </c>
      <c r="U1" t="str">
        <v>EF 3.0 Human toxicity, non-cancer inorganics</v>
      </c>
      <c r="V1" t="str">
        <v>EF 3.0 Human toxicity, non-cancer metals</v>
      </c>
      <c r="W1" t="str">
        <v>EF 3.0 Human toxicity, non-cancer organics</v>
      </c>
      <c r="X1" t="str">
        <v>EF 3.0 Ionising radiation, human health</v>
      </c>
      <c r="Y1" t="str">
        <v>EF 3.0 Land Use</v>
      </c>
      <c r="Z1" t="str">
        <v>EF 3.0 Ozone depletion</v>
      </c>
      <c r="AA1" t="str">
        <v>EF 3.0 Particulate matter</v>
      </c>
      <c r="AB1" t="str">
        <v>EF 3.0 Photochemical ozone formation, human health</v>
      </c>
      <c r="AC1" t="str">
        <v>EF 3.0 Resource use, fossils</v>
      </c>
      <c r="AD1" t="str">
        <v>EF 3.0 Resource use, mineral and metals</v>
      </c>
      <c r="AE1" t="str">
        <v>EF 3.0 Water use</v>
      </c>
    </row>
    <row r="2" spans="1:32" x14ac:dyDescent="0.3">
      <c r="A2" t="str">
        <v>Sous-ensemble</v>
      </c>
      <c r="B2" t="str">
        <v>Brackets set</v>
      </c>
      <c r="C2" t="str">
        <v>cables</v>
      </c>
      <c r="D2">
        <v>9.3899999999999995E-4</v>
      </c>
      <c r="E2">
        <v>2.3600000000000001E-3</v>
      </c>
      <c r="F2">
        <v>8.3000000000000002E-6</v>
      </c>
      <c r="G2">
        <v>2.3500000000000001E-3</v>
      </c>
      <c r="H2">
        <v>1.3200000000000001E-6</v>
      </c>
      <c r="I2">
        <v>4.1000000000000003E-3</v>
      </c>
      <c r="J2">
        <v>1.42E-3</v>
      </c>
      <c r="K2">
        <v>2.65E-3</v>
      </c>
      <c r="L2">
        <v>1.9000000000000001E-5</v>
      </c>
      <c r="M2">
        <v>1.9400000000000001E-5</v>
      </c>
      <c r="N2">
        <v>4.0299999999999998E-4</v>
      </c>
      <c r="O2">
        <v>4.8899999999999996E-4</v>
      </c>
      <c r="P2">
        <v>2.7799999999999998E-4</v>
      </c>
      <c r="Q2">
        <v>1.7199999999999999E-14</v>
      </c>
      <c r="R2">
        <v>2.02E-4</v>
      </c>
      <c r="S2">
        <v>7.6329005154379697E-5</v>
      </c>
      <c r="T2">
        <v>1.2638782804543099E-3</v>
      </c>
      <c r="U2">
        <v>1.5300527517904701E-4</v>
      </c>
      <c r="V2">
        <v>1.10889277819754E-3</v>
      </c>
      <c r="W2">
        <v>7.0334151684230297E-6</v>
      </c>
      <c r="X2">
        <v>1.3226414116439099E-4</v>
      </c>
      <c r="Y2">
        <v>3.006552715954E-5</v>
      </c>
      <c r="Z2">
        <v>2.0331601112320702E-6</v>
      </c>
      <c r="AA2">
        <v>1.03173644636482E-3</v>
      </c>
      <c r="AB2">
        <v>6.3255794949373999E-4</v>
      </c>
      <c r="AC2">
        <v>3.7210589344579799E-3</v>
      </c>
      <c r="AD2">
        <v>2.9850512866280401E-2</v>
      </c>
      <c r="AE2">
        <v>1.7980350827603999E-4</v>
      </c>
      <c r="AF2">
        <f>SUM(D2:AE2)</f>
        <v>5.342819128747904E-2</v>
      </c>
    </row>
    <row r="3" spans="1:32" x14ac:dyDescent="0.3">
      <c r="A3" t="str">
        <v>Sous-ensemble</v>
      </c>
      <c r="B3" t="str">
        <v>Brackets set</v>
      </c>
      <c r="C3" t="str">
        <v>packaging</v>
      </c>
      <c r="D3">
        <v>1.8499999999999999E-5</v>
      </c>
      <c r="E3">
        <v>3.2499999999999997E-5</v>
      </c>
      <c r="F3">
        <v>1.1200000000000001E-6</v>
      </c>
      <c r="G3">
        <v>3.1399999999999998E-5</v>
      </c>
      <c r="H3">
        <v>-1.32E-9</v>
      </c>
      <c r="I3">
        <v>-5.1399999999999999E-6</v>
      </c>
      <c r="J3">
        <v>-4.08E-7</v>
      </c>
      <c r="K3">
        <v>-4.8400000000000002E-6</v>
      </c>
      <c r="L3">
        <v>1.06E-7</v>
      </c>
      <c r="M3">
        <v>2.0699999999999999E-7</v>
      </c>
      <c r="N3">
        <v>6.6800000000000004E-6</v>
      </c>
      <c r="O3">
        <v>8.1300000000000001E-6</v>
      </c>
      <c r="P3">
        <v>5.4300000000000003E-7</v>
      </c>
      <c r="Q3">
        <v>-5.3499999999999998E-15</v>
      </c>
      <c r="R3">
        <v>-1.5300000000000001E-8</v>
      </c>
      <c r="S3">
        <v>5.58063971930616E-7</v>
      </c>
      <c r="T3">
        <v>1.0118741617724599E-6</v>
      </c>
      <c r="U3">
        <v>1.0605227531524499E-6</v>
      </c>
      <c r="V3">
        <v>-1.2286316071187601E-7</v>
      </c>
      <c r="W3">
        <v>3.28174489391575E-7</v>
      </c>
      <c r="X3">
        <v>-1.0091248292365399E-5</v>
      </c>
      <c r="Y3">
        <v>-5.5758236701188999E-8</v>
      </c>
      <c r="Z3">
        <v>-5.4885375716256399E-15</v>
      </c>
      <c r="AA3">
        <v>1.26383246189776E-5</v>
      </c>
      <c r="AB3">
        <v>1.11807557380809E-5</v>
      </c>
      <c r="AC3">
        <v>5.8316379365234399E-5</v>
      </c>
      <c r="AD3">
        <v>2.09641747473179E-7</v>
      </c>
      <c r="AE3">
        <v>9.84916411338608E-7</v>
      </c>
      <c r="AF3">
        <f t="shared" ref="AF3:AF66" si="0">SUM(D3:AE3)</f>
        <v>1.6480016355673477E-4</v>
      </c>
    </row>
    <row r="4" spans="1:32" x14ac:dyDescent="0.3">
      <c r="A4" t="str">
        <v>Sous-ensemble</v>
      </c>
      <c r="B4" t="str">
        <v>Brackets set</v>
      </c>
      <c r="C4" t="str">
        <v>Transport</v>
      </c>
      <c r="D4">
        <v>5.6999999999999996E-6</v>
      </c>
      <c r="E4">
        <v>6.5400000000000001E-6</v>
      </c>
      <c r="F4">
        <v>1.96E-8</v>
      </c>
      <c r="G4">
        <v>6.4699999999999999E-6</v>
      </c>
      <c r="H4">
        <v>5.3400000000000002E-8</v>
      </c>
      <c r="I4">
        <v>1.22E-5</v>
      </c>
      <c r="J4">
        <v>1.1800000000000001E-5</v>
      </c>
      <c r="K4">
        <v>2.4400000000000001E-7</v>
      </c>
      <c r="L4">
        <v>1.4600000000000001E-7</v>
      </c>
      <c r="M4">
        <v>9.7699999999999995E-8</v>
      </c>
      <c r="N4">
        <v>7.9100000000000005E-6</v>
      </c>
      <c r="O4">
        <v>9.6800000000000005E-6</v>
      </c>
      <c r="P4">
        <v>6.2500000000000005E-7</v>
      </c>
      <c r="Q4">
        <v>1.62E-17</v>
      </c>
      <c r="R4">
        <v>6.0900000000000001E-7</v>
      </c>
      <c r="S4">
        <v>1.6498459108087499E-8</v>
      </c>
      <c r="T4">
        <v>2.5531959082239601E-6</v>
      </c>
      <c r="U4">
        <v>5.7434190716453999E-7</v>
      </c>
      <c r="V4">
        <v>1.9747277647803599E-6</v>
      </c>
      <c r="W4">
        <v>1.7944517670603301E-8</v>
      </c>
      <c r="X4">
        <v>4.4411567486278397E-8</v>
      </c>
      <c r="Y4">
        <v>2.9524679735782301E-7</v>
      </c>
      <c r="Z4">
        <v>1.9449347177992599E-16</v>
      </c>
      <c r="AA4">
        <v>1.9732692393558302E-6</v>
      </c>
      <c r="AB4">
        <v>7.3497015222571299E-6</v>
      </c>
      <c r="AC4">
        <v>1.08293141908409E-5</v>
      </c>
      <c r="AD4">
        <v>7.3922310219904898E-8</v>
      </c>
      <c r="AE4">
        <v>4.2763119647730699E-8</v>
      </c>
      <c r="AF4">
        <f t="shared" si="0"/>
        <v>8.7840037304323827E-5</v>
      </c>
    </row>
    <row r="5" spans="1:32" x14ac:dyDescent="0.3">
      <c r="A5" t="str">
        <v>Sous-ensemble</v>
      </c>
      <c r="B5" t="str">
        <v>Ceinture de sécurité</v>
      </c>
      <c r="C5" t="str">
        <v>acier</v>
      </c>
      <c r="D5">
        <v>1.02E-4</v>
      </c>
      <c r="E5">
        <v>2.6699999999999998E-4</v>
      </c>
      <c r="F5">
        <v>1.04E-7</v>
      </c>
      <c r="G5">
        <v>2.6699999999999998E-4</v>
      </c>
      <c r="H5">
        <v>7.5199999999999998E-8</v>
      </c>
      <c r="I5">
        <v>8.3200000000000003E-5</v>
      </c>
      <c r="J5">
        <v>6.3800000000000006E-5</v>
      </c>
      <c r="K5">
        <v>1.9000000000000001E-5</v>
      </c>
      <c r="L5">
        <v>4.4799999999999999E-7</v>
      </c>
      <c r="M5">
        <v>5.4700000000000001E-7</v>
      </c>
      <c r="N5">
        <v>6.6500000000000004E-5</v>
      </c>
      <c r="O5">
        <v>7.75E-5</v>
      </c>
      <c r="P5">
        <v>1.0900000000000001E-5</v>
      </c>
      <c r="Q5">
        <v>3.1499999999999999E-15</v>
      </c>
      <c r="R5">
        <v>3.9400000000000004E-6</v>
      </c>
      <c r="S5">
        <v>7.0136204479553001E-6</v>
      </c>
      <c r="T5">
        <v>9.9511021024280302E-5</v>
      </c>
      <c r="U5">
        <v>8.0593174518275501E-5</v>
      </c>
      <c r="V5">
        <v>1.8860249126725701E-5</v>
      </c>
      <c r="W5">
        <v>1.0386803331327699E-6</v>
      </c>
      <c r="X5">
        <v>8.0112033327005507E-6</v>
      </c>
      <c r="Y5">
        <v>1.4118537306960401E-6</v>
      </c>
      <c r="Z5">
        <v>3.1395676220163E-14</v>
      </c>
      <c r="AA5">
        <v>1.16413389821471E-4</v>
      </c>
      <c r="AB5">
        <v>1.07089231118536E-4</v>
      </c>
      <c r="AC5">
        <v>3.6149094731997898E-4</v>
      </c>
      <c r="AD5">
        <v>1.1410518224539499E-5</v>
      </c>
      <c r="AE5">
        <v>6.3450426927855004E-5</v>
      </c>
      <c r="AF5">
        <f t="shared" si="0"/>
        <v>1.8383085159606924E-3</v>
      </c>
    </row>
    <row r="6" spans="1:32" x14ac:dyDescent="0.3">
      <c r="A6" t="str">
        <v>Sous-ensemble</v>
      </c>
      <c r="B6" t="str">
        <v>Ceinture de sécurité</v>
      </c>
      <c r="C6" t="str">
        <v>nylon</v>
      </c>
      <c r="D6">
        <v>5.3699999999999997E-5</v>
      </c>
      <c r="E6">
        <v>2.0799999999999999E-4</v>
      </c>
      <c r="F6">
        <v>5.4000000000000002E-7</v>
      </c>
      <c r="G6">
        <v>2.0799999999999999E-4</v>
      </c>
      <c r="H6">
        <v>3.9799999999999999E-8</v>
      </c>
      <c r="I6">
        <v>3.4499999999999998E-4</v>
      </c>
      <c r="J6">
        <v>3.1599999999999998E-4</v>
      </c>
      <c r="K6">
        <v>2.5700000000000001E-5</v>
      </c>
      <c r="L6">
        <v>3.58E-6</v>
      </c>
      <c r="M6">
        <v>1.28E-6</v>
      </c>
      <c r="N6">
        <v>5.5899999999999997E-5</v>
      </c>
      <c r="O6">
        <v>6.2899999999999997E-5</v>
      </c>
      <c r="P6">
        <v>2.23E-5</v>
      </c>
      <c r="Q6">
        <v>7.5300000000000005E-15</v>
      </c>
      <c r="R6">
        <v>1.6500000000000001E-5</v>
      </c>
      <c r="S6">
        <v>5.8119215680283397E-6</v>
      </c>
      <c r="T6">
        <v>6.9038499597826798E-5</v>
      </c>
      <c r="U6">
        <v>1.32933730121359E-5</v>
      </c>
      <c r="V6">
        <v>5.5395530903317701E-5</v>
      </c>
      <c r="W6">
        <v>9.7467615215143092E-7</v>
      </c>
      <c r="X6">
        <v>1.87094820399915E-5</v>
      </c>
      <c r="Y6">
        <v>1.3260649677586601E-6</v>
      </c>
      <c r="Z6">
        <v>8.6314389385749902E-14</v>
      </c>
      <c r="AA6">
        <v>2.8782934497049401E-5</v>
      </c>
      <c r="AB6">
        <v>9.1435906915081493E-5</v>
      </c>
      <c r="AC6">
        <v>4.66466698746371E-4</v>
      </c>
      <c r="AD6">
        <v>1.9560313796144301E-6</v>
      </c>
      <c r="AE6">
        <v>1.8425984900801398E-5</v>
      </c>
      <c r="AF6">
        <f t="shared" si="0"/>
        <v>2.0910569047739727E-3</v>
      </c>
    </row>
    <row r="7" spans="1:32" x14ac:dyDescent="0.3">
      <c r="A7" t="str">
        <v>Sous-ensemble</v>
      </c>
      <c r="B7" t="str">
        <v>Ceinture de sécurité</v>
      </c>
      <c r="C7" t="str">
        <v>packaging</v>
      </c>
      <c r="D7">
        <v>1.7399999999999999E-5</v>
      </c>
      <c r="E7">
        <v>3.0199999999999999E-5</v>
      </c>
      <c r="F7">
        <v>1.1400000000000001E-6</v>
      </c>
      <c r="G7">
        <v>2.8200000000000001E-5</v>
      </c>
      <c r="H7">
        <v>-1.19E-9</v>
      </c>
      <c r="I7">
        <v>-2.83E-6</v>
      </c>
      <c r="J7">
        <v>-3.5400000000000002E-7</v>
      </c>
      <c r="K7">
        <v>-4.4299999999999999E-6</v>
      </c>
      <c r="L7">
        <v>9.8099999999999998E-8</v>
      </c>
      <c r="M7">
        <v>2.03E-6</v>
      </c>
      <c r="N7">
        <v>6.4899999999999997E-6</v>
      </c>
      <c r="O7">
        <v>7.8099999999999998E-6</v>
      </c>
      <c r="P7">
        <v>6.4700000000000001E-7</v>
      </c>
      <c r="Q7">
        <v>-4.9099999999999997E-15</v>
      </c>
      <c r="R7">
        <v>-1.16E-8</v>
      </c>
      <c r="S7">
        <v>4.9903577268908996E-7</v>
      </c>
      <c r="T7">
        <v>1.27241471678102E-6</v>
      </c>
      <c r="U7">
        <v>9.5768129916309893E-7</v>
      </c>
      <c r="V7">
        <v>-9.5977703770522998E-8</v>
      </c>
      <c r="W7">
        <v>3.0229572219656802E-7</v>
      </c>
      <c r="X7">
        <v>-8.6741461505595402E-6</v>
      </c>
      <c r="Y7">
        <v>8.5758957718685604E-7</v>
      </c>
      <c r="Z7">
        <v>1.28626338426424E-8</v>
      </c>
      <c r="AA7">
        <v>1.27581056341814E-5</v>
      </c>
      <c r="AB7">
        <v>1.06832816268494E-5</v>
      </c>
      <c r="AC7">
        <v>5.3954580775326599E-5</v>
      </c>
      <c r="AD7">
        <v>2.9665022183254001E-7</v>
      </c>
      <c r="AE7">
        <v>1.18449318785486E-4</v>
      </c>
      <c r="AF7">
        <f t="shared" si="0"/>
        <v>2.7766200290629513E-4</v>
      </c>
    </row>
    <row r="8" spans="1:32" x14ac:dyDescent="0.3">
      <c r="A8" t="str">
        <v>Sous-ensemble</v>
      </c>
      <c r="B8" t="str">
        <v>Ceinture de sécurité</v>
      </c>
      <c r="C8" t="str">
        <v>Transport</v>
      </c>
      <c r="D8">
        <v>3.8699999999999997E-4</v>
      </c>
      <c r="E8">
        <v>6.6399999999999999E-4</v>
      </c>
      <c r="F8">
        <v>8.1500000000000003E-7</v>
      </c>
      <c r="G8">
        <v>6.6299999999999996E-4</v>
      </c>
      <c r="H8">
        <v>1.3799999999999999E-8</v>
      </c>
      <c r="I8">
        <v>1.24E-3</v>
      </c>
      <c r="J8">
        <v>1.2099999999999999E-3</v>
      </c>
      <c r="K8">
        <v>1.9199999999999999E-5</v>
      </c>
      <c r="L8">
        <v>9.8200000000000008E-6</v>
      </c>
      <c r="M8">
        <v>5.4099999999999999E-7</v>
      </c>
      <c r="N8">
        <v>4.9700000000000005E-4</v>
      </c>
      <c r="O8">
        <v>6.02E-4</v>
      </c>
      <c r="P8">
        <v>5.8E-5</v>
      </c>
      <c r="Q8">
        <v>6.5399999999999998E-16</v>
      </c>
      <c r="R8">
        <v>5.6799999999999998E-5</v>
      </c>
      <c r="S8">
        <v>1.1609059438176901E-6</v>
      </c>
      <c r="T8">
        <v>1.9343786951919799E-4</v>
      </c>
      <c r="U8">
        <v>5.5397283631046199E-5</v>
      </c>
      <c r="V8">
        <v>1.3742390678673399E-4</v>
      </c>
      <c r="W8">
        <v>2.0897440900883901E-6</v>
      </c>
      <c r="X8">
        <v>1.9118921929962699E-6</v>
      </c>
      <c r="Y8">
        <v>1.8006831262923001E-7</v>
      </c>
      <c r="Z8">
        <v>7.9186774434187393E-15</v>
      </c>
      <c r="AA8">
        <v>1.1516564257485099E-4</v>
      </c>
      <c r="AB8">
        <v>6.81512958359641E-4</v>
      </c>
      <c r="AC8">
        <v>1.11807277474144E-3</v>
      </c>
      <c r="AD8">
        <v>2.7893078557520199E-6</v>
      </c>
      <c r="AE8">
        <v>6.1134889803356305E-7</v>
      </c>
      <c r="AF8">
        <f t="shared" si="0"/>
        <v>7.7179435029147998E-3</v>
      </c>
    </row>
    <row r="9" spans="1:32" x14ac:dyDescent="0.3">
      <c r="A9" t="str">
        <v>Sous-ensemble</v>
      </c>
      <c r="B9" t="str">
        <v>Commande actionnement ECU</v>
      </c>
      <c r="C9" t="str">
        <v>Commande actionnement ECU</v>
      </c>
      <c r="D9">
        <v>3.8300000000000001E-2</v>
      </c>
      <c r="E9">
        <v>3.5900000000000001E-2</v>
      </c>
      <c r="F9">
        <v>0</v>
      </c>
      <c r="G9">
        <v>0</v>
      </c>
      <c r="H9">
        <v>0</v>
      </c>
      <c r="I9">
        <v>0.96199999999999997</v>
      </c>
      <c r="J9">
        <v>0</v>
      </c>
      <c r="K9">
        <v>0</v>
      </c>
      <c r="L9">
        <v>0</v>
      </c>
      <c r="M9">
        <v>0.376</v>
      </c>
      <c r="N9">
        <v>2.53E-2</v>
      </c>
      <c r="O9">
        <v>3.0499999999999999E-2</v>
      </c>
      <c r="P9">
        <v>2.5600000000000001E-2</v>
      </c>
      <c r="Q9">
        <v>0</v>
      </c>
      <c r="R9">
        <v>0</v>
      </c>
      <c r="S9">
        <v>0</v>
      </c>
      <c r="T9">
        <v>6.5536668933669606E-2</v>
      </c>
      <c r="U9">
        <v>0</v>
      </c>
      <c r="V9">
        <v>0</v>
      </c>
      <c r="W9">
        <v>0</v>
      </c>
      <c r="X9">
        <v>9.2205547132198501E-3</v>
      </c>
      <c r="Y9">
        <v>2.1348042759044301E-3</v>
      </c>
      <c r="Z9">
        <v>6.9463925127403005E-4</v>
      </c>
      <c r="AA9">
        <v>2.5006427033180699E-2</v>
      </c>
      <c r="AB9">
        <v>3.2707987656354701E-2</v>
      </c>
      <c r="AC9">
        <v>5.78648393111715E-2</v>
      </c>
      <c r="AD9">
        <v>3.0770809691421599</v>
      </c>
      <c r="AE9">
        <v>1.1469842413861E-2</v>
      </c>
      <c r="AF9">
        <f t="shared" si="0"/>
        <v>4.7753167327307962</v>
      </c>
    </row>
    <row r="10" spans="1:32" x14ac:dyDescent="0.3">
      <c r="A10" t="str">
        <v>Sous-ensemble</v>
      </c>
      <c r="B10" t="str">
        <v>Commande actionnement ECU</v>
      </c>
      <c r="C10" t="str">
        <v>packaging</v>
      </c>
      <c r="D10">
        <v>8.7499999999999999E-5</v>
      </c>
      <c r="E10">
        <v>1.15E-4</v>
      </c>
      <c r="F10">
        <v>1.34E-5</v>
      </c>
      <c r="G10">
        <v>2.6800000000000001E-5</v>
      </c>
      <c r="H10">
        <v>-1.9099999999999998E-9</v>
      </c>
      <c r="I10">
        <v>1.56E-4</v>
      </c>
      <c r="J10">
        <v>7.7400000000000002E-7</v>
      </c>
      <c r="K10">
        <v>-1.2099999999999999E-5</v>
      </c>
      <c r="L10">
        <v>3.0800000000000001E-7</v>
      </c>
      <c r="M10">
        <v>1.66E-4</v>
      </c>
      <c r="N10">
        <v>4.9799999999999998E-5</v>
      </c>
      <c r="O10">
        <v>5.2500000000000002E-5</v>
      </c>
      <c r="P10">
        <v>1.4800000000000001E-5</v>
      </c>
      <c r="Q10">
        <v>-1.3699999999999999E-14</v>
      </c>
      <c r="R10">
        <v>1.7499999999999999E-7</v>
      </c>
      <c r="S10">
        <v>2.6810178756876102E-7</v>
      </c>
      <c r="T10">
        <v>3.3567391568495299E-5</v>
      </c>
      <c r="U10">
        <v>1.34949667248316E-6</v>
      </c>
      <c r="V10">
        <v>1.1910595176029599E-6</v>
      </c>
      <c r="W10">
        <v>9.52655846365087E-7</v>
      </c>
      <c r="X10">
        <v>2.6626709838877201E-5</v>
      </c>
      <c r="Y10">
        <v>8.1643720882912206E-5</v>
      </c>
      <c r="Z10">
        <v>1.1576374849208201E-6</v>
      </c>
      <c r="AA10">
        <v>1.3716353755811701E-4</v>
      </c>
      <c r="AB10">
        <v>6.7034887369972501E-5</v>
      </c>
      <c r="AC10">
        <v>1.90601920560635E-4</v>
      </c>
      <c r="AD10">
        <v>9.92718016707429E-6</v>
      </c>
      <c r="AE10">
        <v>1.05816453777867E-2</v>
      </c>
      <c r="AF10">
        <f t="shared" si="0"/>
        <v>1.1804084767028024E-2</v>
      </c>
    </row>
    <row r="11" spans="1:32" x14ac:dyDescent="0.3">
      <c r="A11" t="str">
        <v>Sous-ensemble</v>
      </c>
      <c r="B11" t="str">
        <v>Commande actionnement ECU</v>
      </c>
      <c r="C11" t="str">
        <v>Transport</v>
      </c>
      <c r="D11">
        <v>5.8300000000000001E-6</v>
      </c>
      <c r="E11">
        <v>6.7000000000000002E-6</v>
      </c>
      <c r="F11">
        <v>2E-8</v>
      </c>
      <c r="G11">
        <v>6.6200000000000001E-6</v>
      </c>
      <c r="H11">
        <v>5.47E-8</v>
      </c>
      <c r="I11">
        <v>1.2500000000000001E-5</v>
      </c>
      <c r="J11">
        <v>1.2099999999999999E-5</v>
      </c>
      <c r="K11">
        <v>2.4999999999999999E-7</v>
      </c>
      <c r="L11">
        <v>1.4999999999999999E-7</v>
      </c>
      <c r="M11">
        <v>9.9999999999999995E-8</v>
      </c>
      <c r="N11">
        <v>8.1100000000000003E-6</v>
      </c>
      <c r="O11">
        <v>9.9199999999999999E-6</v>
      </c>
      <c r="P11">
        <v>6.4099999999999998E-7</v>
      </c>
      <c r="Q11">
        <v>1.6600000000000001E-17</v>
      </c>
      <c r="R11">
        <v>6.2399999999999998E-7</v>
      </c>
      <c r="S11">
        <v>1.6901830525675099E-8</v>
      </c>
      <c r="T11">
        <v>2.6156190864209E-6</v>
      </c>
      <c r="U11">
        <v>5.8838401302152499E-7</v>
      </c>
      <c r="V11">
        <v>2.0230079546217499E-6</v>
      </c>
      <c r="W11">
        <v>1.8383243825773001E-8</v>
      </c>
      <c r="X11">
        <v>4.5497387490247299E-8</v>
      </c>
      <c r="Y11">
        <v>3.0246529687999901E-7</v>
      </c>
      <c r="Z11">
        <v>1.9924864963680401E-16</v>
      </c>
      <c r="AA11">
        <v>2.0215137696568799E-6</v>
      </c>
      <c r="AB11">
        <v>7.52939463798724E-6</v>
      </c>
      <c r="AC11">
        <v>1.1094080481319399E-5</v>
      </c>
      <c r="AD11">
        <v>7.5729639429826794E-8</v>
      </c>
      <c r="AE11">
        <v>4.3808636691457898E-8</v>
      </c>
      <c r="AF11">
        <f t="shared" si="0"/>
        <v>8.9994485978086514E-5</v>
      </c>
    </row>
    <row r="12" spans="1:32" x14ac:dyDescent="0.3">
      <c r="A12" t="str">
        <v>IFE</v>
      </c>
      <c r="B12" t="str">
        <v>Ecran</v>
      </c>
      <c r="C12" t="str">
        <v>Ecran</v>
      </c>
      <c r="D12">
        <v>2.3900000000000001E-2</v>
      </c>
      <c r="E12">
        <v>2.1499999999999998E-2</v>
      </c>
      <c r="F12">
        <v>0</v>
      </c>
      <c r="G12">
        <v>0</v>
      </c>
      <c r="H12">
        <v>0</v>
      </c>
      <c r="I12">
        <v>0.13500000000000001</v>
      </c>
      <c r="J12">
        <v>0</v>
      </c>
      <c r="K12">
        <v>0</v>
      </c>
      <c r="L12">
        <v>0</v>
      </c>
      <c r="M12">
        <v>0.13700000000000001</v>
      </c>
      <c r="N12">
        <v>3.7499999999999999E-2</v>
      </c>
      <c r="O12">
        <v>1.5299999999999999E-2</v>
      </c>
      <c r="P12">
        <v>7.9500000000000005E-3</v>
      </c>
      <c r="Q12">
        <v>0</v>
      </c>
      <c r="R12">
        <v>0</v>
      </c>
      <c r="S12">
        <v>0</v>
      </c>
      <c r="T12">
        <v>0.119710414808606</v>
      </c>
      <c r="U12">
        <v>0</v>
      </c>
      <c r="V12">
        <v>0</v>
      </c>
      <c r="W12">
        <v>0</v>
      </c>
      <c r="X12">
        <v>1.0820115374394699E-2</v>
      </c>
      <c r="Y12">
        <v>2.9010161230867302E-4</v>
      </c>
      <c r="Z12">
        <v>1.9877072537563201E-4</v>
      </c>
      <c r="AA12">
        <v>2.0185192604007501E-2</v>
      </c>
      <c r="AB12">
        <v>1.5753711435849901E-2</v>
      </c>
      <c r="AC12">
        <v>3.35564511891129E-2</v>
      </c>
      <c r="AD12">
        <v>0.42302355128642699</v>
      </c>
      <c r="AE12">
        <v>2.7038782400305101</v>
      </c>
      <c r="AF12">
        <f t="shared" si="0"/>
        <v>3.7055665490665923</v>
      </c>
    </row>
    <row r="13" spans="1:32" x14ac:dyDescent="0.3">
      <c r="A13" t="str">
        <v>IFE</v>
      </c>
      <c r="B13" t="str">
        <v>Ecran</v>
      </c>
      <c r="C13" t="str">
        <v>packaging</v>
      </c>
      <c r="D13">
        <v>1.3100000000000001E-4</v>
      </c>
      <c r="E13">
        <v>1.7200000000000001E-4</v>
      </c>
      <c r="F13">
        <v>2.0100000000000001E-5</v>
      </c>
      <c r="G13">
        <v>4.0200000000000001E-5</v>
      </c>
      <c r="H13">
        <v>-2.86E-9</v>
      </c>
      <c r="I13">
        <v>2.34E-4</v>
      </c>
      <c r="J13">
        <v>1.1599999999999999E-6</v>
      </c>
      <c r="K13">
        <v>-1.8099999999999999E-5</v>
      </c>
      <c r="L13">
        <v>4.6199999999999998E-7</v>
      </c>
      <c r="M13">
        <v>2.4899999999999998E-4</v>
      </c>
      <c r="N13">
        <v>7.4599999999999997E-5</v>
      </c>
      <c r="O13">
        <v>7.8700000000000002E-5</v>
      </c>
      <c r="P13">
        <v>2.2200000000000001E-5</v>
      </c>
      <c r="Q13">
        <v>-2.0599999999999999E-14</v>
      </c>
      <c r="R13">
        <v>2.6199999999999999E-7</v>
      </c>
      <c r="S13">
        <v>4.0215268135314198E-7</v>
      </c>
      <c r="T13">
        <v>5.0351087352742999E-5</v>
      </c>
      <c r="U13">
        <v>2.0242450087247398E-6</v>
      </c>
      <c r="V13">
        <v>1.7865892764044401E-6</v>
      </c>
      <c r="W13">
        <v>1.42898376954763E-6</v>
      </c>
      <c r="X13">
        <v>3.9940064758315803E-5</v>
      </c>
      <c r="Y13">
        <v>1.22465581324368E-4</v>
      </c>
      <c r="Z13">
        <v>1.73645622738123E-6</v>
      </c>
      <c r="AA13">
        <v>2.0574530633717499E-4</v>
      </c>
      <c r="AB13">
        <v>1.00552331054959E-4</v>
      </c>
      <c r="AC13">
        <v>2.8590288084095301E-4</v>
      </c>
      <c r="AD13">
        <v>1.48907702506114E-5</v>
      </c>
      <c r="AE13">
        <v>1.5872468066679999E-2</v>
      </c>
      <c r="AF13">
        <f t="shared" si="0"/>
        <v>1.7705275655541936E-2</v>
      </c>
    </row>
    <row r="14" spans="1:32" x14ac:dyDescent="0.3">
      <c r="A14" t="str">
        <v>IFE</v>
      </c>
      <c r="B14" t="str">
        <v>Ecran</v>
      </c>
      <c r="C14" t="str">
        <v>Transport</v>
      </c>
      <c r="D14">
        <v>1.56E-3</v>
      </c>
      <c r="E14">
        <v>2.6700000000000001E-3</v>
      </c>
      <c r="F14">
        <v>3.2799999999999999E-6</v>
      </c>
      <c r="G14">
        <v>2.6700000000000001E-3</v>
      </c>
      <c r="H14">
        <v>5.5700000000000002E-8</v>
      </c>
      <c r="I14">
        <v>4.9899999999999996E-3</v>
      </c>
      <c r="J14">
        <v>4.8700000000000002E-3</v>
      </c>
      <c r="K14">
        <v>7.7399999999999998E-5</v>
      </c>
      <c r="L14">
        <v>3.9499999999999998E-5</v>
      </c>
      <c r="M14">
        <v>2.1799999999999999E-6</v>
      </c>
      <c r="N14">
        <v>2E-3</v>
      </c>
      <c r="O14">
        <v>2.4199999999999998E-3</v>
      </c>
      <c r="P14">
        <v>2.33E-4</v>
      </c>
      <c r="Q14">
        <v>2.6300000000000001E-15</v>
      </c>
      <c r="R14">
        <v>2.2900000000000001E-4</v>
      </c>
      <c r="S14">
        <v>4.6736947732773798E-6</v>
      </c>
      <c r="T14">
        <v>7.78762107766211E-4</v>
      </c>
      <c r="U14">
        <v>2.23024092812161E-4</v>
      </c>
      <c r="V14">
        <v>5.5325532468234199E-4</v>
      </c>
      <c r="W14">
        <v>8.4131070939431705E-6</v>
      </c>
      <c r="X14">
        <v>7.6970926000183897E-6</v>
      </c>
      <c r="Y14">
        <v>7.2493756798291402E-7</v>
      </c>
      <c r="Z14">
        <v>3.18798276257148E-14</v>
      </c>
      <c r="AA14">
        <v>4.63645711032503E-4</v>
      </c>
      <c r="AB14">
        <v>2.74370509374054E-3</v>
      </c>
      <c r="AC14">
        <v>4.5012525874994101E-3</v>
      </c>
      <c r="AD14">
        <v>1.12294829877596E-5</v>
      </c>
      <c r="AE14">
        <v>2.46123138967808E-6</v>
      </c>
      <c r="AF14">
        <f t="shared" si="0"/>
        <v>3.1063260163980335E-2</v>
      </c>
    </row>
    <row r="15" spans="1:32" x14ac:dyDescent="0.3">
      <c r="A15" t="str">
        <v>Sous-ensemble</v>
      </c>
      <c r="B15" t="str">
        <v>lightning</v>
      </c>
      <c r="C15" t="str">
        <v>lightning</v>
      </c>
      <c r="D15">
        <v>2.2599999999999999E-2</v>
      </c>
      <c r="E15">
        <v>2.6599999999999999E-2</v>
      </c>
      <c r="F15">
        <v>0</v>
      </c>
      <c r="G15">
        <v>0</v>
      </c>
      <c r="H15">
        <v>0</v>
      </c>
      <c r="I15">
        <v>0.13700000000000001</v>
      </c>
      <c r="J15">
        <v>0</v>
      </c>
      <c r="K15">
        <v>0</v>
      </c>
      <c r="L15">
        <v>0</v>
      </c>
      <c r="M15">
        <v>7.3800000000000004E-2</v>
      </c>
      <c r="N15">
        <v>1.32E-2</v>
      </c>
      <c r="O15">
        <v>1.43E-2</v>
      </c>
      <c r="P15">
        <v>5.6800000000000002E-3</v>
      </c>
      <c r="Q15">
        <v>0</v>
      </c>
      <c r="R15">
        <v>0</v>
      </c>
      <c r="S15">
        <v>0</v>
      </c>
      <c r="T15">
        <v>1.2581075785171E-2</v>
      </c>
      <c r="U15">
        <v>0</v>
      </c>
      <c r="V15">
        <v>0</v>
      </c>
      <c r="W15">
        <v>0</v>
      </c>
      <c r="X15">
        <v>6.2511745104175198E-3</v>
      </c>
      <c r="Y15">
        <v>1.38530361098631E-3</v>
      </c>
      <c r="Z15">
        <v>4.1707619919046302E-6</v>
      </c>
      <c r="AA15">
        <v>1.81361049873584E-2</v>
      </c>
      <c r="AB15">
        <v>1.6072072066472799E-2</v>
      </c>
      <c r="AC15">
        <v>4.1938992384357499E-2</v>
      </c>
      <c r="AD15">
        <v>9.9349204250042497E-2</v>
      </c>
      <c r="AE15">
        <v>5.7780848058592198E-3</v>
      </c>
      <c r="AF15">
        <f t="shared" si="0"/>
        <v>0.49467618316265716</v>
      </c>
    </row>
    <row r="16" spans="1:32" x14ac:dyDescent="0.3">
      <c r="A16" t="str">
        <v>Sous-ensemble</v>
      </c>
      <c r="B16" t="str">
        <v>lightning</v>
      </c>
      <c r="C16" t="str">
        <v>packaging</v>
      </c>
      <c r="D16">
        <v>8.7499999999999999E-5</v>
      </c>
      <c r="E16">
        <v>1.15E-4</v>
      </c>
      <c r="F16">
        <v>1.34E-5</v>
      </c>
      <c r="G16">
        <v>2.6800000000000001E-5</v>
      </c>
      <c r="H16">
        <v>-1.9099999999999998E-9</v>
      </c>
      <c r="I16">
        <v>1.56E-4</v>
      </c>
      <c r="J16">
        <v>7.7400000000000002E-7</v>
      </c>
      <c r="K16">
        <v>-1.2099999999999999E-5</v>
      </c>
      <c r="L16">
        <v>3.0800000000000001E-7</v>
      </c>
      <c r="M16">
        <v>1.66E-4</v>
      </c>
      <c r="N16">
        <v>4.9799999999999998E-5</v>
      </c>
      <c r="O16">
        <v>5.2500000000000002E-5</v>
      </c>
      <c r="P16">
        <v>1.4800000000000001E-5</v>
      </c>
      <c r="Q16">
        <v>-1.3699999999999999E-14</v>
      </c>
      <c r="R16">
        <v>1.7499999999999999E-7</v>
      </c>
      <c r="S16">
        <v>2.6810178756876102E-7</v>
      </c>
      <c r="T16">
        <v>3.3567391568495299E-5</v>
      </c>
      <c r="U16">
        <v>1.34949667248316E-6</v>
      </c>
      <c r="V16">
        <v>1.1910595176029599E-6</v>
      </c>
      <c r="W16">
        <v>9.52655846365087E-7</v>
      </c>
      <c r="X16">
        <v>2.6626709838877201E-5</v>
      </c>
      <c r="Y16">
        <v>8.1643720882912206E-5</v>
      </c>
      <c r="Z16">
        <v>1.1576374849208201E-6</v>
      </c>
      <c r="AA16">
        <v>1.3716353755811701E-4</v>
      </c>
      <c r="AB16">
        <v>6.7034887369972501E-5</v>
      </c>
      <c r="AC16">
        <v>1.90601920560635E-4</v>
      </c>
      <c r="AD16">
        <v>9.92718016707429E-6</v>
      </c>
      <c r="AE16">
        <v>1.05816453777867E-2</v>
      </c>
      <c r="AF16">
        <f t="shared" si="0"/>
        <v>1.1804084767028024E-2</v>
      </c>
    </row>
    <row r="17" spans="1:32" x14ac:dyDescent="0.3">
      <c r="A17" t="str">
        <v>Sous-ensemble</v>
      </c>
      <c r="B17" t="str">
        <v>lightning</v>
      </c>
      <c r="C17" t="str">
        <v>Transport</v>
      </c>
      <c r="D17">
        <v>6.0000000000000002E-6</v>
      </c>
      <c r="E17">
        <v>6.8900000000000001E-6</v>
      </c>
      <c r="F17">
        <v>2.0599999999999999E-8</v>
      </c>
      <c r="G17">
        <v>6.81E-6</v>
      </c>
      <c r="H17">
        <v>5.62E-8</v>
      </c>
      <c r="I17">
        <v>1.29E-5</v>
      </c>
      <c r="J17">
        <v>1.2500000000000001E-5</v>
      </c>
      <c r="K17">
        <v>2.5699999999999999E-7</v>
      </c>
      <c r="L17">
        <v>1.54E-7</v>
      </c>
      <c r="M17">
        <v>1.03E-7</v>
      </c>
      <c r="N17">
        <v>8.3399999999999998E-6</v>
      </c>
      <c r="O17">
        <v>1.0200000000000001E-5</v>
      </c>
      <c r="P17">
        <v>6.5899999999999996E-7</v>
      </c>
      <c r="Q17">
        <v>1.71E-17</v>
      </c>
      <c r="R17">
        <v>6.4199999999999995E-7</v>
      </c>
      <c r="S17">
        <v>1.73847399692658E-8</v>
      </c>
      <c r="T17">
        <v>2.6903510603186399E-6</v>
      </c>
      <c r="U17">
        <v>6.0519498482213998E-7</v>
      </c>
      <c r="V17">
        <v>2.0808081818966602E-6</v>
      </c>
      <c r="W17">
        <v>1.8908479363652301E-8</v>
      </c>
      <c r="X17">
        <v>4.6797312847111502E-8</v>
      </c>
      <c r="Y17">
        <v>3.1110716250514399E-7</v>
      </c>
      <c r="Z17">
        <v>2.0494146819785499E-16</v>
      </c>
      <c r="AA17">
        <v>2.0792713059327901E-6</v>
      </c>
      <c r="AB17">
        <v>7.7445201990725901E-6</v>
      </c>
      <c r="AC17">
        <v>1.1411054209357101E-5</v>
      </c>
      <c r="AD17">
        <v>7.7893343413536197E-8</v>
      </c>
      <c r="AE17">
        <v>4.5060312025502297E-8</v>
      </c>
      <c r="AF17">
        <f t="shared" si="0"/>
        <v>9.266015129174615E-5</v>
      </c>
    </row>
    <row r="18" spans="1:32" x14ac:dyDescent="0.3">
      <c r="A18" t="str">
        <v>Sous-ensemble</v>
      </c>
      <c r="B18" t="str">
        <v>Padding</v>
      </c>
      <c r="C18" t="str">
        <v>packaging</v>
      </c>
      <c r="D18">
        <v>7.6600000000000005E-5</v>
      </c>
      <c r="E18">
        <v>9.1199999999999994E-5</v>
      </c>
      <c r="F18">
        <v>1.3699999999999999E-5</v>
      </c>
      <c r="G18">
        <v>-5.1699999999999996E-6</v>
      </c>
      <c r="H18">
        <v>-6.5600000000000001E-10</v>
      </c>
      <c r="I18">
        <v>1.7899999999999999E-4</v>
      </c>
      <c r="J18">
        <v>1.31E-6</v>
      </c>
      <c r="K18">
        <v>-8.0399999999999993E-6</v>
      </c>
      <c r="L18">
        <v>2.2399999999999999E-7</v>
      </c>
      <c r="M18">
        <v>1.84E-4</v>
      </c>
      <c r="N18">
        <v>4.7899999999999999E-5</v>
      </c>
      <c r="O18">
        <v>4.9299999999999999E-5</v>
      </c>
      <c r="P18">
        <v>1.59E-5</v>
      </c>
      <c r="Q18">
        <v>-9.32E-15</v>
      </c>
      <c r="R18">
        <v>2.11E-7</v>
      </c>
      <c r="S18">
        <v>-3.2218020484650502E-7</v>
      </c>
      <c r="T18">
        <v>3.6172797118581E-5</v>
      </c>
      <c r="U18">
        <v>3.2108213258968202E-7</v>
      </c>
      <c r="V18">
        <v>1.45991408701649E-6</v>
      </c>
      <c r="W18">
        <v>6.93868174415013E-7</v>
      </c>
      <c r="X18">
        <v>4.07977312569363E-5</v>
      </c>
      <c r="Y18">
        <v>9.0777199021792605E-5</v>
      </c>
      <c r="Z18">
        <v>1.2862638782326199E-6</v>
      </c>
      <c r="AA18">
        <v>1.3836134771015501E-4</v>
      </c>
      <c r="AB18">
        <v>6.2060146257657405E-5</v>
      </c>
      <c r="AC18">
        <v>1.46983934661557E-4</v>
      </c>
      <c r="AD18">
        <v>1.0797264910667901E-5</v>
      </c>
      <c r="AE18">
        <v>1.17562894015281E-2</v>
      </c>
      <c r="AF18">
        <f t="shared" si="0"/>
        <v>1.2931813114523535E-2</v>
      </c>
    </row>
    <row r="19" spans="1:32" x14ac:dyDescent="0.3">
      <c r="A19" t="str">
        <v>Sous-ensemble</v>
      </c>
      <c r="B19" t="str">
        <v>Padding</v>
      </c>
      <c r="C19" t="str">
        <v>Padding</v>
      </c>
      <c r="D19">
        <v>5.1400000000000003E-4</v>
      </c>
      <c r="E19">
        <v>4.9100000000000001E-4</v>
      </c>
      <c r="F19">
        <v>0</v>
      </c>
      <c r="G19">
        <v>4.9100000000000001E-4</v>
      </c>
      <c r="H19">
        <v>0</v>
      </c>
      <c r="I19">
        <v>4.4200000000000001E-4</v>
      </c>
      <c r="J19">
        <v>4.1800000000000002E-4</v>
      </c>
      <c r="K19">
        <v>1.6200000000000001E-5</v>
      </c>
      <c r="L19">
        <v>7.7999999999999999E-6</v>
      </c>
      <c r="M19">
        <v>2.7399999999999999E-5</v>
      </c>
      <c r="N19">
        <v>1.8900000000000001E-4</v>
      </c>
      <c r="O19">
        <v>2.2499999999999999E-4</v>
      </c>
      <c r="P19">
        <v>7.1900000000000006E-2</v>
      </c>
      <c r="Q19">
        <v>0</v>
      </c>
      <c r="R19">
        <v>2.7500000000000001E-5</v>
      </c>
      <c r="S19">
        <v>7.18924014753132E-2</v>
      </c>
      <c r="T19">
        <v>3.5106170665120701E-4</v>
      </c>
      <c r="U19">
        <v>1.2704331650727099E-4</v>
      </c>
      <c r="V19">
        <v>2.2326916431040101E-4</v>
      </c>
      <c r="W19">
        <v>7.5233448663973096E-6</v>
      </c>
      <c r="X19">
        <v>0</v>
      </c>
      <c r="Y19">
        <v>0</v>
      </c>
      <c r="Z19">
        <v>0</v>
      </c>
      <c r="AA19">
        <v>4.5726354748114897E-4</v>
      </c>
      <c r="AB19">
        <v>2.78458716433917E-4</v>
      </c>
      <c r="AC19">
        <v>1.6015008928222201E-3</v>
      </c>
      <c r="AD19">
        <v>6.6086415416599898E-6</v>
      </c>
      <c r="AE19">
        <v>4.45171575565791E-4</v>
      </c>
      <c r="AF19">
        <f t="shared" si="0"/>
        <v>0.1501392023814932</v>
      </c>
    </row>
    <row r="20" spans="1:32" x14ac:dyDescent="0.3">
      <c r="A20" t="str">
        <v>Sous-ensemble</v>
      </c>
      <c r="B20" t="str">
        <v>Padding</v>
      </c>
      <c r="C20" t="str">
        <v>Transport</v>
      </c>
      <c r="D20">
        <v>2.8500000000000002E-5</v>
      </c>
      <c r="E20">
        <v>3.2799999999999998E-5</v>
      </c>
      <c r="F20">
        <v>9.8000000000000004E-8</v>
      </c>
      <c r="G20">
        <v>3.2400000000000001E-5</v>
      </c>
      <c r="H20">
        <v>2.67E-7</v>
      </c>
      <c r="I20">
        <v>6.1299999999999999E-5</v>
      </c>
      <c r="J20">
        <v>5.94E-5</v>
      </c>
      <c r="K20">
        <v>1.22E-6</v>
      </c>
      <c r="L20">
        <v>7.3099999999999997E-7</v>
      </c>
      <c r="M20">
        <v>4.8999999999999997E-7</v>
      </c>
      <c r="N20">
        <v>3.96E-5</v>
      </c>
      <c r="O20">
        <v>4.85E-5</v>
      </c>
      <c r="P20">
        <v>3.1300000000000001E-6</v>
      </c>
      <c r="Q20">
        <v>8.1299999999999997E-17</v>
      </c>
      <c r="R20">
        <v>3.05E-6</v>
      </c>
      <c r="S20">
        <v>8.2649207292416695E-8</v>
      </c>
      <c r="T20">
        <v>1.27902621993051E-5</v>
      </c>
      <c r="U20">
        <v>2.8771719244189802E-6</v>
      </c>
      <c r="V20">
        <v>9.8924198501311895E-6</v>
      </c>
      <c r="W20">
        <v>8.9893253121627196E-8</v>
      </c>
      <c r="X20">
        <v>2.2248022214118499E-7</v>
      </c>
      <c r="Y20">
        <v>1.4790419879446301E-6</v>
      </c>
      <c r="Z20">
        <v>9.74317126275208E-16</v>
      </c>
      <c r="AA20">
        <v>9.8851133514234092E-6</v>
      </c>
      <c r="AB20">
        <v>3.6818408353823201E-5</v>
      </c>
      <c r="AC20">
        <v>5.42495652187768E-5</v>
      </c>
      <c r="AD20">
        <v>3.7031460337434299E-7</v>
      </c>
      <c r="AE20">
        <v>2.14222305069884E-7</v>
      </c>
      <c r="AF20">
        <f t="shared" si="0"/>
        <v>4.4045754247787832E-4</v>
      </c>
    </row>
    <row r="21" spans="1:32" x14ac:dyDescent="0.3">
      <c r="A21" t="str">
        <v>IFE</v>
      </c>
      <c r="B21" t="str">
        <v>Powerbox</v>
      </c>
      <c r="C21" t="str">
        <v>packaging</v>
      </c>
      <c r="D21">
        <v>8.7499999999999999E-5</v>
      </c>
      <c r="E21">
        <v>1.15E-4</v>
      </c>
      <c r="F21">
        <v>1.34E-5</v>
      </c>
      <c r="G21">
        <v>2.6800000000000001E-5</v>
      </c>
      <c r="H21">
        <v>-1.9099999999999998E-9</v>
      </c>
      <c r="I21">
        <v>1.56E-4</v>
      </c>
      <c r="J21">
        <v>7.7400000000000002E-7</v>
      </c>
      <c r="K21">
        <v>-1.2099999999999999E-5</v>
      </c>
      <c r="L21">
        <v>3.0800000000000001E-7</v>
      </c>
      <c r="M21">
        <v>1.66E-4</v>
      </c>
      <c r="N21">
        <v>4.9799999999999998E-5</v>
      </c>
      <c r="O21">
        <v>5.2500000000000002E-5</v>
      </c>
      <c r="P21">
        <v>1.4800000000000001E-5</v>
      </c>
      <c r="Q21">
        <v>-1.3699999999999999E-14</v>
      </c>
      <c r="R21">
        <v>1.7499999999999999E-7</v>
      </c>
      <c r="S21">
        <v>2.6810178756876102E-7</v>
      </c>
      <c r="T21">
        <v>3.3567391568495299E-5</v>
      </c>
      <c r="U21">
        <v>1.34949667248316E-6</v>
      </c>
      <c r="V21">
        <v>1.1910595176029599E-6</v>
      </c>
      <c r="W21">
        <v>9.52655846365087E-7</v>
      </c>
      <c r="X21">
        <v>2.6626709838877201E-5</v>
      </c>
      <c r="Y21">
        <v>8.1643720882912206E-5</v>
      </c>
      <c r="Z21">
        <v>1.1576374849208201E-6</v>
      </c>
      <c r="AA21">
        <v>1.3716353755811701E-4</v>
      </c>
      <c r="AB21">
        <v>6.7034887369972501E-5</v>
      </c>
      <c r="AC21">
        <v>1.90601920560635E-4</v>
      </c>
      <c r="AD21">
        <v>9.92718016707429E-6</v>
      </c>
      <c r="AE21">
        <v>1.05816453777867E-2</v>
      </c>
      <c r="AF21">
        <f t="shared" si="0"/>
        <v>1.1804084767028024E-2</v>
      </c>
    </row>
    <row r="22" spans="1:32" x14ac:dyDescent="0.3">
      <c r="A22" t="str">
        <v>IFE</v>
      </c>
      <c r="B22" t="str">
        <v>Powerbox</v>
      </c>
      <c r="C22" t="str">
        <v>powerbox</v>
      </c>
      <c r="D22">
        <v>3.0500000000000002E-3</v>
      </c>
      <c r="E22">
        <v>2.7000000000000001E-3</v>
      </c>
      <c r="F22">
        <v>0</v>
      </c>
      <c r="G22">
        <v>0</v>
      </c>
      <c r="H22">
        <v>0</v>
      </c>
      <c r="I22">
        <v>1.92</v>
      </c>
      <c r="J22">
        <v>0</v>
      </c>
      <c r="K22">
        <v>0</v>
      </c>
      <c r="L22">
        <v>0</v>
      </c>
      <c r="M22">
        <v>1.7299999999999999E-2</v>
      </c>
      <c r="N22">
        <v>1.1999999999999999E-3</v>
      </c>
      <c r="O22">
        <v>1.32E-3</v>
      </c>
      <c r="P22">
        <v>1.24E-3</v>
      </c>
      <c r="Q22">
        <v>0</v>
      </c>
      <c r="R22">
        <v>0</v>
      </c>
      <c r="S22">
        <v>0</v>
      </c>
      <c r="T22">
        <v>3.47053348970454E-3</v>
      </c>
      <c r="U22">
        <v>0</v>
      </c>
      <c r="V22">
        <v>0</v>
      </c>
      <c r="W22">
        <v>0</v>
      </c>
      <c r="X22">
        <v>2.4106939362307398E-3</v>
      </c>
      <c r="Y22">
        <v>4.2150568957691197E-5</v>
      </c>
      <c r="Z22">
        <v>3.1647410873130302E-5</v>
      </c>
      <c r="AA22">
        <v>1.60492772078026E-3</v>
      </c>
      <c r="AB22">
        <v>2.6999860806286901E-3</v>
      </c>
      <c r="AC22">
        <v>5.4880221179947801E-3</v>
      </c>
      <c r="AD22">
        <v>8.95120222412331E-2</v>
      </c>
      <c r="AE22">
        <v>0.588153751768271</v>
      </c>
      <c r="AF22">
        <f t="shared" si="0"/>
        <v>2.6402237353346734</v>
      </c>
    </row>
    <row r="23" spans="1:32" x14ac:dyDescent="0.3">
      <c r="A23" t="str">
        <v>IFE</v>
      </c>
      <c r="B23" t="str">
        <v>Powerbox</v>
      </c>
      <c r="C23" t="str">
        <v>Transport</v>
      </c>
      <c r="D23">
        <v>1E-3</v>
      </c>
      <c r="E23">
        <v>1.72E-3</v>
      </c>
      <c r="F23">
        <v>2.1100000000000001E-6</v>
      </c>
      <c r="G23">
        <v>1.72E-3</v>
      </c>
      <c r="H23">
        <v>3.5899999999999997E-8</v>
      </c>
      <c r="I23">
        <v>3.2100000000000002E-3</v>
      </c>
      <c r="J23">
        <v>3.14E-3</v>
      </c>
      <c r="K23">
        <v>4.99E-5</v>
      </c>
      <c r="L23">
        <v>2.55E-5</v>
      </c>
      <c r="M23">
        <v>1.3999999999999999E-6</v>
      </c>
      <c r="N23">
        <v>1.2899999999999999E-3</v>
      </c>
      <c r="O23">
        <v>1.56E-3</v>
      </c>
      <c r="P23">
        <v>1.4999999999999999E-4</v>
      </c>
      <c r="Q23">
        <v>1.7E-15</v>
      </c>
      <c r="R23">
        <v>1.47E-4</v>
      </c>
      <c r="S23">
        <v>3.0129543406893901E-6</v>
      </c>
      <c r="T23">
        <v>5.0203849133974396E-4</v>
      </c>
      <c r="U23">
        <v>1.4377520165817501E-4</v>
      </c>
      <c r="V23">
        <v>3.5666279311651701E-4</v>
      </c>
      <c r="W23">
        <v>5.4236121028514503E-6</v>
      </c>
      <c r="X23">
        <v>4.9620246261077801E-6</v>
      </c>
      <c r="Y23">
        <v>4.6733984527005599E-7</v>
      </c>
      <c r="Z23">
        <v>2.0551719717454101E-14</v>
      </c>
      <c r="AA23">
        <v>2.9889486270790502E-4</v>
      </c>
      <c r="AB23">
        <v>1.76876295367492E-3</v>
      </c>
      <c r="AC23">
        <v>2.9017873823487701E-3</v>
      </c>
      <c r="AD23">
        <v>7.2392231741616898E-6</v>
      </c>
      <c r="AE23">
        <v>1.58666283501662E-6</v>
      </c>
      <c r="AF23">
        <f t="shared" si="0"/>
        <v>2.0010559401792381E-2</v>
      </c>
    </row>
    <row r="24" spans="1:32" x14ac:dyDescent="0.3">
      <c r="A24" t="str">
        <v>Sous-ensemble</v>
      </c>
      <c r="B24" t="str">
        <v>Remote extender unit</v>
      </c>
      <c r="C24" t="str">
        <v>packaging</v>
      </c>
      <c r="D24">
        <v>8.7499999999999999E-5</v>
      </c>
      <c r="E24">
        <v>1.15E-4</v>
      </c>
      <c r="F24">
        <v>1.34E-5</v>
      </c>
      <c r="G24">
        <v>2.6800000000000001E-5</v>
      </c>
      <c r="H24">
        <v>-1.9099999999999998E-9</v>
      </c>
      <c r="I24">
        <v>1.56E-4</v>
      </c>
      <c r="J24">
        <v>7.7400000000000002E-7</v>
      </c>
      <c r="K24">
        <v>-1.2099999999999999E-5</v>
      </c>
      <c r="L24">
        <v>3.0800000000000001E-7</v>
      </c>
      <c r="M24">
        <v>1.66E-4</v>
      </c>
      <c r="N24">
        <v>4.9799999999999998E-5</v>
      </c>
      <c r="O24">
        <v>5.2500000000000002E-5</v>
      </c>
      <c r="P24">
        <v>1.4800000000000001E-5</v>
      </c>
      <c r="Q24">
        <v>-1.3699999999999999E-14</v>
      </c>
      <c r="R24">
        <v>1.7499999999999999E-7</v>
      </c>
      <c r="S24">
        <v>2.6810178756876102E-7</v>
      </c>
      <c r="T24">
        <v>3.3567391568495299E-5</v>
      </c>
      <c r="U24">
        <v>1.34949667248316E-6</v>
      </c>
      <c r="V24">
        <v>1.1910595176029599E-6</v>
      </c>
      <c r="W24">
        <v>9.52655846365087E-7</v>
      </c>
      <c r="X24">
        <v>2.6626709838877201E-5</v>
      </c>
      <c r="Y24">
        <v>8.1643720882912206E-5</v>
      </c>
      <c r="Z24">
        <v>1.1576374849208201E-6</v>
      </c>
      <c r="AA24">
        <v>1.3716353755811701E-4</v>
      </c>
      <c r="AB24">
        <v>6.7034887369972501E-5</v>
      </c>
      <c r="AC24">
        <v>1.90601920560635E-4</v>
      </c>
      <c r="AD24">
        <v>9.92718016707429E-6</v>
      </c>
      <c r="AE24">
        <v>1.05816453777867E-2</v>
      </c>
      <c r="AF24">
        <f t="shared" si="0"/>
        <v>1.1804084767028024E-2</v>
      </c>
    </row>
    <row r="25" spans="1:32" x14ac:dyDescent="0.3">
      <c r="A25" t="str">
        <v>Sous-ensemble</v>
      </c>
      <c r="B25" t="str">
        <v>Remote extender unit</v>
      </c>
      <c r="C25" t="str">
        <v>télécommande</v>
      </c>
      <c r="D25">
        <v>5.6800000000000002E-3</v>
      </c>
      <c r="E25">
        <v>5.4000000000000003E-3</v>
      </c>
      <c r="F25">
        <v>0</v>
      </c>
      <c r="G25">
        <v>0</v>
      </c>
      <c r="H25">
        <v>0</v>
      </c>
      <c r="I25">
        <v>0.14899999999999999</v>
      </c>
      <c r="J25">
        <v>0</v>
      </c>
      <c r="K25">
        <v>0</v>
      </c>
      <c r="L25">
        <v>0</v>
      </c>
      <c r="M25">
        <v>5.79E-2</v>
      </c>
      <c r="N25">
        <v>3.8300000000000001E-3</v>
      </c>
      <c r="O25">
        <v>4.6299999999999996E-3</v>
      </c>
      <c r="P25">
        <v>3.8700000000000002E-3</v>
      </c>
      <c r="Q25">
        <v>0</v>
      </c>
      <c r="R25">
        <v>0</v>
      </c>
      <c r="S25">
        <v>0</v>
      </c>
      <c r="T25">
        <v>1.00437946326746E-2</v>
      </c>
      <c r="U25">
        <v>0</v>
      </c>
      <c r="V25">
        <v>0</v>
      </c>
      <c r="W25">
        <v>0</v>
      </c>
      <c r="X25">
        <v>1.41280381048417E-3</v>
      </c>
      <c r="Y25">
        <v>3.2814889831824802E-4</v>
      </c>
      <c r="Z25">
        <v>1.07297588206641E-4</v>
      </c>
      <c r="AA25">
        <v>3.7382580321738699E-3</v>
      </c>
      <c r="AB25">
        <v>4.9490019941003799E-3</v>
      </c>
      <c r="AC25">
        <v>8.7985054495836098E-3</v>
      </c>
      <c r="AD25">
        <v>0.47861098111254602</v>
      </c>
      <c r="AE25">
        <v>1.7687757903191699E-3</v>
      </c>
      <c r="AF25">
        <f t="shared" si="0"/>
        <v>0.74006756730840673</v>
      </c>
    </row>
    <row r="26" spans="1:32" x14ac:dyDescent="0.3">
      <c r="A26" t="str">
        <v>Sous-ensemble</v>
      </c>
      <c r="B26" t="str">
        <v>Remote extender unit</v>
      </c>
      <c r="C26" t="str">
        <v>Transport</v>
      </c>
      <c r="D26">
        <v>3.5700000000000001E-6</v>
      </c>
      <c r="E26">
        <v>4.0999999999999997E-6</v>
      </c>
      <c r="F26">
        <v>1.22E-8</v>
      </c>
      <c r="G26">
        <v>4.0500000000000002E-6</v>
      </c>
      <c r="H26">
        <v>3.3400000000000001E-8</v>
      </c>
      <c r="I26">
        <v>7.6699999999999994E-6</v>
      </c>
      <c r="J26">
        <v>7.4200000000000001E-6</v>
      </c>
      <c r="K26">
        <v>1.5300000000000001E-7</v>
      </c>
      <c r="L26">
        <v>9.1399999999999998E-8</v>
      </c>
      <c r="M26">
        <v>6.1200000000000005E-8</v>
      </c>
      <c r="N26">
        <v>4.9599999999999999E-6</v>
      </c>
      <c r="O26">
        <v>6.0599999999999996E-6</v>
      </c>
      <c r="P26">
        <v>3.9200000000000002E-7</v>
      </c>
      <c r="Q26">
        <v>1.02E-17</v>
      </c>
      <c r="R26">
        <v>3.8099999999999998E-7</v>
      </c>
      <c r="S26">
        <v>1.03342620928413E-8</v>
      </c>
      <c r="T26">
        <v>1.5992642414116299E-6</v>
      </c>
      <c r="U26">
        <v>3.5975479653316098E-7</v>
      </c>
      <c r="V26">
        <v>1.2369248636830201E-6</v>
      </c>
      <c r="W26">
        <v>1.12400405106155E-8</v>
      </c>
      <c r="X26">
        <v>2.7818402636894099E-8</v>
      </c>
      <c r="Y26">
        <v>1.84935924378056E-7</v>
      </c>
      <c r="Z26">
        <v>1.2182631720650299E-16</v>
      </c>
      <c r="AA26">
        <v>1.2360112763044901E-6</v>
      </c>
      <c r="AB26">
        <v>4.6036870072264801E-6</v>
      </c>
      <c r="AC26">
        <v>6.7832377800067203E-6</v>
      </c>
      <c r="AD26">
        <v>4.6303265251379801E-8</v>
      </c>
      <c r="AE26">
        <v>2.6785852148492699E-8</v>
      </c>
      <c r="AF26">
        <f t="shared" si="0"/>
        <v>5.5080497712315807E-5</v>
      </c>
    </row>
    <row r="27" spans="1:32" x14ac:dyDescent="0.3">
      <c r="A27" t="str">
        <v>Sous-ensemble</v>
      </c>
      <c r="B27" t="str">
        <v>SFCU</v>
      </c>
      <c r="C27" t="str">
        <v>packaging</v>
      </c>
      <c r="D27">
        <v>8.7499999999999999E-5</v>
      </c>
      <c r="E27">
        <v>1.15E-4</v>
      </c>
      <c r="F27">
        <v>1.34E-5</v>
      </c>
      <c r="G27">
        <v>2.6800000000000001E-5</v>
      </c>
      <c r="H27">
        <v>-1.9099999999999998E-9</v>
      </c>
      <c r="I27">
        <v>1.56E-4</v>
      </c>
      <c r="J27">
        <v>7.7400000000000002E-7</v>
      </c>
      <c r="K27">
        <v>-1.2099999999999999E-5</v>
      </c>
      <c r="L27">
        <v>3.0800000000000001E-7</v>
      </c>
      <c r="M27">
        <v>1.66E-4</v>
      </c>
      <c r="N27">
        <v>4.9799999999999998E-5</v>
      </c>
      <c r="O27">
        <v>5.2500000000000002E-5</v>
      </c>
      <c r="P27">
        <v>1.4800000000000001E-5</v>
      </c>
      <c r="Q27">
        <v>-1.3699999999999999E-14</v>
      </c>
      <c r="R27">
        <v>1.7499999999999999E-7</v>
      </c>
      <c r="S27">
        <v>2.6810178756876102E-7</v>
      </c>
      <c r="T27">
        <v>3.3567391568495299E-5</v>
      </c>
      <c r="U27">
        <v>1.34949667248316E-6</v>
      </c>
      <c r="V27">
        <v>1.1910595176029599E-6</v>
      </c>
      <c r="W27">
        <v>9.52655846365087E-7</v>
      </c>
      <c r="X27">
        <v>2.6626709838877201E-5</v>
      </c>
      <c r="Y27">
        <v>8.1643720882912206E-5</v>
      </c>
      <c r="Z27">
        <v>1.1576374849208201E-6</v>
      </c>
      <c r="AA27">
        <v>1.3716353755811701E-4</v>
      </c>
      <c r="AB27">
        <v>6.7034887369972501E-5</v>
      </c>
      <c r="AC27">
        <v>1.90601920560635E-4</v>
      </c>
      <c r="AD27">
        <v>9.92718016707429E-6</v>
      </c>
      <c r="AE27">
        <v>1.05816453777867E-2</v>
      </c>
      <c r="AF27">
        <f t="shared" si="0"/>
        <v>1.1804084767028024E-2</v>
      </c>
    </row>
    <row r="28" spans="1:32" x14ac:dyDescent="0.3">
      <c r="A28" t="str">
        <v>Sous-ensemble</v>
      </c>
      <c r="B28" t="str">
        <v>SFCU</v>
      </c>
      <c r="C28" t="str">
        <v>Clavier</v>
      </c>
      <c r="D28">
        <v>6.2799999999999998E-4</v>
      </c>
      <c r="E28">
        <v>6.7699999999999998E-4</v>
      </c>
      <c r="F28">
        <v>0</v>
      </c>
      <c r="G28">
        <v>0</v>
      </c>
      <c r="H28">
        <v>0</v>
      </c>
      <c r="I28">
        <v>0.01</v>
      </c>
      <c r="J28">
        <v>0</v>
      </c>
      <c r="K28">
        <v>0</v>
      </c>
      <c r="L28">
        <v>0</v>
      </c>
      <c r="M28">
        <v>3.8E-3</v>
      </c>
      <c r="N28">
        <v>3.57E-4</v>
      </c>
      <c r="O28">
        <v>4.3100000000000001E-4</v>
      </c>
      <c r="P28">
        <v>6.1399999999999996E-4</v>
      </c>
      <c r="Q28">
        <v>0</v>
      </c>
      <c r="R28">
        <v>0</v>
      </c>
      <c r="S28">
        <v>0</v>
      </c>
      <c r="T28">
        <v>1.143984137412E-3</v>
      </c>
      <c r="U28">
        <v>0</v>
      </c>
      <c r="V28">
        <v>0</v>
      </c>
      <c r="W28">
        <v>0</v>
      </c>
      <c r="X28">
        <v>1.3491189735019901E-4</v>
      </c>
      <c r="Y28">
        <v>6.8468254251479797E-5</v>
      </c>
      <c r="Z28">
        <v>8.0653048776822498E-6</v>
      </c>
      <c r="AA28">
        <v>4.60991639017621E-4</v>
      </c>
      <c r="AB28">
        <v>4.9034490226354001E-4</v>
      </c>
      <c r="AC28">
        <v>1.07141583646945E-3</v>
      </c>
      <c r="AD28">
        <v>2.4012891876024699E-2</v>
      </c>
      <c r="AE28">
        <v>1.4250411214141199E-4</v>
      </c>
      <c r="AF28">
        <f t="shared" si="0"/>
        <v>4.4040577959808078E-2</v>
      </c>
    </row>
    <row r="29" spans="1:32" x14ac:dyDescent="0.3">
      <c r="A29" t="str">
        <v>Sous-ensemble</v>
      </c>
      <c r="B29" t="str">
        <v>SFCU</v>
      </c>
      <c r="C29" t="str">
        <v>Transport</v>
      </c>
      <c r="D29">
        <v>2.8400000000000002E-4</v>
      </c>
      <c r="E29">
        <v>4.8799999999999999E-4</v>
      </c>
      <c r="F29">
        <v>5.99E-7</v>
      </c>
      <c r="G29">
        <v>4.8700000000000002E-4</v>
      </c>
      <c r="H29">
        <v>1.02E-8</v>
      </c>
      <c r="I29">
        <v>9.1E-4</v>
      </c>
      <c r="J29">
        <v>8.8800000000000001E-4</v>
      </c>
      <c r="K29">
        <v>1.4100000000000001E-5</v>
      </c>
      <c r="L29">
        <v>7.2099999999999996E-6</v>
      </c>
      <c r="M29">
        <v>3.9700000000000002E-7</v>
      </c>
      <c r="N29">
        <v>3.6499999999999998E-4</v>
      </c>
      <c r="O29">
        <v>4.4200000000000001E-4</v>
      </c>
      <c r="P29">
        <v>4.2599999999999999E-5</v>
      </c>
      <c r="Q29">
        <v>4.8000000000000001E-16</v>
      </c>
      <c r="R29">
        <v>4.1699999999999997E-5</v>
      </c>
      <c r="S29">
        <v>8.5281577593628604E-7</v>
      </c>
      <c r="T29">
        <v>1.42101836645763E-4</v>
      </c>
      <c r="U29">
        <v>4.0695525486940199E-5</v>
      </c>
      <c r="V29">
        <v>1.00953291110833E-4</v>
      </c>
      <c r="W29">
        <v>1.53515169526677E-6</v>
      </c>
      <c r="X29">
        <v>1.40449950554538E-6</v>
      </c>
      <c r="Y29">
        <v>1.3228039581865501E-7</v>
      </c>
      <c r="Z29">
        <v>5.8171577846265497E-15</v>
      </c>
      <c r="AA29">
        <v>8.4602096626956396E-5</v>
      </c>
      <c r="AB29">
        <v>5.0064779622265704E-4</v>
      </c>
      <c r="AC29">
        <v>8.2135000343671195E-4</v>
      </c>
      <c r="AD29">
        <v>2.0490598364116E-6</v>
      </c>
      <c r="AE29">
        <v>4.4910441506546997E-7</v>
      </c>
      <c r="AF29">
        <f t="shared" si="0"/>
        <v>5.6673896611602031E-3</v>
      </c>
    </row>
    <row r="30" spans="1:32" x14ac:dyDescent="0.3">
      <c r="A30" t="str">
        <v>Sous-ensemble</v>
      </c>
      <c r="B30" t="str">
        <v>Support clamps</v>
      </c>
      <c r="C30" t="str">
        <v>acier</v>
      </c>
      <c r="D30">
        <v>1.8100000000000001E-4</v>
      </c>
      <c r="E30">
        <v>4.6999999999999999E-4</v>
      </c>
      <c r="F30">
        <v>1.91E-7</v>
      </c>
      <c r="G30">
        <v>4.6999999999999999E-4</v>
      </c>
      <c r="H30">
        <v>1.3400000000000001E-7</v>
      </c>
      <c r="I30">
        <v>1.5200000000000001E-4</v>
      </c>
      <c r="J30">
        <v>1.11E-4</v>
      </c>
      <c r="K30">
        <v>3.9400000000000002E-5</v>
      </c>
      <c r="L30">
        <v>7.7599999999999996E-7</v>
      </c>
      <c r="M30">
        <v>9.7699999999999992E-7</v>
      </c>
      <c r="N30">
        <v>1.18E-4</v>
      </c>
      <c r="O30">
        <v>1.37E-4</v>
      </c>
      <c r="P30">
        <v>1.9400000000000001E-5</v>
      </c>
      <c r="Q30">
        <v>1.4900000000000002E-14</v>
      </c>
      <c r="R30">
        <v>6.9399999999999996E-6</v>
      </c>
      <c r="S30">
        <v>1.24751936463149E-5</v>
      </c>
      <c r="T30">
        <v>1.7732203683073201E-4</v>
      </c>
      <c r="U30">
        <v>1.4397745897978999E-4</v>
      </c>
      <c r="V30">
        <v>3.3242265037725698E-5</v>
      </c>
      <c r="W30">
        <v>1.8290418885293499E-6</v>
      </c>
      <c r="X30">
        <v>2.9904269138007799E-5</v>
      </c>
      <c r="Y30">
        <v>2.5006601033972299E-6</v>
      </c>
      <c r="Z30">
        <v>5.9595195119743702E-14</v>
      </c>
      <c r="AA30">
        <v>2.0649402228299201E-4</v>
      </c>
      <c r="AB30">
        <v>1.8996033343193501E-4</v>
      </c>
      <c r="AC30">
        <v>6.4249459105547699E-4</v>
      </c>
      <c r="AD30">
        <v>2.0244531525853701E-5</v>
      </c>
      <c r="AE30">
        <v>1.12279261827481E-4</v>
      </c>
      <c r="AF30">
        <f t="shared" si="0"/>
        <v>3.2795416658227311E-3</v>
      </c>
    </row>
    <row r="31" spans="1:32" x14ac:dyDescent="0.3">
      <c r="A31" t="str">
        <v>Sous-ensemble</v>
      </c>
      <c r="B31" t="str">
        <v>Support clamps</v>
      </c>
      <c r="C31" t="str">
        <v>nylon</v>
      </c>
      <c r="D31">
        <v>3.9300000000000001E-4</v>
      </c>
      <c r="E31">
        <v>1.1299999999999999E-3</v>
      </c>
      <c r="F31">
        <v>1.4999999999999999E-7</v>
      </c>
      <c r="G31">
        <v>1.1299999999999999E-3</v>
      </c>
      <c r="H31">
        <v>3.1E-8</v>
      </c>
      <c r="I31">
        <v>2.2200000000000001E-2</v>
      </c>
      <c r="J31">
        <v>4.2099999999999999E-4</v>
      </c>
      <c r="K31">
        <v>8.1600000000000006E-3</v>
      </c>
      <c r="L31">
        <v>1.3599999999999999E-2</v>
      </c>
      <c r="M31">
        <v>2.0000000000000001E-4</v>
      </c>
      <c r="N31">
        <v>3.4200000000000002E-4</v>
      </c>
      <c r="O31">
        <v>3.3E-4</v>
      </c>
      <c r="P31">
        <v>7.6999999999999996E-4</v>
      </c>
      <c r="Q31">
        <v>1.56E-10</v>
      </c>
      <c r="R31">
        <v>7.4399999999999998E-4</v>
      </c>
      <c r="S31">
        <v>2.6080471649734101E-5</v>
      </c>
      <c r="T31">
        <v>5.6987424260930104E-3</v>
      </c>
      <c r="U31">
        <v>5.0541189857826803E-5</v>
      </c>
      <c r="V31">
        <v>5.4945448793084096E-3</v>
      </c>
      <c r="W31">
        <v>1.5942311350974E-4</v>
      </c>
      <c r="X31">
        <v>5.6434080910387297E-4</v>
      </c>
      <c r="Y31">
        <v>1.38117430965399E-6</v>
      </c>
      <c r="Z31">
        <v>7.0066911668310096E-12</v>
      </c>
      <c r="AA31">
        <v>2.8143065218367701E-4</v>
      </c>
      <c r="AB31">
        <v>4.5978770423174602E-4</v>
      </c>
      <c r="AC31">
        <v>2.6016410125760401E-3</v>
      </c>
      <c r="AD31">
        <v>7.0518206421430694E-5</v>
      </c>
      <c r="AE31">
        <v>5.75349268998138E-3</v>
      </c>
      <c r="AF31">
        <f t="shared" si="0"/>
        <v>7.0582105492233205E-2</v>
      </c>
    </row>
    <row r="32" spans="1:32" x14ac:dyDescent="0.3">
      <c r="A32" t="str">
        <v>Sous-ensemble</v>
      </c>
      <c r="B32" t="str">
        <v>Support clamps</v>
      </c>
      <c r="C32" t="str">
        <v>packaging</v>
      </c>
      <c r="D32">
        <v>3.5000000000000002E-8</v>
      </c>
      <c r="E32">
        <v>4.5900000000000001E-8</v>
      </c>
      <c r="F32">
        <v>5.3599999999999997E-9</v>
      </c>
      <c r="G32">
        <v>1.07E-8</v>
      </c>
      <c r="H32">
        <v>-7.6199999999999998E-13</v>
      </c>
      <c r="I32">
        <v>6.2499999999999997E-8</v>
      </c>
      <c r="J32">
        <v>3.1000000000000002E-10</v>
      </c>
      <c r="K32">
        <v>-4.8300000000000001E-9</v>
      </c>
      <c r="L32">
        <v>1.2299999999999999E-10</v>
      </c>
      <c r="M32">
        <v>6.6399999999999999E-8</v>
      </c>
      <c r="N32">
        <v>1.99E-8</v>
      </c>
      <c r="O32">
        <v>2.0999999999999999E-8</v>
      </c>
      <c r="P32">
        <v>5.93E-9</v>
      </c>
      <c r="Q32">
        <v>-5.5E-18</v>
      </c>
      <c r="R32">
        <v>6.9799999999999994E-11</v>
      </c>
      <c r="S32">
        <v>1.07240715027505E-10</v>
      </c>
      <c r="T32">
        <v>1.3426956627398101E-8</v>
      </c>
      <c r="U32">
        <v>5.3979866899326495E-10</v>
      </c>
      <c r="V32">
        <v>4.7642380704118499E-10</v>
      </c>
      <c r="W32">
        <v>3.8106233854603502E-10</v>
      </c>
      <c r="X32">
        <v>1.06506839355509E-8</v>
      </c>
      <c r="Y32">
        <v>3.2657488353164897E-8</v>
      </c>
      <c r="Z32">
        <v>4.6305499396832802E-10</v>
      </c>
      <c r="AA32">
        <v>5.4865415023246699E-8</v>
      </c>
      <c r="AB32">
        <v>2.6813954947989001E-8</v>
      </c>
      <c r="AC32">
        <v>7.6240768224254203E-8</v>
      </c>
      <c r="AD32">
        <v>3.9708720668297202E-9</v>
      </c>
      <c r="AE32">
        <v>4.23265815111466E-6</v>
      </c>
      <c r="AF32">
        <f t="shared" si="0"/>
        <v>4.7216139088111694E-6</v>
      </c>
    </row>
    <row r="33" spans="1:32" x14ac:dyDescent="0.3">
      <c r="A33" t="str">
        <v>IFE</v>
      </c>
      <c r="B33" t="str">
        <v>System IFE</v>
      </c>
      <c r="C33" t="str">
        <v>packaging</v>
      </c>
      <c r="D33">
        <v>8.7499999999999999E-5</v>
      </c>
      <c r="E33">
        <v>1.15E-4</v>
      </c>
      <c r="F33">
        <v>1.34E-5</v>
      </c>
      <c r="G33">
        <v>2.6800000000000001E-5</v>
      </c>
      <c r="H33">
        <v>-1.9099999999999998E-9</v>
      </c>
      <c r="I33">
        <v>1.56E-4</v>
      </c>
      <c r="J33">
        <v>7.7400000000000002E-7</v>
      </c>
      <c r="K33">
        <v>-1.2099999999999999E-5</v>
      </c>
      <c r="L33">
        <v>3.0800000000000001E-7</v>
      </c>
      <c r="M33">
        <v>1.66E-4</v>
      </c>
      <c r="N33">
        <v>4.9799999999999998E-5</v>
      </c>
      <c r="O33">
        <v>5.2500000000000002E-5</v>
      </c>
      <c r="P33">
        <v>1.4800000000000001E-5</v>
      </c>
      <c r="Q33">
        <v>-1.3699999999999999E-14</v>
      </c>
      <c r="R33">
        <v>1.7499999999999999E-7</v>
      </c>
      <c r="S33">
        <v>2.6810178756876102E-7</v>
      </c>
      <c r="T33">
        <v>3.3567391568495299E-5</v>
      </c>
      <c r="U33">
        <v>1.34949667248316E-6</v>
      </c>
      <c r="V33">
        <v>1.1910595176029599E-6</v>
      </c>
      <c r="W33">
        <v>9.52655846365087E-7</v>
      </c>
      <c r="X33">
        <v>2.6626709838877201E-5</v>
      </c>
      <c r="Y33">
        <v>8.1643720882912206E-5</v>
      </c>
      <c r="Z33">
        <v>1.1576374849208201E-6</v>
      </c>
      <c r="AA33">
        <v>1.3716353755811701E-4</v>
      </c>
      <c r="AB33">
        <v>6.7034887369972501E-5</v>
      </c>
      <c r="AC33">
        <v>1.90601920560635E-4</v>
      </c>
      <c r="AD33">
        <v>9.92718016707429E-6</v>
      </c>
      <c r="AE33">
        <v>1.05816453777867E-2</v>
      </c>
      <c r="AF33">
        <f t="shared" si="0"/>
        <v>1.1804084767028024E-2</v>
      </c>
    </row>
    <row r="34" spans="1:32" x14ac:dyDescent="0.3">
      <c r="A34" t="str">
        <v>IFE</v>
      </c>
      <c r="B34" t="str">
        <v>System IFE</v>
      </c>
      <c r="C34" t="str">
        <v>System IFE boitier</v>
      </c>
      <c r="D34">
        <v>2.2599999999999999E-2</v>
      </c>
      <c r="E34">
        <v>7.1800000000000003E-2</v>
      </c>
      <c r="F34">
        <v>0</v>
      </c>
      <c r="G34">
        <v>0</v>
      </c>
      <c r="H34">
        <v>0</v>
      </c>
      <c r="I34">
        <v>1.92</v>
      </c>
      <c r="J34">
        <v>0</v>
      </c>
      <c r="K34">
        <v>0</v>
      </c>
      <c r="L34">
        <v>0</v>
      </c>
      <c r="M34">
        <v>0.753</v>
      </c>
      <c r="N34">
        <v>5.0599999999999999E-2</v>
      </c>
      <c r="O34">
        <v>6.0999999999999999E-2</v>
      </c>
      <c r="P34">
        <v>5.1299999999999998E-2</v>
      </c>
      <c r="Q34">
        <v>0</v>
      </c>
      <c r="R34">
        <v>0</v>
      </c>
      <c r="S34">
        <v>0</v>
      </c>
      <c r="T34">
        <v>0.13107290243957001</v>
      </c>
      <c r="U34">
        <v>0</v>
      </c>
      <c r="V34">
        <v>0</v>
      </c>
      <c r="W34">
        <v>0</v>
      </c>
      <c r="X34">
        <v>1.8441109428809301E-2</v>
      </c>
      <c r="Y34">
        <v>4.2696085518088497E-3</v>
      </c>
      <c r="Z34">
        <v>1.3892803665507701E-3</v>
      </c>
      <c r="AA34">
        <v>5.0012854066361398E-2</v>
      </c>
      <c r="AB34">
        <v>6.5415975312709304E-2</v>
      </c>
      <c r="AC34">
        <v>0.115729678637727</v>
      </c>
      <c r="AD34">
        <v>6.15416193828431</v>
      </c>
      <c r="AE34">
        <v>2.2939684827722E-2</v>
      </c>
      <c r="AF34">
        <f t="shared" si="0"/>
        <v>9.4937330319155695</v>
      </c>
    </row>
    <row r="35" spans="1:32" x14ac:dyDescent="0.3">
      <c r="A35" t="str">
        <v>IFE</v>
      </c>
      <c r="B35" t="str">
        <v>System IFE</v>
      </c>
      <c r="C35" t="str">
        <v>Transport</v>
      </c>
      <c r="D35">
        <v>5.8300000000000001E-6</v>
      </c>
      <c r="E35">
        <v>6.7000000000000002E-6</v>
      </c>
      <c r="F35">
        <v>2E-8</v>
      </c>
      <c r="G35">
        <v>6.6200000000000001E-6</v>
      </c>
      <c r="H35">
        <v>5.47E-8</v>
      </c>
      <c r="I35">
        <v>1.2500000000000001E-5</v>
      </c>
      <c r="J35">
        <v>1.2099999999999999E-5</v>
      </c>
      <c r="K35">
        <v>2.4999999999999999E-7</v>
      </c>
      <c r="L35">
        <v>1.4999999999999999E-7</v>
      </c>
      <c r="M35">
        <v>9.9999999999999995E-8</v>
      </c>
      <c r="N35">
        <v>8.1100000000000003E-6</v>
      </c>
      <c r="O35">
        <v>9.9199999999999999E-6</v>
      </c>
      <c r="P35">
        <v>6.4099999999999998E-7</v>
      </c>
      <c r="Q35">
        <v>1.6600000000000001E-17</v>
      </c>
      <c r="R35">
        <v>6.2399999999999998E-7</v>
      </c>
      <c r="S35">
        <v>1.6901830525675099E-8</v>
      </c>
      <c r="T35">
        <v>2.6156190864209E-6</v>
      </c>
      <c r="U35">
        <v>5.8838401302152499E-7</v>
      </c>
      <c r="V35">
        <v>2.0230079546217499E-6</v>
      </c>
      <c r="W35">
        <v>1.8383243825773001E-8</v>
      </c>
      <c r="X35">
        <v>4.5497387490247299E-8</v>
      </c>
      <c r="Y35">
        <v>3.0246529687999901E-7</v>
      </c>
      <c r="Z35">
        <v>1.9924864963680401E-16</v>
      </c>
      <c r="AA35">
        <v>2.0215137696568799E-6</v>
      </c>
      <c r="AB35">
        <v>7.52939463798724E-6</v>
      </c>
      <c r="AC35">
        <v>1.1094080481319399E-5</v>
      </c>
      <c r="AD35">
        <v>7.5729639429826794E-8</v>
      </c>
      <c r="AE35">
        <v>4.3808636691457898E-8</v>
      </c>
      <c r="AF35">
        <f t="shared" si="0"/>
        <v>8.9994485978086514E-5</v>
      </c>
    </row>
    <row r="36" spans="1:32" x14ac:dyDescent="0.3">
      <c r="A36" t="str">
        <v>Site assemblage</v>
      </c>
      <c r="B36" t="str">
        <v>Site assemblage</v>
      </c>
      <c r="C36" t="str">
        <v>élec atelier</v>
      </c>
      <c r="D36">
        <v>4.44E-4</v>
      </c>
      <c r="E36">
        <v>1.2999999999999999E-3</v>
      </c>
      <c r="F36">
        <v>1.04E-5</v>
      </c>
      <c r="G36">
        <v>1.2899999999999999E-3</v>
      </c>
      <c r="H36">
        <v>2.1500000000000002E-6</v>
      </c>
      <c r="I36">
        <v>9.5999999999999992E-3</v>
      </c>
      <c r="J36">
        <v>1.2800000000000001E-3</v>
      </c>
      <c r="K36">
        <v>8.3099999999999997E-3</v>
      </c>
      <c r="L36">
        <v>9.7899999999999994E-6</v>
      </c>
      <c r="M36">
        <v>2.23E-5</v>
      </c>
      <c r="N36">
        <v>3.7399999999999998E-4</v>
      </c>
      <c r="O36">
        <v>4.1300000000000001E-4</v>
      </c>
      <c r="P36">
        <v>2.5799999999999998E-4</v>
      </c>
      <c r="Q36">
        <v>8.7400000000000003E-12</v>
      </c>
      <c r="R36">
        <v>4.5306599574582301E-5</v>
      </c>
      <c r="S36">
        <v>2.1219829416913201E-4</v>
      </c>
      <c r="T36">
        <v>8.4653631717639805E-4</v>
      </c>
      <c r="U36">
        <v>5.9127968526161102E-4</v>
      </c>
      <c r="V36">
        <v>2.5425865781338199E-4</v>
      </c>
      <c r="W36">
        <v>4.3601209176370996E-6</v>
      </c>
      <c r="X36">
        <v>1.64796342052075E-2</v>
      </c>
      <c r="Y36">
        <v>9.5381539890171903E-5</v>
      </c>
      <c r="Z36">
        <v>8.9821616639585693E-12</v>
      </c>
      <c r="AA36">
        <v>3.6129879903056E-4</v>
      </c>
      <c r="AB36">
        <v>4.5760733405686698E-4</v>
      </c>
      <c r="AC36">
        <v>1.26305278469257E-2</v>
      </c>
      <c r="AD36">
        <v>8.9818773871685795E-5</v>
      </c>
      <c r="AE36">
        <v>2.5044298374080098E-4</v>
      </c>
      <c r="AF36">
        <f t="shared" si="0"/>
        <v>5.5632291175358187E-2</v>
      </c>
    </row>
    <row r="37" spans="1:32" x14ac:dyDescent="0.3">
      <c r="A37" t="str">
        <v>Site assemblage</v>
      </c>
      <c r="B37" t="str">
        <v>Site assemblage</v>
      </c>
      <c r="C37" t="str">
        <v>élec bureaux</v>
      </c>
      <c r="D37">
        <v>2.3600000000000001E-5</v>
      </c>
      <c r="E37">
        <v>6.9099999999999999E-5</v>
      </c>
      <c r="F37">
        <v>5.5400000000000001E-7</v>
      </c>
      <c r="G37">
        <v>6.8499999999999998E-5</v>
      </c>
      <c r="H37">
        <v>1.14E-7</v>
      </c>
      <c r="I37">
        <v>5.0900000000000001E-4</v>
      </c>
      <c r="J37">
        <v>6.7999999999999999E-5</v>
      </c>
      <c r="K37">
        <v>4.4099999999999999E-4</v>
      </c>
      <c r="L37">
        <v>5.1900000000000003E-7</v>
      </c>
      <c r="M37">
        <v>1.1799999999999999E-6</v>
      </c>
      <c r="N37">
        <v>1.98E-5</v>
      </c>
      <c r="O37">
        <v>2.19E-5</v>
      </c>
      <c r="P37">
        <v>1.3699999999999999E-5</v>
      </c>
      <c r="Q37">
        <v>4.6400000000000004E-13</v>
      </c>
      <c r="R37">
        <v>2.40371148057405E-6</v>
      </c>
      <c r="S37">
        <v>1.12580392402419E-5</v>
      </c>
      <c r="T37">
        <v>4.4912420782542097E-5</v>
      </c>
      <c r="U37">
        <v>3.1369950096429201E-5</v>
      </c>
      <c r="V37">
        <v>1.34895238344978E-5</v>
      </c>
      <c r="W37">
        <v>2.3132331282471901E-7</v>
      </c>
      <c r="X37">
        <v>8.7431602253684E-4</v>
      </c>
      <c r="Y37">
        <v>5.0604041049565699E-6</v>
      </c>
      <c r="Z37">
        <v>4.7654260780458004E-13</v>
      </c>
      <c r="AA37">
        <v>1.91684672719202E-5</v>
      </c>
      <c r="AB37">
        <v>2.4278052486738998E-5</v>
      </c>
      <c r="AC37">
        <v>6.7010424698476102E-4</v>
      </c>
      <c r="AD37">
        <v>4.7652752568872602E-6</v>
      </c>
      <c r="AE37">
        <v>1.3287085786611999E-5</v>
      </c>
      <c r="AF37">
        <f t="shared" si="0"/>
        <v>2.9516115241163677E-3</v>
      </c>
    </row>
    <row r="38" spans="1:32" x14ac:dyDescent="0.3">
      <c r="A38" t="str">
        <v>Site assemblage</v>
      </c>
      <c r="B38" t="str">
        <v>Site assemblage</v>
      </c>
      <c r="C38" t="str">
        <v>gaz atelier</v>
      </c>
      <c r="D38">
        <v>1.66E-4</v>
      </c>
      <c r="E38">
        <v>1.6900000000000001E-3</v>
      </c>
      <c r="F38">
        <v>1.4300000000000001E-6</v>
      </c>
      <c r="G38">
        <v>1.6900000000000001E-3</v>
      </c>
      <c r="H38">
        <v>4.5900000000000001E-8</v>
      </c>
      <c r="I38">
        <v>3.9199999999999997E-5</v>
      </c>
      <c r="J38">
        <v>3.1099999999999997E-5</v>
      </c>
      <c r="K38">
        <v>7.1999999999999997E-6</v>
      </c>
      <c r="L38">
        <v>8.3200000000000004E-7</v>
      </c>
      <c r="M38">
        <v>3.4499999999999998E-7</v>
      </c>
      <c r="N38">
        <v>2.14E-4</v>
      </c>
      <c r="O38">
        <v>2.61E-4</v>
      </c>
      <c r="P38">
        <v>8.1799999999999996E-5</v>
      </c>
      <c r="Q38">
        <v>3.9199999999999998E-15</v>
      </c>
      <c r="R38">
        <v>1.8456287217407001E-5</v>
      </c>
      <c r="S38">
        <v>6.3361933661318999E-5</v>
      </c>
      <c r="T38">
        <v>1.8012657720561999E-4</v>
      </c>
      <c r="U38">
        <v>2.7919160669953299E-5</v>
      </c>
      <c r="V38">
        <v>1.51913498761171E-4</v>
      </c>
      <c r="W38">
        <v>4.2605408498611398E-6</v>
      </c>
      <c r="X38">
        <v>7.9237430857528102E-6</v>
      </c>
      <c r="Y38">
        <v>4.7585928185905802E-7</v>
      </c>
      <c r="Z38">
        <v>1.76444592835202E-14</v>
      </c>
      <c r="AA38">
        <v>1.449509161494E-4</v>
      </c>
      <c r="AB38">
        <v>2.9573399333324699E-4</v>
      </c>
      <c r="AC38">
        <v>3.5168528010920698E-3</v>
      </c>
      <c r="AD38">
        <v>6.1636713047660499E-6</v>
      </c>
      <c r="AE38">
        <v>8.7030290012456201E-7</v>
      </c>
      <c r="AF38">
        <f t="shared" si="0"/>
        <v>8.6019621855341153E-3</v>
      </c>
    </row>
    <row r="39" spans="1:32" x14ac:dyDescent="0.3">
      <c r="A39" t="str">
        <v>Site assemblage</v>
      </c>
      <c r="B39" t="str">
        <v>Site assemblage</v>
      </c>
      <c r="C39" t="str">
        <v>gaz bureaux</v>
      </c>
      <c r="D39">
        <v>1.2500000000000001E-5</v>
      </c>
      <c r="E39">
        <v>1.2799999999999999E-4</v>
      </c>
      <c r="F39">
        <v>1.08E-7</v>
      </c>
      <c r="G39">
        <v>1.2799999999999999E-4</v>
      </c>
      <c r="H39">
        <v>3.46E-9</v>
      </c>
      <c r="I39">
        <v>2.9500000000000001E-6</v>
      </c>
      <c r="J39">
        <v>2.3499999999999999E-6</v>
      </c>
      <c r="K39">
        <v>5.4300000000000003E-7</v>
      </c>
      <c r="L39">
        <v>6.2800000000000006E-8</v>
      </c>
      <c r="M39">
        <v>2.6000000000000001E-8</v>
      </c>
      <c r="N39">
        <v>1.6099999999999998E-5</v>
      </c>
      <c r="O39">
        <v>1.9700000000000001E-5</v>
      </c>
      <c r="P39">
        <v>6.1700000000000002E-6</v>
      </c>
      <c r="Q39">
        <v>2.9500000000000001E-16</v>
      </c>
      <c r="R39">
        <v>1.39167301888697E-6</v>
      </c>
      <c r="S39">
        <v>4.7777265525970801E-6</v>
      </c>
      <c r="T39">
        <v>1.3582216971845601E-5</v>
      </c>
      <c r="U39">
        <v>2.1052090356341499E-6</v>
      </c>
      <c r="V39">
        <v>1.14548454377783E-5</v>
      </c>
      <c r="W39">
        <v>3.2126069976984898E-7</v>
      </c>
      <c r="X39">
        <v>5.9747983606551304E-7</v>
      </c>
      <c r="Y39">
        <v>3.58815679204211E-8</v>
      </c>
      <c r="Z39">
        <v>1.3304581592426301E-15</v>
      </c>
      <c r="AA39">
        <v>1.09298406928676E-5</v>
      </c>
      <c r="AB39">
        <v>2.22994481198478E-5</v>
      </c>
      <c r="AC39">
        <v>2.6518384207094699E-4</v>
      </c>
      <c r="AD39">
        <v>4.6476384719677498E-7</v>
      </c>
      <c r="AE39">
        <v>6.5624090592833901E-8</v>
      </c>
      <c r="AF39">
        <f t="shared" si="0"/>
        <v>6.4972307194357528E-4</v>
      </c>
    </row>
    <row r="40" spans="1:32" x14ac:dyDescent="0.3">
      <c r="A40" t="str">
        <v>Site assemblage</v>
      </c>
      <c r="B40" t="str">
        <v>Site assemblage</v>
      </c>
      <c r="C40" t="str">
        <v>papierassemblage</v>
      </c>
      <c r="D40">
        <v>2.0800000000000001E-7</v>
      </c>
      <c r="E40">
        <v>1.7800000000000001E-7</v>
      </c>
      <c r="F40">
        <v>0</v>
      </c>
      <c r="G40">
        <v>0</v>
      </c>
      <c r="H40">
        <v>0</v>
      </c>
      <c r="I40">
        <v>6.3399999999999999E-7</v>
      </c>
      <c r="J40">
        <v>0</v>
      </c>
      <c r="K40">
        <v>0</v>
      </c>
      <c r="L40">
        <v>0</v>
      </c>
      <c r="M40">
        <v>1.9400000000000001E-6</v>
      </c>
      <c r="N40">
        <v>2.11E-7</v>
      </c>
      <c r="O40">
        <v>2.2399999999999999E-7</v>
      </c>
      <c r="P40">
        <v>7.1499999999999998E-8</v>
      </c>
      <c r="Q40">
        <v>0</v>
      </c>
      <c r="R40">
        <v>0</v>
      </c>
      <c r="S40">
        <v>0</v>
      </c>
      <c r="T40">
        <v>9.6584084000639298E-8</v>
      </c>
      <c r="U40">
        <v>0</v>
      </c>
      <c r="V40">
        <v>0</v>
      </c>
      <c r="W40">
        <v>0</v>
      </c>
      <c r="X40">
        <v>7.1441601951793804E-8</v>
      </c>
      <c r="Y40">
        <v>3.5669043640509599E-6</v>
      </c>
      <c r="Z40">
        <v>3.1440226971506499E-9</v>
      </c>
      <c r="AA40">
        <v>2.15734494642873E-7</v>
      </c>
      <c r="AB40">
        <v>2.7682150622205199E-7</v>
      </c>
      <c r="AC40">
        <v>3.2342005594962098E-7</v>
      </c>
      <c r="AD40">
        <v>1.6896414188859501E-7</v>
      </c>
      <c r="AE40">
        <v>8.7287917834286104E-8</v>
      </c>
      <c r="AF40">
        <f t="shared" si="0"/>
        <v>8.2768021892379708E-6</v>
      </c>
    </row>
    <row r="41" spans="1:32" x14ac:dyDescent="0.3">
      <c r="A41" t="str">
        <v>Sous-ensemble</v>
      </c>
      <c r="B41" t="str">
        <v>Accoudoir allée</v>
      </c>
      <c r="C41" t="str">
        <v>30NCD6</v>
      </c>
      <c r="D41">
        <v>3.8099999999999999E-6</v>
      </c>
      <c r="E41">
        <v>9.8900000000000002E-6</v>
      </c>
      <c r="F41">
        <v>4.0199999999999998E-9</v>
      </c>
      <c r="G41">
        <v>9.8800000000000003E-6</v>
      </c>
      <c r="H41">
        <v>2.8200000000000002E-9</v>
      </c>
      <c r="I41">
        <v>3.19E-6</v>
      </c>
      <c r="J41">
        <v>2.34E-6</v>
      </c>
      <c r="K41">
        <v>8.2900000000000002E-7</v>
      </c>
      <c r="L41">
        <v>1.63E-8</v>
      </c>
      <c r="M41">
        <v>2.0500000000000002E-8</v>
      </c>
      <c r="N41">
        <v>2.48E-6</v>
      </c>
      <c r="O41">
        <v>2.8899999999999999E-6</v>
      </c>
      <c r="P41">
        <v>4.08E-7</v>
      </c>
      <c r="Q41">
        <v>3.1300000000000001E-16</v>
      </c>
      <c r="R41">
        <v>1.4589293465767499E-7</v>
      </c>
      <c r="S41">
        <v>2.6232883835708999E-7</v>
      </c>
      <c r="T41">
        <v>3.72873441933782E-6</v>
      </c>
      <c r="U41">
        <v>3.02756338976193E-6</v>
      </c>
      <c r="V41">
        <v>6.9901959191479296E-7</v>
      </c>
      <c r="W41">
        <v>3.8461161207392997E-8</v>
      </c>
      <c r="X41">
        <v>6.2882808935063305E-7</v>
      </c>
      <c r="Y41">
        <v>5.2583974136857702E-8</v>
      </c>
      <c r="Z41">
        <v>1.2531699908357299E-15</v>
      </c>
      <c r="AA41">
        <v>4.3421640199694501E-6</v>
      </c>
      <c r="AB41">
        <v>3.9944929927276102E-6</v>
      </c>
      <c r="AC41">
        <v>1.3510400279204E-5</v>
      </c>
      <c r="AD41">
        <v>4.2570276573057002E-7</v>
      </c>
      <c r="AE41">
        <v>2.3610125150638702E-6</v>
      </c>
      <c r="AF41">
        <f t="shared" si="0"/>
        <v>6.8977824972985867E-5</v>
      </c>
    </row>
    <row r="42" spans="1:32" x14ac:dyDescent="0.3">
      <c r="A42" t="str">
        <v>Sous-ensemble</v>
      </c>
      <c r="B42" t="str">
        <v>Accoudoir allée</v>
      </c>
      <c r="C42" t="str">
        <v>A2017</v>
      </c>
      <c r="D42">
        <v>2.3700000000000001E-3</v>
      </c>
      <c r="E42">
        <v>3.5400000000000002E-3</v>
      </c>
      <c r="F42">
        <v>4.4000000000000002E-6</v>
      </c>
      <c r="G42">
        <v>3.3800000000000002E-3</v>
      </c>
      <c r="H42">
        <v>1.5999999999999999E-6</v>
      </c>
      <c r="I42">
        <v>3.0899999999999999E-3</v>
      </c>
      <c r="J42">
        <v>1.8500000000000001E-3</v>
      </c>
      <c r="K42">
        <v>8.0400000000000003E-4</v>
      </c>
      <c r="L42">
        <v>8.4300000000000003E-5</v>
      </c>
      <c r="M42">
        <v>6.6299999999999999E-5</v>
      </c>
      <c r="N42">
        <v>1.0200000000000001E-3</v>
      </c>
      <c r="O42">
        <v>1.23E-3</v>
      </c>
      <c r="P42">
        <v>8.0599999999999997E-4</v>
      </c>
      <c r="Q42">
        <v>4.6300000000000005E-13</v>
      </c>
      <c r="R42">
        <v>1.87774229018423E-4</v>
      </c>
      <c r="S42">
        <v>5.7842102787501997E-4</v>
      </c>
      <c r="T42">
        <v>1.40790282523102E-3</v>
      </c>
      <c r="U42">
        <v>1.8726063206427201E-4</v>
      </c>
      <c r="V42">
        <v>1.1525311956799001E-3</v>
      </c>
      <c r="W42">
        <v>1.26772690897843E-5</v>
      </c>
      <c r="X42">
        <v>1.0714830056642399E-3</v>
      </c>
      <c r="Y42">
        <v>6.5694914368190496E-5</v>
      </c>
      <c r="Z42">
        <v>5.2253473519245298E-6</v>
      </c>
      <c r="AA42">
        <v>2.3342653382163099E-3</v>
      </c>
      <c r="AB42">
        <v>1.51722026367213E-3</v>
      </c>
      <c r="AC42">
        <v>5.8940823897170201E-3</v>
      </c>
      <c r="AD42">
        <v>7.0656498923800503E-3</v>
      </c>
      <c r="AE42">
        <v>8.71756253470801E-4</v>
      </c>
      <c r="AF42">
        <f t="shared" si="0"/>
        <v>4.0598544584262097E-2</v>
      </c>
    </row>
    <row r="43" spans="1:32" x14ac:dyDescent="0.3">
      <c r="A43" t="str">
        <v>Sous-ensemble</v>
      </c>
      <c r="B43" t="str">
        <v>Accoudoir allée</v>
      </c>
      <c r="C43" t="str">
        <v>A2024</v>
      </c>
      <c r="D43">
        <v>1.44E-4</v>
      </c>
      <c r="E43">
        <v>2.0100000000000001E-4</v>
      </c>
      <c r="F43">
        <v>2.6600000000000003E-7</v>
      </c>
      <c r="G43">
        <v>2.0100000000000001E-4</v>
      </c>
      <c r="H43">
        <v>9.8900000000000005E-8</v>
      </c>
      <c r="I43">
        <v>1.7100000000000001E-4</v>
      </c>
      <c r="J43">
        <v>1.1900000000000001E-4</v>
      </c>
      <c r="K43">
        <v>4.5500000000000001E-5</v>
      </c>
      <c r="L43">
        <v>5.6799999999999998E-6</v>
      </c>
      <c r="M43">
        <v>4.8999999999999997E-7</v>
      </c>
      <c r="N43">
        <v>5.4799999999999997E-5</v>
      </c>
      <c r="O43">
        <v>6.5900000000000003E-5</v>
      </c>
      <c r="P43">
        <v>5.0800000000000002E-5</v>
      </c>
      <c r="Q43">
        <v>2.6999999999999999E-14</v>
      </c>
      <c r="R43">
        <v>1.25719277952994E-5</v>
      </c>
      <c r="S43">
        <v>3.82709261746946E-5</v>
      </c>
      <c r="T43">
        <v>8.8727947194234904E-5</v>
      </c>
      <c r="U43">
        <v>1.1111458517179001E-5</v>
      </c>
      <c r="V43">
        <v>7.7450242164993799E-5</v>
      </c>
      <c r="W43">
        <v>7.2887661110275101E-7</v>
      </c>
      <c r="X43">
        <v>5.7049189597922102E-5</v>
      </c>
      <c r="Y43">
        <v>2.9389826507709199E-6</v>
      </c>
      <c r="Z43">
        <v>7.1473931766876604E-13</v>
      </c>
      <c r="AA43">
        <v>1.42932130179985E-4</v>
      </c>
      <c r="AB43">
        <v>8.2197322660405406E-5</v>
      </c>
      <c r="AC43">
        <v>3.1889956021994502E-4</v>
      </c>
      <c r="AD43">
        <v>4.7440217455490099E-4</v>
      </c>
      <c r="AE43">
        <v>2.2581199795316399E-5</v>
      </c>
      <c r="AF43">
        <f t="shared" si="0"/>
        <v>2.3893968388584898E-3</v>
      </c>
    </row>
    <row r="44" spans="1:32" x14ac:dyDescent="0.3">
      <c r="A44" t="str">
        <v>Sous-ensemble</v>
      </c>
      <c r="B44" t="str">
        <v>Accoudoir allée</v>
      </c>
      <c r="C44" t="str">
        <v>A5086</v>
      </c>
      <c r="D44">
        <v>2.5399999999999999E-4</v>
      </c>
      <c r="E44">
        <v>3.9399999999999998E-4</v>
      </c>
      <c r="F44">
        <v>4.6699999999999999E-7</v>
      </c>
      <c r="G44">
        <v>3.9399999999999998E-4</v>
      </c>
      <c r="H44">
        <v>1.5300000000000001E-7</v>
      </c>
      <c r="I44">
        <v>3.0200000000000002E-4</v>
      </c>
      <c r="J44">
        <v>2.1000000000000001E-4</v>
      </c>
      <c r="K44">
        <v>8.2200000000000006E-5</v>
      </c>
      <c r="L44">
        <v>1.0200000000000001E-5</v>
      </c>
      <c r="M44">
        <v>8.4E-7</v>
      </c>
      <c r="N44">
        <v>1.0399999999999999E-4</v>
      </c>
      <c r="O44">
        <v>1.25E-4</v>
      </c>
      <c r="P44">
        <v>9.1899999999999998E-5</v>
      </c>
      <c r="Q44">
        <v>5.0100000000000002E-14</v>
      </c>
      <c r="R44">
        <v>2.1249752099936199E-5</v>
      </c>
      <c r="S44">
        <v>7.0664030946227704E-5</v>
      </c>
      <c r="T44">
        <v>1.4656033987319299E-4</v>
      </c>
      <c r="U44">
        <v>2.0269894552124499E-5</v>
      </c>
      <c r="V44">
        <v>1.25986597437944E-4</v>
      </c>
      <c r="W44">
        <v>1.43733159973471E-6</v>
      </c>
      <c r="X44">
        <v>1.0599437158582E-4</v>
      </c>
      <c r="Y44">
        <v>3.8502843222027703E-6</v>
      </c>
      <c r="Z44">
        <v>1.86635328121168E-12</v>
      </c>
      <c r="AA44">
        <v>2.7050994048361898E-4</v>
      </c>
      <c r="AB44">
        <v>1.5411639760894001E-4</v>
      </c>
      <c r="AC44">
        <v>6.05282313332289E-4</v>
      </c>
      <c r="AD44">
        <v>7.7981178595884607E-5</v>
      </c>
      <c r="AE44">
        <v>4.1401969559345901E-5</v>
      </c>
      <c r="AF44">
        <f t="shared" si="0"/>
        <v>3.6140644039137134E-3</v>
      </c>
    </row>
    <row r="45" spans="1:32" x14ac:dyDescent="0.3">
      <c r="A45" t="str">
        <v>Sous-ensemble</v>
      </c>
      <c r="B45" t="str">
        <v>Accoudoir allée</v>
      </c>
      <c r="C45" t="str">
        <v>acier</v>
      </c>
      <c r="D45">
        <v>1E-4</v>
      </c>
      <c r="E45">
        <v>2.5999999999999998E-4</v>
      </c>
      <c r="F45">
        <v>1.06E-7</v>
      </c>
      <c r="G45">
        <v>2.5999999999999998E-4</v>
      </c>
      <c r="H45">
        <v>7.4000000000000001E-8</v>
      </c>
      <c r="I45">
        <v>8.3800000000000004E-5</v>
      </c>
      <c r="J45">
        <v>6.1600000000000007E-5</v>
      </c>
      <c r="K45">
        <v>2.1800000000000001E-5</v>
      </c>
      <c r="L45">
        <v>4.2899999999999999E-7</v>
      </c>
      <c r="M45">
        <v>5.4000000000000002E-7</v>
      </c>
      <c r="N45">
        <v>6.5199999999999999E-5</v>
      </c>
      <c r="O45">
        <v>7.5900000000000002E-5</v>
      </c>
      <c r="P45">
        <v>1.0699999999999999E-5</v>
      </c>
      <c r="Q45">
        <v>8.23E-15</v>
      </c>
      <c r="R45">
        <v>3.8364438372944099E-6</v>
      </c>
      <c r="S45">
        <v>6.8982768605012504E-6</v>
      </c>
      <c r="T45">
        <v>9.8051905101105596E-5</v>
      </c>
      <c r="U45">
        <v>7.9613703952998905E-5</v>
      </c>
      <c r="V45">
        <v>1.8381626305907499E-5</v>
      </c>
      <c r="W45">
        <v>1.01138609100922E-6</v>
      </c>
      <c r="X45">
        <v>1.6535849756998101E-5</v>
      </c>
      <c r="Y45">
        <v>1.3827637643395901E-6</v>
      </c>
      <c r="Z45">
        <v>3.2953729388643399E-14</v>
      </c>
      <c r="AA45">
        <v>1.14182831636234E-4</v>
      </c>
      <c r="AB45">
        <v>1.0504037129024501E-4</v>
      </c>
      <c r="AC45">
        <v>3.5527348882351202E-4</v>
      </c>
      <c r="AD45">
        <v>1.11944060618039E-5</v>
      </c>
      <c r="AE45">
        <v>6.2085884655382599E-5</v>
      </c>
      <c r="AF45">
        <f t="shared" si="0"/>
        <v>1.8136379381785157E-3</v>
      </c>
    </row>
    <row r="46" spans="1:32" x14ac:dyDescent="0.3">
      <c r="A46" t="str">
        <v>Sous-ensemble</v>
      </c>
      <c r="B46" t="str">
        <v>Accoudoir allée</v>
      </c>
      <c r="C46" t="str">
        <v>Alu</v>
      </c>
      <c r="D46">
        <v>9.4526244050554501E-5</v>
      </c>
      <c r="E46">
        <v>1.3156528521732E-4</v>
      </c>
      <c r="F46">
        <v>1.73361162297123E-7</v>
      </c>
      <c r="G46">
        <v>1.31327223774952E-4</v>
      </c>
      <c r="H46">
        <v>6.4700280070789998E-8</v>
      </c>
      <c r="I46">
        <v>1.105469308984E-4</v>
      </c>
      <c r="J46">
        <v>7.70564099459736E-5</v>
      </c>
      <c r="K46">
        <v>2.9772208632121899E-5</v>
      </c>
      <c r="L46">
        <v>3.7183123203046899E-6</v>
      </c>
      <c r="M46">
        <v>3.1793112801901198E-7</v>
      </c>
      <c r="N46">
        <v>3.5818332495575501E-5</v>
      </c>
      <c r="O46">
        <v>4.30899295436966E-5</v>
      </c>
      <c r="P46">
        <v>3.3272707154154403E-5</v>
      </c>
      <c r="Q46">
        <v>1.7688524374858601E-14</v>
      </c>
      <c r="R46">
        <v>8.1939838975568498E-6</v>
      </c>
      <c r="S46">
        <v>2.5078723238909099E-5</v>
      </c>
      <c r="T46">
        <v>5.78032276336762E-5</v>
      </c>
      <c r="U46">
        <v>7.0870892674505703E-6</v>
      </c>
      <c r="V46">
        <v>5.06086557640659E-5</v>
      </c>
      <c r="W46">
        <v>4.7476755199361101E-7</v>
      </c>
      <c r="X46">
        <v>3.73677056071927E-5</v>
      </c>
      <c r="Y46">
        <v>1.9229223929637E-6</v>
      </c>
      <c r="Z46">
        <v>4.6833914317346603E-13</v>
      </c>
      <c r="AA46">
        <v>9.3614786887654606E-5</v>
      </c>
      <c r="AB46">
        <v>5.3612442380498798E-5</v>
      </c>
      <c r="AC46">
        <v>2.07876556487527E-4</v>
      </c>
      <c r="AD46">
        <v>3.10991987152132E-4</v>
      </c>
      <c r="AE46">
        <v>1.47714437376354E-5</v>
      </c>
      <c r="AF46">
        <f t="shared" si="0"/>
        <v>1.5606538690887241E-3</v>
      </c>
    </row>
    <row r="47" spans="1:32" x14ac:dyDescent="0.3">
      <c r="A47" t="str">
        <v>Sous-ensemble</v>
      </c>
      <c r="B47" t="str">
        <v>Accoudoir allée</v>
      </c>
      <c r="C47" t="str">
        <v>Ertalon</v>
      </c>
      <c r="D47">
        <v>2.9104916030148401E-6</v>
      </c>
      <c r="E47">
        <v>9.0409901881237997E-6</v>
      </c>
      <c r="F47">
        <v>1.1644289574957899E-9</v>
      </c>
      <c r="G47">
        <v>9.0395840826401107E-6</v>
      </c>
      <c r="H47">
        <v>2.4167652618795002E-10</v>
      </c>
      <c r="I47">
        <v>4.3084319981006599E-5</v>
      </c>
      <c r="J47">
        <v>8.7208119026917504E-7</v>
      </c>
      <c r="K47">
        <v>4.1977868360418898E-5</v>
      </c>
      <c r="L47">
        <v>2.3437043031848701E-7</v>
      </c>
      <c r="M47">
        <v>1.37566032407964E-6</v>
      </c>
      <c r="N47">
        <v>2.44014149081642E-6</v>
      </c>
      <c r="O47">
        <v>2.8698956732038301E-6</v>
      </c>
      <c r="P47">
        <v>1.29016431379515E-6</v>
      </c>
      <c r="Q47">
        <v>1.92569639025435E-12</v>
      </c>
      <c r="R47">
        <v>1.22249005767046E-6</v>
      </c>
      <c r="S47">
        <v>6.7672330428300004E-8</v>
      </c>
      <c r="T47">
        <v>7.8680472138927108E-6</v>
      </c>
      <c r="U47">
        <v>2.6282906940673399E-7</v>
      </c>
      <c r="V47">
        <v>7.5860272504578004E-6</v>
      </c>
      <c r="W47">
        <v>6.1582647394237105E-8</v>
      </c>
      <c r="X47">
        <v>2.5595142220717199E-6</v>
      </c>
      <c r="Y47">
        <v>1.0756809265217899E-8</v>
      </c>
      <c r="Z47">
        <v>1.7593546903347102E-14</v>
      </c>
      <c r="AA47">
        <v>1.5020367081532E-6</v>
      </c>
      <c r="AB47">
        <v>3.1840224672573699E-6</v>
      </c>
      <c r="AC47">
        <v>1.8804177657170999E-5</v>
      </c>
      <c r="AD47">
        <v>-2.19889424332995E-8</v>
      </c>
      <c r="AE47">
        <v>-3.26658733321947E-7</v>
      </c>
      <c r="AF47">
        <f t="shared" si="0"/>
        <v>1.5791748444387405E-4</v>
      </c>
    </row>
    <row r="48" spans="1:32" x14ac:dyDescent="0.3">
      <c r="A48" t="str">
        <v>Sous-ensemble</v>
      </c>
      <c r="B48" t="str">
        <v>Accoudoir allée</v>
      </c>
      <c r="C48" t="str">
        <v>inox</v>
      </c>
      <c r="D48">
        <v>9.2923978351354E-6</v>
      </c>
      <c r="E48">
        <v>9.7526438710214503E-6</v>
      </c>
      <c r="F48">
        <v>8.2342724158861595E-9</v>
      </c>
      <c r="G48">
        <v>9.7258366262106001E-6</v>
      </c>
      <c r="H48">
        <v>1.8572972394966502E-8</v>
      </c>
      <c r="I48">
        <v>1.14074217839767E-5</v>
      </c>
      <c r="J48">
        <v>7.7336856472204406E-6</v>
      </c>
      <c r="K48">
        <v>3.6319158984049201E-6</v>
      </c>
      <c r="L48">
        <v>4.1820238351373397E-8</v>
      </c>
      <c r="M48">
        <v>6.50514519410837E-8</v>
      </c>
      <c r="N48">
        <v>4.6031648669538799E-6</v>
      </c>
      <c r="O48">
        <v>5.5266794243557901E-6</v>
      </c>
      <c r="P48">
        <v>3.4561592411584398E-4</v>
      </c>
      <c r="Q48">
        <v>1.2557925701782901E-16</v>
      </c>
      <c r="R48">
        <v>5.6653656909612899E-6</v>
      </c>
      <c r="S48">
        <v>3.3995055842475701E-4</v>
      </c>
      <c r="T48">
        <v>5.5276917883786101E-6</v>
      </c>
      <c r="U48">
        <v>1.61078127730046E-6</v>
      </c>
      <c r="V48">
        <v>3.9143087948467004E-6</v>
      </c>
      <c r="W48">
        <v>3.7066705462884102E-8</v>
      </c>
      <c r="X48">
        <v>1.1460744690428399E-6</v>
      </c>
      <c r="Y48">
        <v>3.1655707998915699E-7</v>
      </c>
      <c r="Z48">
        <v>5.1192753090831203E-15</v>
      </c>
      <c r="AA48">
        <v>1.5073480149393401E-5</v>
      </c>
      <c r="AB48">
        <v>6.6222110375280497E-6</v>
      </c>
      <c r="AC48">
        <v>1.5739742730651199E-5</v>
      </c>
      <c r="AD48">
        <v>2.1344291808107301E-5</v>
      </c>
      <c r="AE48">
        <v>5.7309085329721199E-6</v>
      </c>
      <c r="AF48">
        <f t="shared" si="0"/>
        <v>8.301023874988623E-4</v>
      </c>
    </row>
    <row r="49" spans="1:32" x14ac:dyDescent="0.3">
      <c r="A49" t="str">
        <v>Sous-ensemble</v>
      </c>
      <c r="B49" t="str">
        <v>Accoudoir allée</v>
      </c>
      <c r="C49" t="str">
        <v>packaging</v>
      </c>
      <c r="D49">
        <v>1.9700933530121798E-6</v>
      </c>
      <c r="E49">
        <v>2.21419364329401E-6</v>
      </c>
      <c r="F49">
        <v>1.9142626770516301E-6</v>
      </c>
      <c r="G49">
        <v>-5.6597053025741901E-8</v>
      </c>
      <c r="H49">
        <v>7.4503299177017601E-9</v>
      </c>
      <c r="I49">
        <v>1.8438671534418501E-6</v>
      </c>
      <c r="J49">
        <v>2.37471421303436E-6</v>
      </c>
      <c r="K49">
        <v>-1.3509750182872899E-6</v>
      </c>
      <c r="L49">
        <v>3.5887165430600202E-8</v>
      </c>
      <c r="M49">
        <v>9.9462339202795306E-7</v>
      </c>
      <c r="N49">
        <v>2.0353708839753101E-6</v>
      </c>
      <c r="O49">
        <v>2.2613989212387801E-6</v>
      </c>
      <c r="P49">
        <v>4.3712287211278898E-7</v>
      </c>
      <c r="Q49">
        <v>-2.2389471018669501E-15</v>
      </c>
      <c r="R49">
        <v>2.1040044302366901E-7</v>
      </c>
      <c r="S49">
        <v>1.5927515556256901E-7</v>
      </c>
      <c r="T49">
        <v>2.3013526706175799E-6</v>
      </c>
      <c r="U49">
        <v>7.3591427297113303E-7</v>
      </c>
      <c r="V49">
        <v>1.32180039288194E-6</v>
      </c>
      <c r="W49">
        <v>1.0242477803978399E-7</v>
      </c>
      <c r="X49">
        <v>-3.4466487795231798E-6</v>
      </c>
      <c r="Y49">
        <v>2.8188734068139799E-5</v>
      </c>
      <c r="Z49">
        <v>5.4280320597085504E-9</v>
      </c>
      <c r="AA49">
        <v>2.3278832312043501E-6</v>
      </c>
      <c r="AB49">
        <v>2.7725844364196699E-6</v>
      </c>
      <c r="AC49">
        <v>-1.10699428108093E-6</v>
      </c>
      <c r="AD49">
        <v>6.7187902748050299E-8</v>
      </c>
      <c r="AE49">
        <v>5.0352113704336997E-5</v>
      </c>
      <c r="AF49">
        <f t="shared" si="0"/>
        <v>9.8672868558386326E-5</v>
      </c>
    </row>
    <row r="50" spans="1:32" x14ac:dyDescent="0.3">
      <c r="A50" t="str">
        <v>Sous-ensemble</v>
      </c>
      <c r="B50" t="str">
        <v>Accoudoir allée</v>
      </c>
      <c r="C50" t="str">
        <v>Transport</v>
      </c>
      <c r="D50">
        <v>3.6350602413257498E-5</v>
      </c>
      <c r="E50">
        <v>4.1738688857323701E-5</v>
      </c>
      <c r="F50">
        <v>1.2480777640655699E-7</v>
      </c>
      <c r="G50">
        <v>4.1273284676089501E-5</v>
      </c>
      <c r="H50">
        <v>3.4059640482768798E-7</v>
      </c>
      <c r="I50">
        <v>7.8117442890787207E-5</v>
      </c>
      <c r="J50">
        <v>7.5630983360829905E-5</v>
      </c>
      <c r="K50">
        <v>1.5546524694668E-6</v>
      </c>
      <c r="L50">
        <v>9.3180706049047401E-7</v>
      </c>
      <c r="M50">
        <v>6.2369387162974195E-7</v>
      </c>
      <c r="N50">
        <v>5.0501714880288697E-5</v>
      </c>
      <c r="O50">
        <v>6.1801070273628103E-5</v>
      </c>
      <c r="P50">
        <v>3.9918814468107601E-6</v>
      </c>
      <c r="Q50">
        <v>1.03624888105318E-16</v>
      </c>
      <c r="R50">
        <v>3.8865749286795897E-6</v>
      </c>
      <c r="S50">
        <v>1.05306518027543E-7</v>
      </c>
      <c r="T50">
        <v>1.6296562556283601E-5</v>
      </c>
      <c r="U50">
        <v>3.6659148593548299E-6</v>
      </c>
      <c r="V50">
        <v>1.2604310717683599E-5</v>
      </c>
      <c r="W50">
        <v>1.14536434050901E-7</v>
      </c>
      <c r="X50">
        <v>2.8347056543193399E-7</v>
      </c>
      <c r="Y50">
        <v>1.8845040003338801E-6</v>
      </c>
      <c r="Z50">
        <v>1.24141473807043E-15</v>
      </c>
      <c r="AA50">
        <v>1.25950012280576E-5</v>
      </c>
      <c r="AB50">
        <v>4.6911743137953401E-5</v>
      </c>
      <c r="AC50">
        <v>6.9121447196525705E-5</v>
      </c>
      <c r="AD50">
        <v>4.7183200823852002E-7</v>
      </c>
      <c r="AE50">
        <v>2.7294883725778398E-7</v>
      </c>
      <c r="AF50">
        <f t="shared" si="0"/>
        <v>5.6119537937106062E-4</v>
      </c>
    </row>
    <row r="51" spans="1:32" x14ac:dyDescent="0.3">
      <c r="A51" t="str">
        <v>Sous-ensemble</v>
      </c>
      <c r="B51" t="str">
        <v>Bumper version porte</v>
      </c>
      <c r="C51" t="str">
        <v>A5086</v>
      </c>
      <c r="D51">
        <v>1.9400000000000001E-5</v>
      </c>
      <c r="E51">
        <v>3.0000000000000001E-5</v>
      </c>
      <c r="F51">
        <v>3.5700000000000002E-8</v>
      </c>
      <c r="G51">
        <v>3.0000000000000001E-5</v>
      </c>
      <c r="H51">
        <v>1.16E-8</v>
      </c>
      <c r="I51">
        <v>2.3200000000000001E-5</v>
      </c>
      <c r="J51">
        <v>1.6200000000000001E-5</v>
      </c>
      <c r="K51">
        <v>6.2500000000000003E-6</v>
      </c>
      <c r="L51">
        <v>7.7700000000000004E-7</v>
      </c>
      <c r="M51">
        <v>6.4399999999999994E-8</v>
      </c>
      <c r="N51">
        <v>7.9000000000000006E-6</v>
      </c>
      <c r="O51">
        <v>9.5200000000000003E-6</v>
      </c>
      <c r="P51">
        <v>6.99E-6</v>
      </c>
      <c r="Q51">
        <v>3.81E-15</v>
      </c>
      <c r="R51">
        <v>1.6199999999999999E-6</v>
      </c>
      <c r="S51">
        <v>5.3700000000000003E-6</v>
      </c>
      <c r="T51">
        <v>1.1199999999999999E-5</v>
      </c>
      <c r="U51">
        <v>1.5799999999999999E-6</v>
      </c>
      <c r="V51">
        <v>9.5999999999999996E-6</v>
      </c>
      <c r="W51">
        <v>1.1000000000000001E-7</v>
      </c>
      <c r="X51">
        <v>8.0600000000000008E-6</v>
      </c>
      <c r="Y51">
        <v>2.9299999999999999E-7</v>
      </c>
      <c r="Z51">
        <v>1.42E-13</v>
      </c>
      <c r="AA51">
        <v>2.0599999999999999E-5</v>
      </c>
      <c r="AB51">
        <v>1.1800000000000001E-5</v>
      </c>
      <c r="AC51">
        <v>4.6199999999999998E-5</v>
      </c>
      <c r="AD51">
        <v>5.9200000000000001E-6</v>
      </c>
      <c r="AE51">
        <v>3.1499999999999999E-6</v>
      </c>
      <c r="AF51">
        <f t="shared" si="0"/>
        <v>2.7585170014581006E-4</v>
      </c>
    </row>
    <row r="52" spans="1:32" x14ac:dyDescent="0.3">
      <c r="A52" t="str">
        <v>Sous-ensemble</v>
      </c>
      <c r="B52" t="str">
        <v>Bumper version porte</v>
      </c>
      <c r="C52" t="str">
        <v>acier</v>
      </c>
      <c r="D52">
        <v>3.3900000000000002E-6</v>
      </c>
      <c r="E52">
        <v>8.7900000000000005E-6</v>
      </c>
      <c r="F52">
        <v>3.58E-9</v>
      </c>
      <c r="G52">
        <v>8.7800000000000006E-6</v>
      </c>
      <c r="H52">
        <v>2.5000000000000001E-9</v>
      </c>
      <c r="I52">
        <v>2.83E-6</v>
      </c>
      <c r="J52">
        <v>2.08E-6</v>
      </c>
      <c r="K52">
        <v>7.3600000000000003E-7</v>
      </c>
      <c r="L52">
        <v>1.4500000000000001E-8</v>
      </c>
      <c r="M52">
        <v>1.8299999999999998E-8</v>
      </c>
      <c r="N52">
        <v>2.2000000000000001E-6</v>
      </c>
      <c r="O52">
        <v>2.57E-6</v>
      </c>
      <c r="P52">
        <v>3.6300000000000001E-7</v>
      </c>
      <c r="Q52">
        <v>2.7799999999999998E-16</v>
      </c>
      <c r="R52">
        <v>1.3E-7</v>
      </c>
      <c r="S52">
        <v>2.3300000000000001E-7</v>
      </c>
      <c r="T52">
        <v>3.3100000000000001E-6</v>
      </c>
      <c r="U52">
        <v>2.6900000000000001E-6</v>
      </c>
      <c r="V52">
        <v>6.2099999999999996E-7</v>
      </c>
      <c r="W52">
        <v>3.4200000000000002E-8</v>
      </c>
      <c r="X52">
        <v>5.5899999999999996E-7</v>
      </c>
      <c r="Y52">
        <v>4.6700000000000001E-8</v>
      </c>
      <c r="Z52">
        <v>1.1100000000000001E-15</v>
      </c>
      <c r="AA52">
        <v>3.8600000000000003E-6</v>
      </c>
      <c r="AB52">
        <v>3.5499999999999999E-6</v>
      </c>
      <c r="AC52">
        <v>1.2E-5</v>
      </c>
      <c r="AD52">
        <v>3.7800000000000002E-7</v>
      </c>
      <c r="AE52">
        <v>2.0999999999999998E-6</v>
      </c>
      <c r="AF52">
        <f t="shared" si="0"/>
        <v>6.1289780001388012E-5</v>
      </c>
    </row>
    <row r="53" spans="1:32" x14ac:dyDescent="0.3">
      <c r="A53" t="str">
        <v>Sous-ensemble</v>
      </c>
      <c r="B53" t="str">
        <v>Bumper version porte</v>
      </c>
      <c r="C53" t="str">
        <v>alliage Cu</v>
      </c>
      <c r="D53">
        <v>1.66E-6</v>
      </c>
      <c r="E53">
        <v>1.4100000000000001E-6</v>
      </c>
      <c r="F53">
        <v>1.21E-10</v>
      </c>
      <c r="G53">
        <v>1.4100000000000001E-6</v>
      </c>
      <c r="H53">
        <v>3.7000000000000001E-10</v>
      </c>
      <c r="I53">
        <v>3.4900000000000003E-4</v>
      </c>
      <c r="J53">
        <v>9.6899999999999996E-7</v>
      </c>
      <c r="K53">
        <v>3.4699999999999998E-4</v>
      </c>
      <c r="L53">
        <v>1.8300000000000001E-6</v>
      </c>
      <c r="M53">
        <v>3.1900000000000001E-8</v>
      </c>
      <c r="N53">
        <v>6.2900000000000003E-7</v>
      </c>
      <c r="O53">
        <v>7.6400000000000001E-7</v>
      </c>
      <c r="P53">
        <v>1.4E-3</v>
      </c>
      <c r="Q53">
        <v>5.2800000000000001E-12</v>
      </c>
      <c r="R53">
        <v>1.4E-3</v>
      </c>
      <c r="S53">
        <v>7.7599999999999993E-8</v>
      </c>
      <c r="T53">
        <v>1.32E-2</v>
      </c>
      <c r="U53">
        <v>1.91E-7</v>
      </c>
      <c r="V53">
        <v>1.32E-2</v>
      </c>
      <c r="W53">
        <v>5.1799999999999999E-9</v>
      </c>
      <c r="X53">
        <v>2.35E-7</v>
      </c>
      <c r="Y53">
        <v>8.3099999999999996E-9</v>
      </c>
      <c r="Z53">
        <v>6.03E-12</v>
      </c>
      <c r="AA53">
        <v>3.9299999999999996E-6</v>
      </c>
      <c r="AB53">
        <v>9.2800000000000005E-7</v>
      </c>
      <c r="AC53">
        <v>2.0999999999999998E-6</v>
      </c>
      <c r="AD53">
        <v>6.8399999999999996E-5</v>
      </c>
      <c r="AE53">
        <v>6.5099999999999999E-7</v>
      </c>
      <c r="AF53">
        <f t="shared" si="0"/>
        <v>2.9981230492310003E-2</v>
      </c>
    </row>
    <row r="54" spans="1:32" x14ac:dyDescent="0.3">
      <c r="A54" t="str">
        <v>Sous-ensemble</v>
      </c>
      <c r="B54" t="str">
        <v>Bumper version porte</v>
      </c>
      <c r="C54" t="str">
        <v>Copolymere Lexan FST</v>
      </c>
      <c r="D54">
        <v>2.0299999999999999E-5</v>
      </c>
      <c r="E54">
        <v>7.2999999999999999E-5</v>
      </c>
      <c r="F54">
        <v>7.7000000000000001E-8</v>
      </c>
      <c r="G54">
        <v>6.8200000000000004E-5</v>
      </c>
      <c r="H54">
        <v>2.6499999999999999E-8</v>
      </c>
      <c r="I54">
        <v>1.6899999999999999E-4</v>
      </c>
      <c r="J54">
        <v>1.3899999999999999E-4</v>
      </c>
      <c r="K54">
        <v>1.2500000000000001E-5</v>
      </c>
      <c r="L54">
        <v>9.3799999999999996E-7</v>
      </c>
      <c r="M54">
        <v>6.46E-6</v>
      </c>
      <c r="N54">
        <v>1.56E-5</v>
      </c>
      <c r="O54">
        <v>1.77E-5</v>
      </c>
      <c r="P54">
        <v>2.5700000000000001E-5</v>
      </c>
      <c r="Q54">
        <v>0</v>
      </c>
      <c r="R54">
        <v>6.2999999999999998E-6</v>
      </c>
      <c r="S54">
        <v>1.7600000000000001E-5</v>
      </c>
      <c r="T54">
        <v>2.97E-5</v>
      </c>
      <c r="U54">
        <v>6.6200000000000001E-6</v>
      </c>
      <c r="V54">
        <v>2.1699999999999999E-5</v>
      </c>
      <c r="W54">
        <v>3.9099999999999999E-7</v>
      </c>
      <c r="X54">
        <v>3.3099999999999998E-5</v>
      </c>
      <c r="Y54">
        <v>1.1200000000000001E-6</v>
      </c>
      <c r="Z54">
        <v>2.8599999999999999E-7</v>
      </c>
      <c r="AA54">
        <v>1.4800000000000001E-5</v>
      </c>
      <c r="AB54">
        <v>2.5599999999999999E-5</v>
      </c>
      <c r="AC54">
        <v>2.6200000000000003E-4</v>
      </c>
      <c r="AD54">
        <v>4.8400000000000002E-6</v>
      </c>
      <c r="AE54">
        <v>1.01E-5</v>
      </c>
      <c r="AF54">
        <f t="shared" si="0"/>
        <v>9.8265849999999992E-4</v>
      </c>
    </row>
    <row r="55" spans="1:32" x14ac:dyDescent="0.3">
      <c r="A55" t="str">
        <v>Sous-ensemble</v>
      </c>
      <c r="B55" t="str">
        <v>Bumper version porte</v>
      </c>
      <c r="C55" t="str">
        <v>packaging</v>
      </c>
      <c r="D55">
        <v>1.22E-5</v>
      </c>
      <c r="E55">
        <v>1.4399999999999999E-5</v>
      </c>
      <c r="F55">
        <v>2.2800000000000002E-6</v>
      </c>
      <c r="G55">
        <v>-8.6099999999999999E-7</v>
      </c>
      <c r="H55">
        <v>-1.09E-10</v>
      </c>
      <c r="I55">
        <v>2.8900000000000001E-5</v>
      </c>
      <c r="J55">
        <v>2.1899999999999999E-7</v>
      </c>
      <c r="K55">
        <v>-1.3400000000000001E-6</v>
      </c>
      <c r="L55">
        <v>3.7300000000000003E-8</v>
      </c>
      <c r="M55">
        <v>3.4100000000000002E-5</v>
      </c>
      <c r="N55">
        <v>7.9200000000000004E-6</v>
      </c>
      <c r="O55">
        <v>8.1899999999999995E-6</v>
      </c>
      <c r="P55">
        <v>2.6199999999999999E-6</v>
      </c>
      <c r="Q55">
        <v>-1.5499999999999999E-15</v>
      </c>
      <c r="R55">
        <v>3.5199999999999998E-8</v>
      </c>
      <c r="S55">
        <v>-5.3699999999999998E-8</v>
      </c>
      <c r="T55">
        <v>5.7899999999999996E-6</v>
      </c>
      <c r="U55">
        <v>5.3500000000000003E-8</v>
      </c>
      <c r="V55">
        <v>2.4299999999999999E-7</v>
      </c>
      <c r="W55">
        <v>1.1600000000000001E-7</v>
      </c>
      <c r="X55">
        <v>6.0700000000000003E-6</v>
      </c>
      <c r="Y55">
        <v>2.55E-5</v>
      </c>
      <c r="Z55">
        <v>2.03E-7</v>
      </c>
      <c r="AA55">
        <v>2.1500000000000001E-5</v>
      </c>
      <c r="AB55">
        <v>1.03E-5</v>
      </c>
      <c r="AC55">
        <v>2.27E-5</v>
      </c>
      <c r="AD55">
        <v>2.1799999999999999E-6</v>
      </c>
      <c r="AE55">
        <v>1.7600000000000001E-3</v>
      </c>
      <c r="AF55">
        <f t="shared" si="0"/>
        <v>1.9633021909984502E-3</v>
      </c>
    </row>
    <row r="56" spans="1:32" x14ac:dyDescent="0.3">
      <c r="A56" t="str">
        <v>Sous-ensemble</v>
      </c>
      <c r="B56" t="str">
        <v>Bumper version porte</v>
      </c>
      <c r="C56" t="str">
        <v>Transport</v>
      </c>
      <c r="D56">
        <v>2.34E-5</v>
      </c>
      <c r="E56">
        <v>2.69E-5</v>
      </c>
      <c r="F56">
        <v>8.0400000000000005E-8</v>
      </c>
      <c r="G56">
        <v>2.6599999999999999E-5</v>
      </c>
      <c r="H56">
        <v>2.1899999999999999E-7</v>
      </c>
      <c r="I56">
        <v>5.0300000000000003E-5</v>
      </c>
      <c r="J56">
        <v>4.8699999999999998E-5</v>
      </c>
      <c r="K56">
        <v>9.9999999999999995E-7</v>
      </c>
      <c r="L56">
        <v>5.9999999999999997E-7</v>
      </c>
      <c r="M56">
        <v>4.0200000000000003E-7</v>
      </c>
      <c r="N56">
        <v>3.2499999999999997E-5</v>
      </c>
      <c r="O56">
        <v>3.9799999999999998E-5</v>
      </c>
      <c r="P56">
        <v>2.57E-6</v>
      </c>
      <c r="Q56">
        <v>6.6700000000000004E-17</v>
      </c>
      <c r="R56">
        <v>2.5000000000000002E-6</v>
      </c>
      <c r="S56">
        <v>6.7799999999999998E-8</v>
      </c>
      <c r="T56">
        <v>1.0499999999999999E-5</v>
      </c>
      <c r="U56">
        <v>2.3599999999999999E-6</v>
      </c>
      <c r="V56">
        <v>8.1200000000000002E-6</v>
      </c>
      <c r="W56">
        <v>7.3700000000000005E-8</v>
      </c>
      <c r="X56">
        <v>1.8300000000000001E-7</v>
      </c>
      <c r="Y56">
        <v>1.2100000000000001E-6</v>
      </c>
      <c r="Z56">
        <v>7.9899999999999997E-16</v>
      </c>
      <c r="AA56">
        <v>8.1100000000000003E-6</v>
      </c>
      <c r="AB56">
        <v>3.0199999999999999E-5</v>
      </c>
      <c r="AC56">
        <v>4.4499999999999997E-5</v>
      </c>
      <c r="AD56">
        <v>3.0400000000000002E-7</v>
      </c>
      <c r="AE56">
        <v>1.7599999999999999E-7</v>
      </c>
      <c r="AF56">
        <f t="shared" si="0"/>
        <v>3.6137590000086576E-4</v>
      </c>
    </row>
    <row r="57" spans="1:32" x14ac:dyDescent="0.3">
      <c r="A57" t="str">
        <v>Sous-ensemble</v>
      </c>
      <c r="B57" t="str">
        <v>Capot NFC</v>
      </c>
      <c r="C57" t="str">
        <v>kydex</v>
      </c>
      <c r="D57">
        <v>7.79E-6</v>
      </c>
      <c r="E57">
        <v>2.02E-5</v>
      </c>
      <c r="F57">
        <v>1.3199999999999999E-7</v>
      </c>
      <c r="G57">
        <v>1.8E-5</v>
      </c>
      <c r="H57">
        <v>4.0899999999999998E-10</v>
      </c>
      <c r="I57">
        <v>4.57E-5</v>
      </c>
      <c r="J57">
        <v>3.6699999999999998E-5</v>
      </c>
      <c r="K57">
        <v>9.4499999999999995E-7</v>
      </c>
      <c r="L57">
        <v>3.9099999999999999E-7</v>
      </c>
      <c r="M57">
        <v>5.0100000000000003E-6</v>
      </c>
      <c r="N57">
        <v>5.2499999999999997E-6</v>
      </c>
      <c r="O57">
        <v>5.8100000000000003E-6</v>
      </c>
      <c r="P57">
        <v>3.6799999999999999E-6</v>
      </c>
      <c r="Q57">
        <v>0</v>
      </c>
      <c r="R57">
        <v>1.99E-6</v>
      </c>
      <c r="S57">
        <v>8.9565116442392299E-7</v>
      </c>
      <c r="T57">
        <v>1.3578164861221399E-5</v>
      </c>
      <c r="U57">
        <v>1.7004449056811E-6</v>
      </c>
      <c r="V57">
        <v>1.1213860332123601E-5</v>
      </c>
      <c r="W57">
        <v>1.0957513283338E-7</v>
      </c>
      <c r="X57">
        <v>1.42623137951295E-5</v>
      </c>
      <c r="Y57">
        <v>3.1835438972353102E-7</v>
      </c>
      <c r="Z57">
        <v>3.7296537149724397E-8</v>
      </c>
      <c r="AA57">
        <v>6.2271034662118596E-6</v>
      </c>
      <c r="AB57">
        <v>9.3293270009384103E-6</v>
      </c>
      <c r="AC57">
        <v>7.6733783169035603E-5</v>
      </c>
      <c r="AD57">
        <v>1.67270645135122E-6</v>
      </c>
      <c r="AE57">
        <v>2.0495027674894798E-5</v>
      </c>
      <c r="AF57">
        <f t="shared" si="0"/>
        <v>3.0817201788071801E-4</v>
      </c>
    </row>
    <row r="58" spans="1:32" x14ac:dyDescent="0.3">
      <c r="A58" t="str">
        <v>Sous-ensemble</v>
      </c>
      <c r="B58" t="str">
        <v>Capot NFC</v>
      </c>
      <c r="C58" t="str">
        <v>packaging</v>
      </c>
      <c r="D58">
        <v>9.1700000000000003E-6</v>
      </c>
      <c r="E58">
        <v>1.08E-5</v>
      </c>
      <c r="F58">
        <v>1.7099999999999999E-6</v>
      </c>
      <c r="G58">
        <v>-6.4600000000000004E-7</v>
      </c>
      <c r="H58">
        <v>-8.1899999999999996E-11</v>
      </c>
      <c r="I58">
        <v>2.1699999999999999E-5</v>
      </c>
      <c r="J58">
        <v>1.6400000000000001E-7</v>
      </c>
      <c r="K58">
        <v>-9.9999999999999995E-7</v>
      </c>
      <c r="L58">
        <v>2.7999999999999999E-8</v>
      </c>
      <c r="M58">
        <v>2.5599999999999999E-5</v>
      </c>
      <c r="N58">
        <v>5.9399999999999999E-6</v>
      </c>
      <c r="O58">
        <v>6.1399999999999997E-6</v>
      </c>
      <c r="P58">
        <v>1.9599999999999999E-6</v>
      </c>
      <c r="Q58">
        <v>-1.1700000000000001E-15</v>
      </c>
      <c r="R58">
        <v>2.6400000000000001E-8</v>
      </c>
      <c r="S58">
        <v>-4.0272525605813201E-8</v>
      </c>
      <c r="T58">
        <v>4.3418542894465003E-6</v>
      </c>
      <c r="U58">
        <v>4.0135266573710298E-8</v>
      </c>
      <c r="V58">
        <v>1.8248926087706101E-7</v>
      </c>
      <c r="W58">
        <v>8.6733521801876599E-8</v>
      </c>
      <c r="X58">
        <v>4.5491250475297396E-6</v>
      </c>
      <c r="Y58">
        <v>1.9129084228466699E-5</v>
      </c>
      <c r="Z58">
        <v>1.5256474293810901E-7</v>
      </c>
      <c r="AA58">
        <v>1.61201002578609E-5</v>
      </c>
      <c r="AB58">
        <v>7.7172604303990792E-6</v>
      </c>
      <c r="AC58">
        <v>1.70309623513629E-5</v>
      </c>
      <c r="AD58">
        <v>1.63582489385836E-6</v>
      </c>
      <c r="AE58">
        <v>1.32286681147992E-3</v>
      </c>
      <c r="AF58">
        <f t="shared" si="0"/>
        <v>1.4754049913442591E-3</v>
      </c>
    </row>
    <row r="59" spans="1:32" x14ac:dyDescent="0.3">
      <c r="A59" t="str">
        <v>Sous-ensemble</v>
      </c>
      <c r="B59" t="str">
        <v>Capot NFC</v>
      </c>
      <c r="C59" t="str">
        <v>Transport</v>
      </c>
      <c r="D59">
        <v>4.3500000000000002E-7</v>
      </c>
      <c r="E59">
        <v>4.9900000000000001E-7</v>
      </c>
      <c r="F59">
        <v>1.49E-9</v>
      </c>
      <c r="G59">
        <v>4.9399999999999995E-7</v>
      </c>
      <c r="H59">
        <v>4.0700000000000002E-9</v>
      </c>
      <c r="I59">
        <v>9.3399999999999997E-7</v>
      </c>
      <c r="J59">
        <v>9.0500000000000002E-7</v>
      </c>
      <c r="K59">
        <v>1.8600000000000001E-8</v>
      </c>
      <c r="L59">
        <v>1.11E-8</v>
      </c>
      <c r="M59">
        <v>7.4600000000000003E-9</v>
      </c>
      <c r="N59">
        <v>6.0399999999999996E-7</v>
      </c>
      <c r="O59">
        <v>7.3900000000000004E-7</v>
      </c>
      <c r="P59">
        <v>4.7699999999999997E-8</v>
      </c>
      <c r="Q59">
        <v>1.24E-18</v>
      </c>
      <c r="R59">
        <v>4.6499999999999999E-8</v>
      </c>
      <c r="S59">
        <v>1.2596226158870501E-9</v>
      </c>
      <c r="T59">
        <v>1.9493113191477699E-7</v>
      </c>
      <c r="U59">
        <v>4.3849795352192398E-8</v>
      </c>
      <c r="V59">
        <v>1.5076630711034599E-7</v>
      </c>
      <c r="W59">
        <v>1.37002614250179E-9</v>
      </c>
      <c r="X59">
        <v>3.3907296703415999E-9</v>
      </c>
      <c r="Y59">
        <v>2.2541471344910401E-8</v>
      </c>
      <c r="Z59">
        <v>1.4849167070171401E-17</v>
      </c>
      <c r="AA59">
        <v>1.5065495176506499E-7</v>
      </c>
      <c r="AB59">
        <v>5.6113423664615602E-7</v>
      </c>
      <c r="AC59">
        <v>8.2679533767143899E-7</v>
      </c>
      <c r="AD59">
        <v>5.6438127440620002E-9</v>
      </c>
      <c r="AE59">
        <v>3.26487414862643E-9</v>
      </c>
      <c r="AF59">
        <f t="shared" si="0"/>
        <v>6.7125222971423951E-6</v>
      </c>
    </row>
    <row r="60" spans="1:32" x14ac:dyDescent="0.3">
      <c r="A60" t="str">
        <v>Sous-ensemble</v>
      </c>
      <c r="B60" t="str">
        <v>Coussin ottoman</v>
      </c>
      <c r="C60" t="str">
        <v>FRMC55</v>
      </c>
      <c r="D60">
        <v>1.66E-4</v>
      </c>
      <c r="E60">
        <v>4.5600000000000003E-4</v>
      </c>
      <c r="F60">
        <v>1.4600000000000001E-7</v>
      </c>
      <c r="G60">
        <v>4.55E-4</v>
      </c>
      <c r="H60">
        <v>8.9799999999999997E-8</v>
      </c>
      <c r="I60">
        <v>2.0300000000000001E-3</v>
      </c>
      <c r="J60">
        <v>3.8999999999999999E-4</v>
      </c>
      <c r="K60">
        <v>1.64E-3</v>
      </c>
      <c r="L60">
        <v>2.61E-6</v>
      </c>
      <c r="M60">
        <v>1.5400000000000002E-5</v>
      </c>
      <c r="N60">
        <v>1.25E-4</v>
      </c>
      <c r="O60">
        <v>1.3999999999999999E-4</v>
      </c>
      <c r="P60">
        <v>8.4699999999999999E-5</v>
      </c>
      <c r="Q60">
        <v>0</v>
      </c>
      <c r="R60">
        <v>7.4587415631566107E-5</v>
      </c>
      <c r="S60">
        <v>1.00791733160122E-5</v>
      </c>
      <c r="T60">
        <v>4.2633027713842602E-4</v>
      </c>
      <c r="U60">
        <v>2.9424336116428599E-5</v>
      </c>
      <c r="V60">
        <v>3.9632477295363299E-4</v>
      </c>
      <c r="W60">
        <v>2.53929644646611E-6</v>
      </c>
      <c r="X60">
        <v>3.7741342059286498E-5</v>
      </c>
      <c r="Y60">
        <v>3.9188305522303603E-6</v>
      </c>
      <c r="Z60">
        <v>3.5755871142017198E-7</v>
      </c>
      <c r="AA60">
        <v>2.0538863448205799E-4</v>
      </c>
      <c r="AB60">
        <v>1.9088168036304201E-4</v>
      </c>
      <c r="AC60">
        <v>1.2749075888371E-3</v>
      </c>
      <c r="AD60">
        <v>3.5389643819306102E-4</v>
      </c>
      <c r="AE60">
        <v>9.5799728814753904E-5</v>
      </c>
      <c r="AF60">
        <f t="shared" si="0"/>
        <v>8.6071228736154855E-3</v>
      </c>
    </row>
    <row r="61" spans="1:32" x14ac:dyDescent="0.3">
      <c r="A61" t="str">
        <v>Sous-ensemble</v>
      </c>
      <c r="B61" t="str">
        <v>Coussin ottoman</v>
      </c>
      <c r="C61" t="str">
        <v>kydex</v>
      </c>
      <c r="D61">
        <v>4.1799999999999998E-6</v>
      </c>
      <c r="E61">
        <v>1.08E-5</v>
      </c>
      <c r="F61">
        <v>7.0599999999999997E-8</v>
      </c>
      <c r="G61">
        <v>9.6299999999999993E-6</v>
      </c>
      <c r="H61">
        <v>2.1899999999999999E-10</v>
      </c>
      <c r="I61">
        <v>2.4499999999999999E-5</v>
      </c>
      <c r="J61">
        <v>1.9700000000000001E-5</v>
      </c>
      <c r="K61">
        <v>5.06E-7</v>
      </c>
      <c r="L61">
        <v>2.1E-7</v>
      </c>
      <c r="M61">
        <v>2.6800000000000002E-6</v>
      </c>
      <c r="N61">
        <v>2.8200000000000001E-6</v>
      </c>
      <c r="O61">
        <v>3.1200000000000002E-6</v>
      </c>
      <c r="P61">
        <v>1.9700000000000002E-6</v>
      </c>
      <c r="Q61">
        <v>0</v>
      </c>
      <c r="R61">
        <v>1.0672242520395101E-6</v>
      </c>
      <c r="S61">
        <v>4.80276711357756E-7</v>
      </c>
      <c r="T61">
        <v>7.2810449255825E-6</v>
      </c>
      <c r="U61">
        <v>9.1183277551015703E-7</v>
      </c>
      <c r="V61">
        <v>6.0132294534575802E-6</v>
      </c>
      <c r="W61">
        <v>5.8757679925145799E-8</v>
      </c>
      <c r="X61">
        <v>7.6479073973882999E-6</v>
      </c>
      <c r="Y61">
        <v>1.7071177419957499E-7</v>
      </c>
      <c r="Z61">
        <v>1.9999592384634799E-8</v>
      </c>
      <c r="AA61">
        <v>3.3391714239107098E-6</v>
      </c>
      <c r="AB61">
        <v>5.0026825947060999E-6</v>
      </c>
      <c r="AC61">
        <v>4.1147101119627799E-5</v>
      </c>
      <c r="AD61">
        <v>8.9695853188398695E-7</v>
      </c>
      <c r="AE61">
        <v>1.0990087303929101E-5</v>
      </c>
      <c r="AF61">
        <f t="shared" si="0"/>
        <v>1.6521380453590282E-4</v>
      </c>
    </row>
    <row r="62" spans="1:32" x14ac:dyDescent="0.3">
      <c r="A62" t="str">
        <v>Sous-ensemble</v>
      </c>
      <c r="B62" t="str">
        <v>Coussin ottoman</v>
      </c>
      <c r="C62" t="str">
        <v>packaging</v>
      </c>
      <c r="D62">
        <v>5.8699999999999997E-5</v>
      </c>
      <c r="E62">
        <v>6.9200000000000002E-5</v>
      </c>
      <c r="F62">
        <v>1.0900000000000001E-5</v>
      </c>
      <c r="G62">
        <v>-4.1300000000000003E-6</v>
      </c>
      <c r="H62">
        <v>-5.2400000000000005E-10</v>
      </c>
      <c r="I62">
        <v>1.3899999999999999E-4</v>
      </c>
      <c r="J62">
        <v>1.0499999999999999E-6</v>
      </c>
      <c r="K62">
        <v>-6.4300000000000003E-6</v>
      </c>
      <c r="L62">
        <v>1.79E-7</v>
      </c>
      <c r="M62">
        <v>1.64E-4</v>
      </c>
      <c r="N62">
        <v>3.8000000000000002E-5</v>
      </c>
      <c r="O62">
        <v>3.93E-5</v>
      </c>
      <c r="P62">
        <v>1.26E-5</v>
      </c>
      <c r="Q62">
        <v>-7.4600000000000005E-15</v>
      </c>
      <c r="R62">
        <v>1.6879100403587E-7</v>
      </c>
      <c r="S62">
        <v>-2.5774416387720399E-7</v>
      </c>
      <c r="T62">
        <v>2.7787867452457599E-5</v>
      </c>
      <c r="U62">
        <v>2.56865706071746E-7</v>
      </c>
      <c r="V62">
        <v>1.1679312696131899E-6</v>
      </c>
      <c r="W62">
        <v>5.5509453953201004E-7</v>
      </c>
      <c r="X62">
        <v>2.9114400304190301E-5</v>
      </c>
      <c r="Y62">
        <v>1.22426139062187E-4</v>
      </c>
      <c r="Z62">
        <v>9.7641435480389892E-7</v>
      </c>
      <c r="AA62">
        <v>1.0316864165031001E-4</v>
      </c>
      <c r="AB62">
        <v>4.9390466754554101E-5</v>
      </c>
      <c r="AC62">
        <v>1.0899815904872301E-4</v>
      </c>
      <c r="AD62">
        <v>1.04692793206935E-5</v>
      </c>
      <c r="AE62">
        <v>8.4663475934715193E-3</v>
      </c>
      <c r="AF62">
        <f t="shared" si="0"/>
        <v>9.4429383757673544E-3</v>
      </c>
    </row>
    <row r="63" spans="1:32" x14ac:dyDescent="0.3">
      <c r="A63" t="str">
        <v>Sous-ensemble</v>
      </c>
      <c r="B63" t="str">
        <v>Coussin ottoman</v>
      </c>
      <c r="C63" t="str">
        <v>tissu</v>
      </c>
      <c r="D63">
        <v>3.1700000000000001E-3</v>
      </c>
      <c r="E63">
        <v>8.8099999999999995E-4</v>
      </c>
      <c r="F63">
        <v>0</v>
      </c>
      <c r="G63">
        <v>0</v>
      </c>
      <c r="H63">
        <v>0</v>
      </c>
      <c r="I63">
        <v>1.0300000000000001E-3</v>
      </c>
      <c r="J63">
        <v>0</v>
      </c>
      <c r="K63">
        <v>0</v>
      </c>
      <c r="L63">
        <v>0</v>
      </c>
      <c r="M63">
        <v>1.09E-3</v>
      </c>
      <c r="N63">
        <v>1.8E-3</v>
      </c>
      <c r="O63">
        <v>4.4099999999999999E-3</v>
      </c>
      <c r="P63">
        <v>4.9100000000000001E-5</v>
      </c>
      <c r="Q63">
        <v>0</v>
      </c>
      <c r="R63">
        <v>0</v>
      </c>
      <c r="S63">
        <v>0</v>
      </c>
      <c r="T63">
        <v>2.02700988147081E-4</v>
      </c>
      <c r="U63">
        <v>0</v>
      </c>
      <c r="V63">
        <v>0</v>
      </c>
      <c r="W63">
        <v>0</v>
      </c>
      <c r="X63">
        <v>3.21179998450385E-5</v>
      </c>
      <c r="Y63">
        <v>1.0228004555303801E-3</v>
      </c>
      <c r="Z63">
        <v>1.71481231686872E-6</v>
      </c>
      <c r="AA63">
        <v>2.0607879069401902E-3</v>
      </c>
      <c r="AB63">
        <v>1.7774557567510599E-4</v>
      </c>
      <c r="AC63">
        <v>1.8012302087768299E-4</v>
      </c>
      <c r="AD63">
        <v>4.1170506682847799E-5</v>
      </c>
      <c r="AE63">
        <v>7.9903547662563794E-3</v>
      </c>
      <c r="AF63">
        <f t="shared" si="0"/>
        <v>2.4139616032271573E-2</v>
      </c>
    </row>
    <row r="64" spans="1:32" x14ac:dyDescent="0.3">
      <c r="A64" t="str">
        <v>Sous-ensemble</v>
      </c>
      <c r="B64" t="str">
        <v>Coussin ottoman</v>
      </c>
      <c r="C64" t="str">
        <v>Transport</v>
      </c>
      <c r="D64">
        <v>4.4700000000000002E-5</v>
      </c>
      <c r="E64">
        <v>5.13E-5</v>
      </c>
      <c r="F64">
        <v>1.54E-7</v>
      </c>
      <c r="G64">
        <v>5.0800000000000002E-5</v>
      </c>
      <c r="H64">
        <v>4.1899999999999998E-7</v>
      </c>
      <c r="I64">
        <v>9.6100000000000005E-5</v>
      </c>
      <c r="J64">
        <v>9.2999999999999997E-5</v>
      </c>
      <c r="K64">
        <v>1.9099999999999999E-6</v>
      </c>
      <c r="L64">
        <v>1.15E-6</v>
      </c>
      <c r="M64">
        <v>7.6700000000000003E-7</v>
      </c>
      <c r="N64">
        <v>6.2100000000000005E-5</v>
      </c>
      <c r="O64">
        <v>7.6000000000000004E-5</v>
      </c>
      <c r="P64">
        <v>4.9100000000000004E-6</v>
      </c>
      <c r="Q64">
        <v>1.2699999999999999E-16</v>
      </c>
      <c r="R64">
        <v>4.7801220465012901E-6</v>
      </c>
      <c r="S64">
        <v>1.2951712438353999E-7</v>
      </c>
      <c r="T64">
        <v>2.0043240999330001E-5</v>
      </c>
      <c r="U64">
        <v>4.50873089065906E-6</v>
      </c>
      <c r="V64">
        <v>1.55021180983692E-5</v>
      </c>
      <c r="W64">
        <v>1.40869054008012E-7</v>
      </c>
      <c r="X64">
        <v>3.4864216545948001E-7</v>
      </c>
      <c r="Y64">
        <v>2.3177628848072301E-6</v>
      </c>
      <c r="Z64">
        <v>1.5268235058363101E-15</v>
      </c>
      <c r="AA64">
        <v>1.5490668300688802E-5</v>
      </c>
      <c r="AB64">
        <v>5.7697037038655597E-5</v>
      </c>
      <c r="AC64">
        <v>8.5012886588665105E-5</v>
      </c>
      <c r="AD64">
        <v>5.8030904490812802E-7</v>
      </c>
      <c r="AE64">
        <v>3.3570142824601099E-7</v>
      </c>
      <c r="AF64">
        <f t="shared" si="0"/>
        <v>6.9019760566633515E-4</v>
      </c>
    </row>
    <row r="65" spans="1:32" x14ac:dyDescent="0.3">
      <c r="A65" t="str">
        <v>Sous-ensemble</v>
      </c>
      <c r="B65" t="str">
        <v>Coussin ottoman</v>
      </c>
      <c r="C65" t="str">
        <v>velours</v>
      </c>
      <c r="D65">
        <v>7.8800000000000008E-6</v>
      </c>
      <c r="E65">
        <v>2.7399999999999999E-5</v>
      </c>
      <c r="F65">
        <v>5.3400000000000002E-8</v>
      </c>
      <c r="G65">
        <v>2.73E-5</v>
      </c>
      <c r="H65">
        <v>5.28E-9</v>
      </c>
      <c r="I65">
        <v>6.7000000000000002E-5</v>
      </c>
      <c r="J65">
        <v>3.65E-5</v>
      </c>
      <c r="K65">
        <v>3.0199999999999999E-5</v>
      </c>
      <c r="L65">
        <v>3.8299999999999998E-7</v>
      </c>
      <c r="M65">
        <v>3.8000000000000001E-7</v>
      </c>
      <c r="N65">
        <v>7.4000000000000003E-6</v>
      </c>
      <c r="O65">
        <v>8.3100000000000001E-6</v>
      </c>
      <c r="P65">
        <v>3.54E-6</v>
      </c>
      <c r="Q65">
        <v>7.1100000000000002E-16</v>
      </c>
      <c r="R65">
        <v>2.81845363974502E-6</v>
      </c>
      <c r="S65">
        <v>7.19397182624442E-7</v>
      </c>
      <c r="T65">
        <v>1.3731859666514399E-5</v>
      </c>
      <c r="U65">
        <v>1.7532103174605501E-6</v>
      </c>
      <c r="V65">
        <v>1.1935801275408E-5</v>
      </c>
      <c r="W65">
        <v>1.3500602092699501E-7</v>
      </c>
      <c r="X65">
        <v>2.4054173983121699E-6</v>
      </c>
      <c r="Y65">
        <v>1.9152814518508399E-7</v>
      </c>
      <c r="Z65">
        <v>6.0482649620070203E-9</v>
      </c>
      <c r="AA65">
        <v>6.1926238662088798E-6</v>
      </c>
      <c r="AB65">
        <v>1.18644577753183E-5</v>
      </c>
      <c r="AC65">
        <v>6.5620789220139801E-5</v>
      </c>
      <c r="AD65">
        <v>6.1710442066969501E-6</v>
      </c>
      <c r="AE65">
        <v>3.3607248325225E-6</v>
      </c>
      <c r="AF65">
        <f t="shared" si="0"/>
        <v>3.4325804181273615E-4</v>
      </c>
    </row>
    <row r="66" spans="1:32" x14ac:dyDescent="0.3">
      <c r="A66" t="str">
        <v>Sous-ensemble</v>
      </c>
      <c r="B66" t="str">
        <v>Coussin têtière</v>
      </c>
      <c r="C66" t="str">
        <v>FRMC55</v>
      </c>
      <c r="D66">
        <v>2.0000000000000002E-5</v>
      </c>
      <c r="E66">
        <v>5.49E-5</v>
      </c>
      <c r="F66">
        <v>1.7599999999999999E-8</v>
      </c>
      <c r="G66">
        <v>5.4799999999999997E-5</v>
      </c>
      <c r="H66">
        <v>1.0800000000000001E-8</v>
      </c>
      <c r="I66">
        <v>2.4499999999999999E-4</v>
      </c>
      <c r="J66">
        <v>4.6999999999999997E-5</v>
      </c>
      <c r="K66">
        <v>1.9799999999999999E-4</v>
      </c>
      <c r="L66">
        <v>3.15E-7</v>
      </c>
      <c r="M66">
        <v>1.8500000000000001E-6</v>
      </c>
      <c r="N66">
        <v>1.5099999999999999E-5</v>
      </c>
      <c r="O66">
        <v>1.6799999999999998E-5</v>
      </c>
      <c r="P66">
        <v>1.0200000000000001E-5</v>
      </c>
      <c r="Q66">
        <v>0</v>
      </c>
      <c r="R66">
        <v>8.9801764093726397E-6</v>
      </c>
      <c r="S66">
        <v>1.21351240919152E-6</v>
      </c>
      <c r="T66">
        <v>5.13293169490045E-5</v>
      </c>
      <c r="U66">
        <v>3.54263151252523E-6</v>
      </c>
      <c r="V66">
        <v>4.7716713957601598E-5</v>
      </c>
      <c r="W66">
        <v>3.0572623882825802E-7</v>
      </c>
      <c r="X66">
        <v>4.5439824767897197E-6</v>
      </c>
      <c r="Y66">
        <v>4.7181939982076999E-7</v>
      </c>
      <c r="Z66">
        <v>4.3049357295363997E-8</v>
      </c>
      <c r="AA66">
        <v>2.4728382858038801E-5</v>
      </c>
      <c r="AB66">
        <v>2.2981774451669799E-5</v>
      </c>
      <c r="AC66">
        <v>1.53496336566457E-4</v>
      </c>
      <c r="AD66">
        <v>4.26084268869257E-5</v>
      </c>
      <c r="AE66">
        <v>1.15340967030697E-5</v>
      </c>
      <c r="AF66">
        <f t="shared" si="0"/>
        <v>1.0374893461765906E-3</v>
      </c>
    </row>
    <row r="67" spans="1:32" x14ac:dyDescent="0.3">
      <c r="A67" t="str">
        <v>Sous-ensemble</v>
      </c>
      <c r="B67" t="str">
        <v>Coussin têtière</v>
      </c>
      <c r="C67" t="str">
        <v>packaging</v>
      </c>
      <c r="D67">
        <v>1.22E-5</v>
      </c>
      <c r="E67">
        <v>1.4399999999999999E-5</v>
      </c>
      <c r="F67">
        <v>2.2800000000000002E-6</v>
      </c>
      <c r="G67">
        <v>-8.6099999999999999E-7</v>
      </c>
      <c r="H67">
        <v>-1.09E-10</v>
      </c>
      <c r="I67">
        <v>2.8900000000000001E-5</v>
      </c>
      <c r="J67">
        <v>2.1899999999999999E-7</v>
      </c>
      <c r="K67">
        <v>-1.3400000000000001E-6</v>
      </c>
      <c r="L67">
        <v>3.7300000000000003E-8</v>
      </c>
      <c r="M67">
        <v>3.4100000000000002E-5</v>
      </c>
      <c r="N67">
        <v>7.9200000000000004E-6</v>
      </c>
      <c r="O67">
        <v>8.1899999999999995E-6</v>
      </c>
      <c r="P67">
        <v>2.6199999999999999E-6</v>
      </c>
      <c r="Q67">
        <v>-1.5499999999999999E-15</v>
      </c>
      <c r="R67">
        <v>3.5164792577802497E-8</v>
      </c>
      <c r="S67">
        <v>-5.3696700915144301E-8</v>
      </c>
      <c r="T67">
        <v>5.7891390598597203E-6</v>
      </c>
      <c r="U67">
        <v>5.35136888719744E-8</v>
      </c>
      <c r="V67">
        <v>2.43319014989386E-7</v>
      </c>
      <c r="W67">
        <v>1.1564469596712499E-7</v>
      </c>
      <c r="X67">
        <v>6.0655000622897897E-6</v>
      </c>
      <c r="Y67">
        <v>2.5505445875732901E-5</v>
      </c>
      <c r="Z67">
        <v>2.03419657460414E-7</v>
      </c>
      <c r="AA67">
        <v>2.1493467025266501E-5</v>
      </c>
      <c r="AB67">
        <v>1.0289680593478599E-5</v>
      </c>
      <c r="AC67">
        <v>2.2707949815024399E-5</v>
      </c>
      <c r="AD67">
        <v>2.18109986970802E-6</v>
      </c>
      <c r="AE67">
        <v>1.76382241531415E-3</v>
      </c>
      <c r="AF67">
        <f t="shared" ref="AF67:AF130" si="1">SUM(D67:AE67)</f>
        <v>1.9671172537629117E-3</v>
      </c>
    </row>
    <row r="68" spans="1:32" x14ac:dyDescent="0.3">
      <c r="A68" t="str">
        <v>Sous-ensemble</v>
      </c>
      <c r="B68" t="str">
        <v>Coussin têtière</v>
      </c>
      <c r="C68" t="str">
        <v>tissu</v>
      </c>
      <c r="D68">
        <v>1.8799999999999999E-3</v>
      </c>
      <c r="E68">
        <v>5.2300000000000003E-4</v>
      </c>
      <c r="F68">
        <v>0</v>
      </c>
      <c r="G68">
        <v>0</v>
      </c>
      <c r="H68">
        <v>0</v>
      </c>
      <c r="I68">
        <v>6.1200000000000002E-4</v>
      </c>
      <c r="J68">
        <v>0</v>
      </c>
      <c r="K68">
        <v>0</v>
      </c>
      <c r="L68">
        <v>0</v>
      </c>
      <c r="M68">
        <v>6.4899999999999995E-4</v>
      </c>
      <c r="N68">
        <v>1.07E-3</v>
      </c>
      <c r="O68">
        <v>2.6199999999999999E-3</v>
      </c>
      <c r="P68">
        <v>2.9200000000000002E-5</v>
      </c>
      <c r="Q68">
        <v>0</v>
      </c>
      <c r="R68">
        <v>0</v>
      </c>
      <c r="S68">
        <v>0</v>
      </c>
      <c r="T68">
        <v>1.20291406080727E-4</v>
      </c>
      <c r="U68">
        <v>0</v>
      </c>
      <c r="V68">
        <v>0</v>
      </c>
      <c r="W68">
        <v>0</v>
      </c>
      <c r="X68">
        <v>1.9060190071973701E-5</v>
      </c>
      <c r="Y68">
        <v>6.0697338508524301E-4</v>
      </c>
      <c r="Z68">
        <v>1.0176427191909501E-6</v>
      </c>
      <c r="AA68">
        <v>1.22295938083991E-3</v>
      </c>
      <c r="AB68">
        <v>1.05481800646538E-4</v>
      </c>
      <c r="AC68">
        <v>1.06892677963477E-4</v>
      </c>
      <c r="AD68">
        <v>2.44323334740835E-5</v>
      </c>
      <c r="AE68">
        <v>4.7418170907947699E-3</v>
      </c>
      <c r="AF68">
        <f t="shared" si="1"/>
        <v>1.4332125907675913E-2</v>
      </c>
    </row>
    <row r="69" spans="1:32" x14ac:dyDescent="0.3">
      <c r="A69" t="str">
        <v>Sous-ensemble</v>
      </c>
      <c r="B69" t="str">
        <v>Coussin têtière</v>
      </c>
      <c r="C69" t="str">
        <v>Transport</v>
      </c>
      <c r="D69">
        <v>8.0499999999999992E-6</v>
      </c>
      <c r="E69">
        <v>9.2399999999999996E-6</v>
      </c>
      <c r="F69">
        <v>2.7599999999999999E-8</v>
      </c>
      <c r="G69">
        <v>9.1400000000000006E-6</v>
      </c>
      <c r="H69">
        <v>7.54E-8</v>
      </c>
      <c r="I69">
        <v>1.73E-5</v>
      </c>
      <c r="J69">
        <v>1.6699999999999999E-5</v>
      </c>
      <c r="K69">
        <v>3.4400000000000001E-7</v>
      </c>
      <c r="L69">
        <v>2.0599999999999999E-7</v>
      </c>
      <c r="M69">
        <v>1.3799999999999999E-7</v>
      </c>
      <c r="N69">
        <v>1.1199999999999999E-5</v>
      </c>
      <c r="O69">
        <v>1.3699999999999999E-5</v>
      </c>
      <c r="P69">
        <v>8.8400000000000003E-7</v>
      </c>
      <c r="Q69">
        <v>2.29E-17</v>
      </c>
      <c r="R69">
        <v>8.6029016904071302E-7</v>
      </c>
      <c r="S69">
        <v>2.33095112939922E-8</v>
      </c>
      <c r="T69">
        <v>3.6072307400724201E-6</v>
      </c>
      <c r="U69">
        <v>8.1144724388850901E-7</v>
      </c>
      <c r="V69">
        <v>2.78995382745435E-6</v>
      </c>
      <c r="W69">
        <v>2.5352545626708401E-8</v>
      </c>
      <c r="X69">
        <v>6.2745976889311105E-8</v>
      </c>
      <c r="Y69">
        <v>4.1713341303210702E-7</v>
      </c>
      <c r="Z69">
        <v>2.7478613289647102E-16</v>
      </c>
      <c r="AA69">
        <v>2.7878931795700201E-6</v>
      </c>
      <c r="AB69">
        <v>1.0383875822472701E-5</v>
      </c>
      <c r="AC69">
        <v>1.52999755785591E-5</v>
      </c>
      <c r="AD69">
        <v>1.04439627583415E-7</v>
      </c>
      <c r="AE69">
        <v>6.0417000997779498E-8</v>
      </c>
      <c r="AF69">
        <f t="shared" si="1"/>
        <v>1.2423906463677881E-4</v>
      </c>
    </row>
    <row r="70" spans="1:32" x14ac:dyDescent="0.3">
      <c r="A70" t="str">
        <v>Sous-ensemble</v>
      </c>
      <c r="B70" t="str">
        <v>Coussin têtière</v>
      </c>
      <c r="C70" t="str">
        <v>velcro</v>
      </c>
      <c r="D70">
        <v>1.6199999999999999E-6</v>
      </c>
      <c r="E70">
        <v>5.6400000000000002E-6</v>
      </c>
      <c r="F70">
        <v>1.0999999999999999E-8</v>
      </c>
      <c r="G70">
        <v>5.6200000000000004E-6</v>
      </c>
      <c r="H70">
        <v>1.09E-9</v>
      </c>
      <c r="I70">
        <v>1.38E-5</v>
      </c>
      <c r="J70">
        <v>7.5100000000000001E-6</v>
      </c>
      <c r="K70">
        <v>6.2199999999999997E-6</v>
      </c>
      <c r="L70">
        <v>7.8800000000000004E-8</v>
      </c>
      <c r="M70">
        <v>7.8300000000000006E-8</v>
      </c>
      <c r="N70">
        <v>1.5200000000000001E-6</v>
      </c>
      <c r="O70">
        <v>1.7099999999999999E-6</v>
      </c>
      <c r="P70">
        <v>7.2799999999999995E-7</v>
      </c>
      <c r="Q70">
        <v>1.4600000000000001E-16</v>
      </c>
      <c r="R70">
        <v>5.8026986700632801E-7</v>
      </c>
      <c r="S70">
        <v>1.48111184657974E-7</v>
      </c>
      <c r="T70">
        <v>2.8271475784000198E-6</v>
      </c>
      <c r="U70">
        <v>3.60955065359525E-7</v>
      </c>
      <c r="V70">
        <v>2.45737085081929E-6</v>
      </c>
      <c r="W70">
        <v>2.7795357249675501E-8</v>
      </c>
      <c r="X70">
        <v>4.9523299377015303E-7</v>
      </c>
      <c r="Y70">
        <v>3.9432265185164202E-8</v>
      </c>
      <c r="Z70">
        <v>1.2452310215896801E-9</v>
      </c>
      <c r="AA70">
        <v>1.27495197245477E-6</v>
      </c>
      <c r="AB70">
        <v>2.4426824831537602E-6</v>
      </c>
      <c r="AC70">
        <v>1.35101624864994E-5</v>
      </c>
      <c r="AD70">
        <v>1.27050910137878E-6</v>
      </c>
      <c r="AE70">
        <v>6.9191393610761801E-7</v>
      </c>
      <c r="AF70">
        <f t="shared" si="1"/>
        <v>7.0664970373210062E-5</v>
      </c>
    </row>
    <row r="71" spans="1:32" x14ac:dyDescent="0.3">
      <c r="A71" t="str">
        <v>Sous-ensemble</v>
      </c>
      <c r="B71" t="str">
        <v>Coussin têtière</v>
      </c>
      <c r="C71" t="str">
        <v>velours</v>
      </c>
      <c r="D71">
        <v>6.9567480404293403E-7</v>
      </c>
      <c r="E71">
        <v>2.41500790022292E-6</v>
      </c>
      <c r="F71">
        <v>4.7142850996649E-9</v>
      </c>
      <c r="G71">
        <v>2.4098280432666701E-6</v>
      </c>
      <c r="H71">
        <v>4.6557185658314099E-10</v>
      </c>
      <c r="I71">
        <v>5.9139835242028699E-6</v>
      </c>
      <c r="J71">
        <v>3.21659018331894E-6</v>
      </c>
      <c r="K71">
        <v>2.66362329563186E-6</v>
      </c>
      <c r="L71">
        <v>3.3770045252068001E-8</v>
      </c>
      <c r="M71">
        <v>3.3572474739944401E-8</v>
      </c>
      <c r="N71">
        <v>6.5288450832462596E-7</v>
      </c>
      <c r="O71">
        <v>7.3319875063823598E-7</v>
      </c>
      <c r="P71">
        <v>3.12163307918877E-7</v>
      </c>
      <c r="Q71">
        <v>6.2747890260512902E-17</v>
      </c>
      <c r="R71">
        <v>2.4868708585985501E-7</v>
      </c>
      <c r="S71">
        <v>6.3476221996274395E-8</v>
      </c>
      <c r="T71">
        <v>1.21163467645715E-6</v>
      </c>
      <c r="U71">
        <v>1.5469502801122501E-7</v>
      </c>
      <c r="V71">
        <v>1.05315893606541E-6</v>
      </c>
      <c r="W71">
        <v>1.19122959641467E-8</v>
      </c>
      <c r="X71">
        <v>2.1224271161578E-7</v>
      </c>
      <c r="Y71">
        <v>1.68995422222132E-8</v>
      </c>
      <c r="Z71">
        <v>5.3367043782414904E-10</v>
      </c>
      <c r="AA71">
        <v>5.4640798819490105E-7</v>
      </c>
      <c r="AB71">
        <v>1.0468639213516099E-6</v>
      </c>
      <c r="AC71">
        <v>5.7900696370711598E-6</v>
      </c>
      <c r="AD71">
        <v>5.4450390059090797E-7</v>
      </c>
      <c r="AE71">
        <v>2.96534544046124E-7</v>
      </c>
      <c r="AF71">
        <f t="shared" si="1"/>
        <v>3.0283096854463521E-5</v>
      </c>
    </row>
    <row r="72" spans="1:32" x14ac:dyDescent="0.3">
      <c r="A72" t="str">
        <v>Sous-ensemble</v>
      </c>
      <c r="B72" t="str">
        <v>Ens. Coussin assise</v>
      </c>
      <c r="C72" t="str">
        <v>FRMC55</v>
      </c>
      <c r="D72">
        <v>1.44E-4</v>
      </c>
      <c r="E72">
        <v>3.9500000000000001E-4</v>
      </c>
      <c r="F72">
        <v>1.2700000000000001E-7</v>
      </c>
      <c r="G72">
        <v>3.9500000000000001E-4</v>
      </c>
      <c r="H72">
        <v>7.7799999999999995E-8</v>
      </c>
      <c r="I72">
        <v>1.7600000000000001E-3</v>
      </c>
      <c r="J72">
        <v>3.3799999999999998E-4</v>
      </c>
      <c r="K72">
        <v>1.42E-3</v>
      </c>
      <c r="L72">
        <v>2.26E-6</v>
      </c>
      <c r="M72">
        <v>1.33E-5</v>
      </c>
      <c r="N72">
        <v>1.08E-4</v>
      </c>
      <c r="O72">
        <v>1.21E-4</v>
      </c>
      <c r="P72">
        <v>7.3399999999999995E-5</v>
      </c>
      <c r="Q72">
        <v>0</v>
      </c>
      <c r="R72">
        <v>6.4599999999999998E-5</v>
      </c>
      <c r="S72">
        <v>8.7399999999999993E-6</v>
      </c>
      <c r="T72">
        <v>3.6900000000000002E-4</v>
      </c>
      <c r="U72">
        <v>2.55E-5</v>
      </c>
      <c r="V72">
        <v>3.4299999999999999E-4</v>
      </c>
      <c r="W72">
        <v>2.2000000000000001E-6</v>
      </c>
      <c r="X72">
        <v>3.2700000000000002E-5</v>
      </c>
      <c r="Y72">
        <v>3.4000000000000001E-6</v>
      </c>
      <c r="Z72">
        <v>3.09884216564149E-7</v>
      </c>
      <c r="AA72">
        <v>1.7800348321778399E-4</v>
      </c>
      <c r="AB72">
        <v>1.6543078964797E-4</v>
      </c>
      <c r="AC72">
        <v>1.1049199103254899E-3</v>
      </c>
      <c r="AD72">
        <v>3.0671024643398598E-4</v>
      </c>
      <c r="AE72">
        <v>8.3026431639454106E-5</v>
      </c>
      <c r="AF72">
        <f t="shared" si="1"/>
        <v>7.4577055454812481E-3</v>
      </c>
    </row>
    <row r="73" spans="1:32" x14ac:dyDescent="0.3">
      <c r="A73" t="str">
        <v>Sous-ensemble</v>
      </c>
      <c r="B73" t="str">
        <v>Ens. Coussin assise</v>
      </c>
      <c r="C73" t="str">
        <v>packaging</v>
      </c>
      <c r="D73">
        <v>5.3199999999999999E-5</v>
      </c>
      <c r="E73">
        <v>6.2700000000000006E-5</v>
      </c>
      <c r="F73">
        <v>9.9000000000000001E-6</v>
      </c>
      <c r="G73">
        <v>-3.7500000000000001E-6</v>
      </c>
      <c r="H73">
        <v>-4.7500000000000001E-10</v>
      </c>
      <c r="I73">
        <v>1.26E-4</v>
      </c>
      <c r="J73">
        <v>9.5199999999999995E-7</v>
      </c>
      <c r="K73">
        <v>-5.8300000000000001E-6</v>
      </c>
      <c r="L73">
        <v>1.6199999999999999E-7</v>
      </c>
      <c r="M73">
        <v>1.4799999999999999E-4</v>
      </c>
      <c r="N73">
        <v>3.4499999999999998E-5</v>
      </c>
      <c r="O73">
        <v>3.5599999999999998E-5</v>
      </c>
      <c r="P73">
        <v>1.1399999999999999E-5</v>
      </c>
      <c r="Q73">
        <v>-6.7600000000000002E-15</v>
      </c>
      <c r="R73">
        <v>1.5300000000000001E-7</v>
      </c>
      <c r="S73">
        <v>-2.34E-7</v>
      </c>
      <c r="T73">
        <v>2.5199999999999999E-5</v>
      </c>
      <c r="U73">
        <v>2.3300000000000001E-7</v>
      </c>
      <c r="V73">
        <v>1.06E-6</v>
      </c>
      <c r="W73">
        <v>5.0299999999999999E-7</v>
      </c>
      <c r="X73">
        <v>2.6400000000000001E-5</v>
      </c>
      <c r="Y73">
        <v>1.11E-4</v>
      </c>
      <c r="Z73">
        <v>8.8487550904103396E-7</v>
      </c>
      <c r="AA73">
        <v>9.3496581495593404E-5</v>
      </c>
      <c r="AB73">
        <v>4.4760110496314598E-5</v>
      </c>
      <c r="AC73">
        <v>9.8779581637904802E-5</v>
      </c>
      <c r="AD73">
        <v>9.48778438437849E-6</v>
      </c>
      <c r="AE73">
        <v>7.6726275065835603E-3</v>
      </c>
      <c r="AF73">
        <f t="shared" si="1"/>
        <v>8.5571849651000335E-3</v>
      </c>
    </row>
    <row r="74" spans="1:32" x14ac:dyDescent="0.3">
      <c r="A74" t="str">
        <v>Sous-ensemble</v>
      </c>
      <c r="B74" t="str">
        <v>Ens. Coussin assise</v>
      </c>
      <c r="C74" t="str">
        <v>tissu</v>
      </c>
      <c r="D74">
        <v>4.1099999999999999E-3</v>
      </c>
      <c r="E74">
        <v>1.14E-3</v>
      </c>
      <c r="F74">
        <v>0</v>
      </c>
      <c r="G74">
        <v>0</v>
      </c>
      <c r="H74">
        <v>0</v>
      </c>
      <c r="I74">
        <v>1.33E-3</v>
      </c>
      <c r="J74">
        <v>0</v>
      </c>
      <c r="K74">
        <v>0</v>
      </c>
      <c r="L74">
        <v>0</v>
      </c>
      <c r="M74">
        <v>1.42E-3</v>
      </c>
      <c r="N74">
        <v>2.33E-3</v>
      </c>
      <c r="O74">
        <v>5.7200000000000003E-3</v>
      </c>
      <c r="P74">
        <v>6.3600000000000001E-5</v>
      </c>
      <c r="Q74">
        <v>0</v>
      </c>
      <c r="R74">
        <v>0</v>
      </c>
      <c r="S74">
        <v>0</v>
      </c>
      <c r="T74">
        <v>2.63E-4</v>
      </c>
      <c r="U74">
        <v>0</v>
      </c>
      <c r="V74">
        <v>0</v>
      </c>
      <c r="W74">
        <v>0</v>
      </c>
      <c r="X74">
        <v>4.1600000000000002E-5</v>
      </c>
      <c r="Y74">
        <v>1.32E-3</v>
      </c>
      <c r="Z74">
        <v>2.2208225087316199E-6</v>
      </c>
      <c r="AA74">
        <v>2.6688892565290999E-3</v>
      </c>
      <c r="AB74">
        <v>2.3019508980874401E-4</v>
      </c>
      <c r="AC74">
        <v>2.3327407621863801E-4</v>
      </c>
      <c r="AD74">
        <v>5.3319180785983198E-5</v>
      </c>
      <c r="AE74">
        <v>1.0348164369413999E-2</v>
      </c>
      <c r="AF74">
        <f t="shared" si="1"/>
        <v>3.1274262795265191E-2</v>
      </c>
    </row>
    <row r="75" spans="1:32" x14ac:dyDescent="0.3">
      <c r="A75" t="str">
        <v>Sous-ensemble</v>
      </c>
      <c r="B75" t="str">
        <v>Ens. Coussin assise</v>
      </c>
      <c r="C75" t="str">
        <v>Transport</v>
      </c>
      <c r="D75">
        <v>3.3899999999999997E-5</v>
      </c>
      <c r="E75">
        <v>3.8899999999999997E-5</v>
      </c>
      <c r="F75">
        <v>1.1600000000000001E-7</v>
      </c>
      <c r="G75">
        <v>3.8500000000000001E-5</v>
      </c>
      <c r="H75">
        <v>3.1800000000000002E-7</v>
      </c>
      <c r="I75">
        <v>7.2799999999999994E-5</v>
      </c>
      <c r="J75">
        <v>7.0500000000000006E-5</v>
      </c>
      <c r="K75">
        <v>1.4500000000000001E-6</v>
      </c>
      <c r="L75">
        <v>8.6899999999999996E-7</v>
      </c>
      <c r="M75">
        <v>5.8100000000000003E-7</v>
      </c>
      <c r="N75">
        <v>4.71E-5</v>
      </c>
      <c r="O75">
        <v>5.7599999999999997E-5</v>
      </c>
      <c r="P75">
        <v>3.72E-6</v>
      </c>
      <c r="Q75">
        <v>9.6599999999999994E-17</v>
      </c>
      <c r="R75">
        <v>3.6200000000000001E-6</v>
      </c>
      <c r="S75">
        <v>9.8200000000000006E-8</v>
      </c>
      <c r="T75">
        <v>1.52E-5</v>
      </c>
      <c r="U75">
        <v>3.4199999999999999E-6</v>
      </c>
      <c r="V75">
        <v>1.1800000000000001E-5</v>
      </c>
      <c r="W75">
        <v>1.0700000000000001E-7</v>
      </c>
      <c r="X75">
        <v>2.6399999999999998E-7</v>
      </c>
      <c r="Y75">
        <v>1.7600000000000001E-6</v>
      </c>
      <c r="Z75">
        <v>1.15731652629377E-15</v>
      </c>
      <c r="AA75">
        <v>1.17417673746793E-5</v>
      </c>
      <c r="AB75">
        <v>4.3733761124174601E-5</v>
      </c>
      <c r="AC75">
        <v>6.4438894358722506E-5</v>
      </c>
      <c r="AD75">
        <v>4.3986829221761598E-7</v>
      </c>
      <c r="AE75">
        <v>2.54458232614615E-7</v>
      </c>
      <c r="AF75">
        <f t="shared" si="1"/>
        <v>5.232319493836627E-4</v>
      </c>
    </row>
    <row r="76" spans="1:32" x14ac:dyDescent="0.3">
      <c r="A76" t="str">
        <v>Sous-ensemble</v>
      </c>
      <c r="B76" t="str">
        <v>Ens. Coussin assise</v>
      </c>
      <c r="C76" t="str">
        <v>velours</v>
      </c>
      <c r="D76">
        <v>5.8000000000000004E-6</v>
      </c>
      <c r="E76">
        <v>2.0100000000000001E-5</v>
      </c>
      <c r="F76">
        <v>3.9300000000000001E-8</v>
      </c>
      <c r="G76">
        <v>2.0100000000000001E-5</v>
      </c>
      <c r="H76">
        <v>3.8799999999999998E-9</v>
      </c>
      <c r="I76">
        <v>4.9299999999999999E-5</v>
      </c>
      <c r="J76">
        <v>2.6800000000000001E-5</v>
      </c>
      <c r="K76">
        <v>2.2200000000000001E-5</v>
      </c>
      <c r="L76">
        <v>2.8099999999999999E-7</v>
      </c>
      <c r="M76">
        <v>2.8000000000000002E-7</v>
      </c>
      <c r="N76">
        <v>5.4399999999999996E-6</v>
      </c>
      <c r="O76">
        <v>6.1099999999999999E-6</v>
      </c>
      <c r="P76">
        <v>2.6000000000000001E-6</v>
      </c>
      <c r="Q76">
        <v>5.2300000000000002E-16</v>
      </c>
      <c r="R76">
        <v>2.0700000000000001E-6</v>
      </c>
      <c r="S76">
        <v>5.2900000000000004E-7</v>
      </c>
      <c r="T76">
        <v>1.01E-5</v>
      </c>
      <c r="U76">
        <v>1.2899999999999999E-6</v>
      </c>
      <c r="V76">
        <v>8.7800000000000006E-6</v>
      </c>
      <c r="W76">
        <v>9.9299999999999996E-8</v>
      </c>
      <c r="X76">
        <v>1.77E-6</v>
      </c>
      <c r="Y76">
        <v>1.4100000000000001E-7</v>
      </c>
      <c r="Z76">
        <v>4.44725364853457E-9</v>
      </c>
      <c r="AA76">
        <v>4.55339990162417E-6</v>
      </c>
      <c r="AB76">
        <v>8.7238660112634392E-6</v>
      </c>
      <c r="AC76">
        <v>4.8250580308926299E-5</v>
      </c>
      <c r="AD76">
        <v>4.5375325049242302E-6</v>
      </c>
      <c r="AE76">
        <v>2.4711212003844299E-6</v>
      </c>
      <c r="AF76">
        <f t="shared" si="1"/>
        <v>2.5237442718129422E-4</v>
      </c>
    </row>
    <row r="77" spans="1:32" x14ac:dyDescent="0.3">
      <c r="A77" t="str">
        <v>Sous-ensemble</v>
      </c>
      <c r="B77" t="str">
        <v>Ens.coussin dossier version têtière</v>
      </c>
      <c r="C77" t="str">
        <v>FRMC55</v>
      </c>
      <c r="D77">
        <v>1.4100000000000001E-4</v>
      </c>
      <c r="E77">
        <v>3.8699999999999997E-4</v>
      </c>
      <c r="F77">
        <v>1.24E-7</v>
      </c>
      <c r="G77">
        <v>3.8699999999999997E-4</v>
      </c>
      <c r="H77">
        <v>7.6300000000000002E-8</v>
      </c>
      <c r="I77">
        <v>1.73E-3</v>
      </c>
      <c r="J77">
        <v>3.3199999999999999E-4</v>
      </c>
      <c r="K77">
        <v>1.39E-3</v>
      </c>
      <c r="L77">
        <v>2.2199999999999999E-6</v>
      </c>
      <c r="M77">
        <v>1.2999999999999999E-5</v>
      </c>
      <c r="N77">
        <v>1.06E-4</v>
      </c>
      <c r="O77">
        <v>1.1900000000000001E-4</v>
      </c>
      <c r="P77">
        <v>7.1899999999999999E-5</v>
      </c>
      <c r="Q77">
        <v>0</v>
      </c>
      <c r="R77">
        <v>6.3380749203340798E-5</v>
      </c>
      <c r="S77">
        <v>8.5647900615666108E-6</v>
      </c>
      <c r="T77">
        <v>3.6227468325991598E-4</v>
      </c>
      <c r="U77">
        <v>2.5003366212368201E-5</v>
      </c>
      <c r="V77">
        <v>3.3677746875861002E-4</v>
      </c>
      <c r="W77">
        <v>2.1577703137134898E-6</v>
      </c>
      <c r="X77">
        <v>3.2070752356846497E-5</v>
      </c>
      <c r="Y77">
        <v>3.3300311359251E-6</v>
      </c>
      <c r="Z77">
        <v>3.03835959754057E-7</v>
      </c>
      <c r="AA77">
        <v>1.7452924760962899E-4</v>
      </c>
      <c r="AB77">
        <v>1.6220194530352101E-4</v>
      </c>
      <c r="AC77">
        <v>1.08335430932028E-3</v>
      </c>
      <c r="AD77">
        <v>3.0072393852425302E-4</v>
      </c>
      <c r="AE77">
        <v>8.1405938714230206E-5</v>
      </c>
      <c r="AF77">
        <f t="shared" si="1"/>
        <v>7.3153991267339534E-3</v>
      </c>
    </row>
    <row r="78" spans="1:32" x14ac:dyDescent="0.3">
      <c r="A78" t="str">
        <v>Sous-ensemble</v>
      </c>
      <c r="B78" t="str">
        <v>Ens.coussin dossier version têtière</v>
      </c>
      <c r="C78" t="str">
        <v>packaging</v>
      </c>
      <c r="D78">
        <v>5.8699999999999997E-5</v>
      </c>
      <c r="E78">
        <v>6.9200000000000002E-5</v>
      </c>
      <c r="F78">
        <v>1.0900000000000001E-5</v>
      </c>
      <c r="G78">
        <v>-4.1300000000000003E-6</v>
      </c>
      <c r="H78">
        <v>-5.2400000000000005E-10</v>
      </c>
      <c r="I78">
        <v>1.3899999999999999E-4</v>
      </c>
      <c r="J78">
        <v>1.0499999999999999E-6</v>
      </c>
      <c r="K78">
        <v>-6.4300000000000003E-6</v>
      </c>
      <c r="L78">
        <v>1.79E-7</v>
      </c>
      <c r="M78">
        <v>1.64E-4</v>
      </c>
      <c r="N78">
        <v>3.8000000000000002E-5</v>
      </c>
      <c r="O78">
        <v>3.93E-5</v>
      </c>
      <c r="P78">
        <v>1.26E-5</v>
      </c>
      <c r="Q78">
        <v>-7.4600000000000005E-15</v>
      </c>
      <c r="R78">
        <v>1.6879100403587E-7</v>
      </c>
      <c r="S78">
        <v>-2.5774416387720399E-7</v>
      </c>
      <c r="T78">
        <v>2.7787867452457599E-5</v>
      </c>
      <c r="U78">
        <v>2.56865706071746E-7</v>
      </c>
      <c r="V78">
        <v>1.1679312696131899E-6</v>
      </c>
      <c r="W78">
        <v>5.5509453953201004E-7</v>
      </c>
      <c r="X78">
        <v>2.9114400304190301E-5</v>
      </c>
      <c r="Y78">
        <v>1.22426139062187E-4</v>
      </c>
      <c r="Z78">
        <v>9.7641435480389892E-7</v>
      </c>
      <c r="AA78">
        <v>1.0316864165031001E-4</v>
      </c>
      <c r="AB78">
        <v>4.9390466754554101E-5</v>
      </c>
      <c r="AC78">
        <v>1.0899815904872301E-4</v>
      </c>
      <c r="AD78">
        <v>1.04692793206935E-5</v>
      </c>
      <c r="AE78">
        <v>8.4663475934715193E-3</v>
      </c>
      <c r="AF78">
        <f t="shared" si="1"/>
        <v>9.4429383757673544E-3</v>
      </c>
    </row>
    <row r="79" spans="1:32" x14ac:dyDescent="0.3">
      <c r="A79" t="str">
        <v>Sous-ensemble</v>
      </c>
      <c r="B79" t="str">
        <v>Ens.coussin dossier version têtière</v>
      </c>
      <c r="C79" t="str">
        <v>tissu</v>
      </c>
      <c r="D79">
        <v>7.6400000000000001E-3</v>
      </c>
      <c r="E79">
        <v>2.1199999999999999E-3</v>
      </c>
      <c r="F79">
        <v>0</v>
      </c>
      <c r="G79">
        <v>0</v>
      </c>
      <c r="H79">
        <v>0</v>
      </c>
      <c r="I79">
        <v>2.48E-3</v>
      </c>
      <c r="J79">
        <v>0</v>
      </c>
      <c r="K79">
        <v>0</v>
      </c>
      <c r="L79">
        <v>0</v>
      </c>
      <c r="M79">
        <v>2.64E-3</v>
      </c>
      <c r="N79">
        <v>4.3299999999999996E-3</v>
      </c>
      <c r="O79">
        <v>1.06E-2</v>
      </c>
      <c r="P79">
        <v>1.18E-4</v>
      </c>
      <c r="Q79">
        <v>0</v>
      </c>
      <c r="R79">
        <v>0</v>
      </c>
      <c r="S79">
        <v>0</v>
      </c>
      <c r="T79">
        <v>4.8847615176427698E-4</v>
      </c>
      <c r="U79">
        <v>0</v>
      </c>
      <c r="V79">
        <v>0</v>
      </c>
      <c r="W79">
        <v>0</v>
      </c>
      <c r="X79">
        <v>7.7399114380666595E-5</v>
      </c>
      <c r="Y79">
        <v>2.4647814256223998E-3</v>
      </c>
      <c r="Z79">
        <v>4.1324165668803601E-6</v>
      </c>
      <c r="AA79">
        <v>4.9661610216427503E-3</v>
      </c>
      <c r="AB79">
        <v>4.2833769875804198E-4</v>
      </c>
      <c r="AC79">
        <v>4.3406695195113699E-4</v>
      </c>
      <c r="AD79">
        <v>9.9214171842272605E-5</v>
      </c>
      <c r="AE79">
        <v>1.9255445092453902E-2</v>
      </c>
      <c r="AF79">
        <f t="shared" si="1"/>
        <v>5.8146014044982333E-2</v>
      </c>
    </row>
    <row r="80" spans="1:32" x14ac:dyDescent="0.3">
      <c r="A80" t="str">
        <v>Sous-ensemble</v>
      </c>
      <c r="B80" t="str">
        <v>Ens.coussin dossier version têtière</v>
      </c>
      <c r="C80" t="str">
        <v>Transport</v>
      </c>
      <c r="D80">
        <v>4.0399999999999999E-5</v>
      </c>
      <c r="E80">
        <v>4.6400000000000003E-5</v>
      </c>
      <c r="F80">
        <v>1.3899999999999999E-7</v>
      </c>
      <c r="G80">
        <v>4.5800000000000002E-5</v>
      </c>
      <c r="H80">
        <v>3.7800000000000002E-7</v>
      </c>
      <c r="I80">
        <v>8.6799999999999996E-5</v>
      </c>
      <c r="J80">
        <v>8.3999999999999995E-5</v>
      </c>
      <c r="K80">
        <v>1.73E-6</v>
      </c>
      <c r="L80">
        <v>1.04E-6</v>
      </c>
      <c r="M80">
        <v>6.9299999999999997E-7</v>
      </c>
      <c r="N80">
        <v>5.6100000000000002E-5</v>
      </c>
      <c r="O80">
        <v>6.86E-5</v>
      </c>
      <c r="P80">
        <v>4.4299999999999999E-6</v>
      </c>
      <c r="Q80">
        <v>1.15E-16</v>
      </c>
      <c r="R80">
        <v>4.31702712960124E-6</v>
      </c>
      <c r="S80">
        <v>1.16969594975284E-7</v>
      </c>
      <c r="T80">
        <v>1.810146567755E-5</v>
      </c>
      <c r="U80">
        <v>4.0719281611842601E-6</v>
      </c>
      <c r="V80">
        <v>1.40002836216128E-5</v>
      </c>
      <c r="W80">
        <v>1.27221757511184E-7</v>
      </c>
      <c r="X80">
        <v>3.1486595366599998E-7</v>
      </c>
      <c r="Y80">
        <v>2.09321961999257E-6</v>
      </c>
      <c r="Z80">
        <v>1.37890590087185E-15</v>
      </c>
      <c r="AA80">
        <v>1.3989943072410599E-5</v>
      </c>
      <c r="AB80">
        <v>5.2107388006084999E-5</v>
      </c>
      <c r="AC80">
        <v>7.6776896949231805E-5</v>
      </c>
      <c r="AD80">
        <v>5.2408910610452002E-7</v>
      </c>
      <c r="AE80">
        <v>3.0317890612115302E-7</v>
      </c>
      <c r="AF80">
        <f t="shared" si="1"/>
        <v>6.2335447755754018E-4</v>
      </c>
    </row>
    <row r="81" spans="1:32" x14ac:dyDescent="0.3">
      <c r="A81" t="str">
        <v>Sous-ensemble</v>
      </c>
      <c r="B81" t="str">
        <v>Ens.coussin dossier version têtière</v>
      </c>
      <c r="C81" t="str">
        <v>velcro</v>
      </c>
      <c r="D81">
        <v>1.1599999999999999E-6</v>
      </c>
      <c r="E81">
        <v>4.0300000000000004E-6</v>
      </c>
      <c r="F81">
        <v>7.8600000000000006E-9</v>
      </c>
      <c r="G81">
        <v>4.0199999999999996E-6</v>
      </c>
      <c r="H81">
        <v>7.7600000000000001E-10</v>
      </c>
      <c r="I81">
        <v>9.8600000000000005E-6</v>
      </c>
      <c r="J81">
        <v>5.3600000000000004E-6</v>
      </c>
      <c r="K81">
        <v>4.4399999999999998E-6</v>
      </c>
      <c r="L81">
        <v>5.6300000000000001E-8</v>
      </c>
      <c r="M81">
        <v>5.5999999999999999E-8</v>
      </c>
      <c r="N81">
        <v>1.0899999999999999E-6</v>
      </c>
      <c r="O81">
        <v>1.22E-6</v>
      </c>
      <c r="P81">
        <v>5.2E-7</v>
      </c>
      <c r="Q81">
        <v>1.0500000000000001E-16</v>
      </c>
      <c r="R81">
        <v>4.1447847643309199E-7</v>
      </c>
      <c r="S81">
        <v>1.05793703327124E-7</v>
      </c>
      <c r="T81">
        <v>2.01939112742859E-6</v>
      </c>
      <c r="U81">
        <v>2.5782504668537502E-7</v>
      </c>
      <c r="V81">
        <v>1.75526489344235E-6</v>
      </c>
      <c r="W81">
        <v>1.9853826606911099E-8</v>
      </c>
      <c r="X81">
        <v>3.53737852692966E-7</v>
      </c>
      <c r="Y81">
        <v>2.8165903703688699E-8</v>
      </c>
      <c r="Z81">
        <v>8.89450729706914E-10</v>
      </c>
      <c r="AA81">
        <v>9.1067998032483505E-7</v>
      </c>
      <c r="AB81">
        <v>1.74477320225269E-6</v>
      </c>
      <c r="AC81">
        <v>9.6501160617852595E-6</v>
      </c>
      <c r="AD81">
        <v>9.0750650098484602E-7</v>
      </c>
      <c r="AE81">
        <v>4.9422424007686804E-7</v>
      </c>
      <c r="AF81">
        <f t="shared" si="1"/>
        <v>5.0483636266579318E-5</v>
      </c>
    </row>
    <row r="82" spans="1:32" x14ac:dyDescent="0.3">
      <c r="A82" t="str">
        <v>Sous-ensemble</v>
      </c>
      <c r="B82" t="str">
        <v>Ens.coussin dossier version têtière</v>
      </c>
      <c r="C82" t="str">
        <v>velours</v>
      </c>
      <c r="D82">
        <v>1.86E-6</v>
      </c>
      <c r="E82">
        <v>6.4400000000000002E-6</v>
      </c>
      <c r="F82">
        <v>1.26E-8</v>
      </c>
      <c r="G82">
        <v>6.4300000000000003E-6</v>
      </c>
      <c r="H82">
        <v>1.2400000000000001E-9</v>
      </c>
      <c r="I82">
        <v>1.5800000000000001E-5</v>
      </c>
      <c r="J82">
        <v>8.5799999999999992E-6</v>
      </c>
      <c r="K82">
        <v>7.0999999999999998E-6</v>
      </c>
      <c r="L82">
        <v>9.0100000000000006E-8</v>
      </c>
      <c r="M82">
        <v>8.9500000000000001E-8</v>
      </c>
      <c r="N82">
        <v>1.7400000000000001E-6</v>
      </c>
      <c r="O82">
        <v>1.9599999999999999E-6</v>
      </c>
      <c r="P82">
        <v>8.3200000000000004E-7</v>
      </c>
      <c r="Q82">
        <v>1.67E-16</v>
      </c>
      <c r="R82">
        <v>6.6316556229294695E-7</v>
      </c>
      <c r="S82">
        <v>1.69269925323398E-7</v>
      </c>
      <c r="T82">
        <v>3.23102580388574E-6</v>
      </c>
      <c r="U82">
        <v>4.125200746966E-7</v>
      </c>
      <c r="V82">
        <v>2.8084238295077598E-6</v>
      </c>
      <c r="W82">
        <v>3.1766122571057801E-8</v>
      </c>
      <c r="X82">
        <v>5.6598056430874602E-7</v>
      </c>
      <c r="Y82">
        <v>4.5065445925902302E-8</v>
      </c>
      <c r="Z82">
        <v>1.42312116753106E-9</v>
      </c>
      <c r="AA82">
        <v>1.45708796851974E-6</v>
      </c>
      <c r="AB82">
        <v>2.7916371236043002E-6</v>
      </c>
      <c r="AC82">
        <v>1.5440185698856399E-5</v>
      </c>
      <c r="AD82">
        <v>1.4520104015757501E-6</v>
      </c>
      <c r="AE82">
        <v>7.9075878412292005E-7</v>
      </c>
      <c r="AF82">
        <f t="shared" si="1"/>
        <v>8.0795760426525786E-5</v>
      </c>
    </row>
    <row r="83" spans="1:32" x14ac:dyDescent="0.3">
      <c r="A83" t="str">
        <v>Sous-ensemble</v>
      </c>
      <c r="B83" t="str">
        <v>Ens. Coussin dossier</v>
      </c>
      <c r="C83" t="str">
        <v>FRMC55</v>
      </c>
      <c r="D83">
        <v>1.8032929712351401E-4</v>
      </c>
      <c r="E83">
        <v>4.9469494086293796E-4</v>
      </c>
      <c r="F83">
        <v>1.5867012675641801E-7</v>
      </c>
      <c r="G83">
        <v>4.9443879117531703E-4</v>
      </c>
      <c r="H83">
        <v>9.7479560864853106E-8</v>
      </c>
      <c r="I83">
        <v>2.20816922084095E-3</v>
      </c>
      <c r="J83">
        <v>4.2356632280126798E-4</v>
      </c>
      <c r="K83">
        <v>1.7817663461976599E-3</v>
      </c>
      <c r="L83">
        <v>2.8365518420235002E-6</v>
      </c>
      <c r="M83">
        <v>1.6667157773702101E-5</v>
      </c>
      <c r="N83">
        <v>1.3585358475305499E-4</v>
      </c>
      <c r="O83">
        <v>1.51818879501617E-4</v>
      </c>
      <c r="P83">
        <v>9.1911690091351205E-5</v>
      </c>
      <c r="Q83">
        <v>0</v>
      </c>
      <c r="R83">
        <v>8.0970020352277296E-5</v>
      </c>
      <c r="S83">
        <v>1.0941669739074E-5</v>
      </c>
      <c r="T83">
        <v>4.6281227100300801E-4</v>
      </c>
      <c r="U83">
        <v>3.1942239505496097E-5</v>
      </c>
      <c r="V83">
        <v>4.3023913163424301E-4</v>
      </c>
      <c r="W83">
        <v>2.75658947571595E-6</v>
      </c>
      <c r="X83">
        <v>4.0970949439484202E-5</v>
      </c>
      <c r="Y83">
        <v>4.25417326615256E-6</v>
      </c>
      <c r="Z83">
        <v>3.88155775282993E-7</v>
      </c>
      <c r="AA83">
        <v>2.22964179323309E-4</v>
      </c>
      <c r="AB83">
        <v>2.07215834105551E-4</v>
      </c>
      <c r="AC83">
        <v>1.38400415862814E-3</v>
      </c>
      <c r="AD83">
        <v>3.84180113501124E-4</v>
      </c>
      <c r="AE83">
        <v>1.0399751655412899E-4</v>
      </c>
      <c r="AF83">
        <f t="shared" si="1"/>
        <v>9.349945934954005E-3</v>
      </c>
    </row>
    <row r="84" spans="1:32" x14ac:dyDescent="0.3">
      <c r="A84" t="str">
        <v>Sous-ensemble</v>
      </c>
      <c r="B84" t="str">
        <v>Ens. Coussin dossier</v>
      </c>
      <c r="C84" t="str">
        <v>packaging</v>
      </c>
      <c r="D84">
        <v>5.8699999999999997E-5</v>
      </c>
      <c r="E84">
        <v>6.9200000000000002E-5</v>
      </c>
      <c r="F84">
        <v>1.0900000000000001E-5</v>
      </c>
      <c r="G84">
        <v>-4.1300000000000003E-6</v>
      </c>
      <c r="H84">
        <v>-5.2400000000000005E-10</v>
      </c>
      <c r="I84">
        <v>1.3899999999999999E-4</v>
      </c>
      <c r="J84">
        <v>1.0499999999999999E-6</v>
      </c>
      <c r="K84">
        <v>-6.4300000000000003E-6</v>
      </c>
      <c r="L84">
        <v>1.79E-7</v>
      </c>
      <c r="M84">
        <v>1.64E-4</v>
      </c>
      <c r="N84">
        <v>3.8000000000000002E-5</v>
      </c>
      <c r="O84">
        <v>3.93E-5</v>
      </c>
      <c r="P84">
        <v>1.26E-5</v>
      </c>
      <c r="Q84">
        <v>-7.4600000000000005E-15</v>
      </c>
      <c r="R84">
        <v>1.6879100403587E-7</v>
      </c>
      <c r="S84">
        <v>-2.5774416387720399E-7</v>
      </c>
      <c r="T84">
        <v>2.7787867452457599E-5</v>
      </c>
      <c r="U84">
        <v>2.56865706071746E-7</v>
      </c>
      <c r="V84">
        <v>1.1679312696131899E-6</v>
      </c>
      <c r="W84">
        <v>5.5509453953201004E-7</v>
      </c>
      <c r="X84">
        <v>2.9114400304190301E-5</v>
      </c>
      <c r="Y84">
        <v>1.22426139062187E-4</v>
      </c>
      <c r="Z84">
        <v>9.7641435480389892E-7</v>
      </c>
      <c r="AA84">
        <v>1.0316864165031001E-4</v>
      </c>
      <c r="AB84">
        <v>4.9390466754554101E-5</v>
      </c>
      <c r="AC84">
        <v>1.0899815904872301E-4</v>
      </c>
      <c r="AD84">
        <v>1.04692793206935E-5</v>
      </c>
      <c r="AE84">
        <v>8.4663475934715193E-3</v>
      </c>
      <c r="AF84">
        <f t="shared" si="1"/>
        <v>9.4429383757673544E-3</v>
      </c>
    </row>
    <row r="85" spans="1:32" x14ac:dyDescent="0.3">
      <c r="A85" t="str">
        <v>Sous-ensemble</v>
      </c>
      <c r="B85" t="str">
        <v>Ens. Coussin dossier</v>
      </c>
      <c r="C85" t="str">
        <v>tissu</v>
      </c>
      <c r="D85">
        <v>7.43E-3</v>
      </c>
      <c r="E85">
        <v>2.0699999999999998E-3</v>
      </c>
      <c r="F85">
        <v>0</v>
      </c>
      <c r="G85">
        <v>0</v>
      </c>
      <c r="H85">
        <v>0</v>
      </c>
      <c r="I85">
        <v>2.4199999999999998E-3</v>
      </c>
      <c r="J85">
        <v>0</v>
      </c>
      <c r="K85">
        <v>0</v>
      </c>
      <c r="L85">
        <v>0</v>
      </c>
      <c r="M85">
        <v>2.5600000000000002E-3</v>
      </c>
      <c r="N85">
        <v>4.2100000000000002E-3</v>
      </c>
      <c r="O85">
        <v>1.03E-2</v>
      </c>
      <c r="P85">
        <v>1.15E-4</v>
      </c>
      <c r="Q85">
        <v>0</v>
      </c>
      <c r="R85">
        <v>0</v>
      </c>
      <c r="S85">
        <v>0</v>
      </c>
      <c r="T85">
        <v>4.75184283689058E-4</v>
      </c>
      <c r="U85">
        <v>0</v>
      </c>
      <c r="V85">
        <v>0</v>
      </c>
      <c r="W85">
        <v>0</v>
      </c>
      <c r="X85">
        <v>7.5293016030172306E-5</v>
      </c>
      <c r="Y85">
        <v>2.3977125432925401E-3</v>
      </c>
      <c r="Z85">
        <v>4.01996985757749E-6</v>
      </c>
      <c r="AA85">
        <v>4.8310273884007698E-3</v>
      </c>
      <c r="AB85">
        <v>4.1668225117278898E-4</v>
      </c>
      <c r="AC85">
        <v>4.22255606319813E-4</v>
      </c>
      <c r="AD85">
        <v>9.6514466486020294E-5</v>
      </c>
      <c r="AE85">
        <v>1.87314874028633E-2</v>
      </c>
      <c r="AF85">
        <f t="shared" si="1"/>
        <v>5.6555176928112044E-2</v>
      </c>
    </row>
    <row r="86" spans="1:32" x14ac:dyDescent="0.3">
      <c r="A86" t="str">
        <v>Sous-ensemble</v>
      </c>
      <c r="B86" t="str">
        <v>Ens. Coussin dossier</v>
      </c>
      <c r="C86" t="str">
        <v>Transport</v>
      </c>
      <c r="D86">
        <v>4.4299999999999999E-5</v>
      </c>
      <c r="E86">
        <v>5.0800000000000002E-5</v>
      </c>
      <c r="F86">
        <v>1.5200000000000001E-7</v>
      </c>
      <c r="G86">
        <v>5.0300000000000003E-5</v>
      </c>
      <c r="H86">
        <v>4.15E-7</v>
      </c>
      <c r="I86">
        <v>9.5099999999999994E-5</v>
      </c>
      <c r="J86">
        <v>9.2100000000000003E-5</v>
      </c>
      <c r="K86">
        <v>1.8899999999999999E-6</v>
      </c>
      <c r="L86">
        <v>1.13E-6</v>
      </c>
      <c r="M86">
        <v>7.6000000000000003E-7</v>
      </c>
      <c r="N86">
        <v>6.1500000000000004E-5</v>
      </c>
      <c r="O86">
        <v>7.5300000000000001E-5</v>
      </c>
      <c r="P86">
        <v>4.8600000000000001E-6</v>
      </c>
      <c r="Q86">
        <v>1.26E-16</v>
      </c>
      <c r="R86">
        <v>4.7339922811697202E-6</v>
      </c>
      <c r="S86">
        <v>1.2826724111777601E-7</v>
      </c>
      <c r="T86">
        <v>1.98498170668888E-5</v>
      </c>
      <c r="U86">
        <v>4.4652201401162898E-6</v>
      </c>
      <c r="V86">
        <v>1.5352517510128299E-5</v>
      </c>
      <c r="W86">
        <v>1.3950962085114901E-7</v>
      </c>
      <c r="X86">
        <v>3.4527765277112502E-7</v>
      </c>
      <c r="Y86">
        <v>2.2953957031892101E-6</v>
      </c>
      <c r="Z86">
        <v>1.51208915191359E-15</v>
      </c>
      <c r="AA86">
        <v>1.5341178206798301E-5</v>
      </c>
      <c r="AB86">
        <v>5.7140241468787699E-5</v>
      </c>
      <c r="AC86">
        <v>8.4192483998449903E-5</v>
      </c>
      <c r="AD86">
        <v>5.7470886989146805E-7</v>
      </c>
      <c r="AE86">
        <v>3.3246179796965199E-7</v>
      </c>
      <c r="AF86">
        <f t="shared" si="1"/>
        <v>6.8349807155976738E-4</v>
      </c>
    </row>
    <row r="87" spans="1:32" x14ac:dyDescent="0.3">
      <c r="A87" t="str">
        <v>Sous-ensemble</v>
      </c>
      <c r="B87" t="str">
        <v>Ens. Coussin dossier</v>
      </c>
      <c r="C87" t="str">
        <v>velcro</v>
      </c>
      <c r="D87">
        <v>1.39E-6</v>
      </c>
      <c r="E87">
        <v>4.8300000000000003E-6</v>
      </c>
      <c r="F87">
        <v>9.4300000000000007E-9</v>
      </c>
      <c r="G87">
        <v>4.8199999999999996E-6</v>
      </c>
      <c r="H87">
        <v>9.3099999999999999E-10</v>
      </c>
      <c r="I87">
        <v>1.1800000000000001E-5</v>
      </c>
      <c r="J87">
        <v>6.4300000000000003E-6</v>
      </c>
      <c r="K87">
        <v>5.3299999999999998E-6</v>
      </c>
      <c r="L87">
        <v>6.7500000000000002E-8</v>
      </c>
      <c r="M87">
        <v>6.7099999999999999E-8</v>
      </c>
      <c r="N87">
        <v>1.31E-6</v>
      </c>
      <c r="O87">
        <v>1.4699999999999999E-6</v>
      </c>
      <c r="P87">
        <v>6.2399999999999998E-7</v>
      </c>
      <c r="Q87">
        <v>1.2500000000000001E-16</v>
      </c>
      <c r="R87">
        <v>4.9737417171971003E-7</v>
      </c>
      <c r="S87">
        <v>1.26952443992549E-7</v>
      </c>
      <c r="T87">
        <v>2.4232693529143E-6</v>
      </c>
      <c r="U87">
        <v>3.0939005602245001E-7</v>
      </c>
      <c r="V87">
        <v>2.1063178721308201E-6</v>
      </c>
      <c r="W87">
        <v>2.38245919282933E-8</v>
      </c>
      <c r="X87">
        <v>4.2448542323155999E-7</v>
      </c>
      <c r="Y87">
        <v>3.3799084444426498E-8</v>
      </c>
      <c r="Z87">
        <v>1.0673408756482999E-9</v>
      </c>
      <c r="AA87">
        <v>1.0928159763898E-6</v>
      </c>
      <c r="AB87">
        <v>2.09372784270323E-6</v>
      </c>
      <c r="AC87">
        <v>1.1580139274142299E-5</v>
      </c>
      <c r="AD87">
        <v>1.08900780118182E-6</v>
      </c>
      <c r="AE87">
        <v>5.9306908809224801E-7</v>
      </c>
      <c r="AF87">
        <f t="shared" si="1"/>
        <v>6.0544201319894154E-5</v>
      </c>
    </row>
    <row r="88" spans="1:32" x14ac:dyDescent="0.3">
      <c r="A88" t="str">
        <v>Sous-ensemble</v>
      </c>
      <c r="B88" t="str">
        <v>Ens. Coussin dossier</v>
      </c>
      <c r="C88" t="str">
        <v>velours</v>
      </c>
      <c r="D88">
        <v>5.1000000000000003E-6</v>
      </c>
      <c r="E88">
        <v>1.77E-5</v>
      </c>
      <c r="F88">
        <v>3.4599999999999999E-8</v>
      </c>
      <c r="G88">
        <v>1.77E-5</v>
      </c>
      <c r="H88">
        <v>3.41E-9</v>
      </c>
      <c r="I88">
        <v>4.3399999999999998E-5</v>
      </c>
      <c r="J88">
        <v>2.3600000000000001E-5</v>
      </c>
      <c r="K88">
        <v>1.95E-5</v>
      </c>
      <c r="L88">
        <v>2.48E-7</v>
      </c>
      <c r="M88">
        <v>2.4600000000000001E-7</v>
      </c>
      <c r="N88">
        <v>4.7899999999999999E-6</v>
      </c>
      <c r="O88">
        <v>5.3800000000000002E-6</v>
      </c>
      <c r="P88">
        <v>2.2900000000000001E-6</v>
      </c>
      <c r="Q88">
        <v>4.5999999999999998E-16</v>
      </c>
      <c r="R88">
        <v>1.8237052963055999E-6</v>
      </c>
      <c r="S88">
        <v>4.65492294639345E-7</v>
      </c>
      <c r="T88">
        <v>8.8853209606857808E-6</v>
      </c>
      <c r="U88">
        <v>1.1344302054156499E-6</v>
      </c>
      <c r="V88">
        <v>7.7231655311463296E-6</v>
      </c>
      <c r="W88">
        <v>8.7356837070408803E-8</v>
      </c>
      <c r="X88">
        <v>1.55644655184905E-6</v>
      </c>
      <c r="Y88">
        <v>1.2392997629622999E-7</v>
      </c>
      <c r="Z88">
        <v>3.9135832107104196E-9</v>
      </c>
      <c r="AA88">
        <v>4.0069919134292701E-6</v>
      </c>
      <c r="AB88">
        <v>7.6770020899118308E-6</v>
      </c>
      <c r="AC88">
        <v>4.2460510671855202E-5</v>
      </c>
      <c r="AD88">
        <v>3.9930286043333199E-6</v>
      </c>
      <c r="AE88">
        <v>2.1745866563380299E-6</v>
      </c>
      <c r="AF88">
        <f t="shared" si="1"/>
        <v>2.2210789117294678E-4</v>
      </c>
    </row>
    <row r="89" spans="1:32" x14ac:dyDescent="0.3">
      <c r="A89" t="str">
        <v>Sous-ensemble</v>
      </c>
      <c r="B89" t="str">
        <v>Ens. Stowage latéral</v>
      </c>
      <c r="C89" t="str">
        <v>15CDV6</v>
      </c>
      <c r="D89">
        <v>3.1E-6</v>
      </c>
      <c r="E89">
        <v>8.0600000000000008E-6</v>
      </c>
      <c r="F89">
        <v>3.2799999999999998E-9</v>
      </c>
      <c r="G89">
        <v>8.0499999999999992E-6</v>
      </c>
      <c r="H89">
        <v>2.2900000000000002E-9</v>
      </c>
      <c r="I89">
        <v>2.6000000000000001E-6</v>
      </c>
      <c r="J89">
        <v>1.9099999999999999E-6</v>
      </c>
      <c r="K89">
        <v>6.75E-7</v>
      </c>
      <c r="L89">
        <v>1.33E-8</v>
      </c>
      <c r="M89">
        <v>1.6700000000000001E-8</v>
      </c>
      <c r="N89">
        <v>2.0200000000000001E-6</v>
      </c>
      <c r="O89">
        <v>2.3499999999999999E-6</v>
      </c>
      <c r="P89">
        <v>3.3299999999999998E-7</v>
      </c>
      <c r="Q89">
        <v>2.55E-16</v>
      </c>
      <c r="R89">
        <v>1.1887572453588299E-7</v>
      </c>
      <c r="S89">
        <v>2.1374942384651799E-7</v>
      </c>
      <c r="T89">
        <v>3.0382280453863698E-6</v>
      </c>
      <c r="U89">
        <v>2.46690350276898E-6</v>
      </c>
      <c r="V89">
        <v>5.6957151933797995E-7</v>
      </c>
      <c r="W89">
        <v>3.1338723946764699E-8</v>
      </c>
      <c r="X89">
        <v>5.1237844317459096E-7</v>
      </c>
      <c r="Y89">
        <v>4.2846201148550699E-8</v>
      </c>
      <c r="Z89">
        <v>1.0211014740143001E-15</v>
      </c>
      <c r="AA89">
        <v>3.53805957182696E-6</v>
      </c>
      <c r="AB89">
        <v>3.2547720681484201E-6</v>
      </c>
      <c r="AC89">
        <v>1.1008474301573599E-5</v>
      </c>
      <c r="AD89">
        <v>3.4686892022490899E-7</v>
      </c>
      <c r="AE89">
        <v>1.9237879752372198E-6</v>
      </c>
      <c r="AF89">
        <f t="shared" si="1"/>
        <v>5.6199424422432849E-5</v>
      </c>
    </row>
    <row r="90" spans="1:32" x14ac:dyDescent="0.3">
      <c r="A90" t="str">
        <v>Sous-ensemble</v>
      </c>
      <c r="B90" t="str">
        <v>Ens. Stowage latéral</v>
      </c>
      <c r="C90" t="str">
        <v>A2017</v>
      </c>
      <c r="D90">
        <v>1.12E-4</v>
      </c>
      <c r="E90">
        <v>1.73E-4</v>
      </c>
      <c r="F90">
        <v>2.1400000000000001E-7</v>
      </c>
      <c r="G90">
        <v>1.65E-4</v>
      </c>
      <c r="H90">
        <v>7.6799999999999999E-8</v>
      </c>
      <c r="I90">
        <v>1.4899999999999999E-4</v>
      </c>
      <c r="J90">
        <v>8.7200000000000005E-5</v>
      </c>
      <c r="K90">
        <v>4.0299999999999997E-5</v>
      </c>
      <c r="L90">
        <v>3.8299999999999998E-6</v>
      </c>
      <c r="M90">
        <v>3.3699999999999999E-6</v>
      </c>
      <c r="N90">
        <v>5.0399999999999999E-5</v>
      </c>
      <c r="O90">
        <v>6.0600000000000003E-5</v>
      </c>
      <c r="P90">
        <v>3.7200000000000003E-5</v>
      </c>
      <c r="Q90">
        <v>2.2800000000000001E-14</v>
      </c>
      <c r="R90">
        <v>8.58977968978457E-6</v>
      </c>
      <c r="S90">
        <v>2.6565447570112601E-5</v>
      </c>
      <c r="T90">
        <v>6.52367298008233E-5</v>
      </c>
      <c r="U90">
        <v>9.2717227219221896E-6</v>
      </c>
      <c r="V90">
        <v>5.2517824180548298E-5</v>
      </c>
      <c r="W90">
        <v>6.3094607430724598E-7</v>
      </c>
      <c r="X90">
        <v>5.4569365191645599E-5</v>
      </c>
      <c r="Y90">
        <v>3.2458411028305299E-6</v>
      </c>
      <c r="Z90">
        <v>2.6525449004560701E-7</v>
      </c>
      <c r="AA90">
        <v>1.0871841641545299E-4</v>
      </c>
      <c r="AB90">
        <v>7.4640760875718906E-5</v>
      </c>
      <c r="AC90">
        <v>2.9491021836548602E-4</v>
      </c>
      <c r="AD90">
        <v>3.1961166014980101E-4</v>
      </c>
      <c r="AE90">
        <v>4.2557280044161803E-5</v>
      </c>
      <c r="AF90">
        <f t="shared" si="1"/>
        <v>1.9435220466954403E-3</v>
      </c>
    </row>
    <row r="91" spans="1:32" x14ac:dyDescent="0.3">
      <c r="A91" t="str">
        <v>Sous-ensemble</v>
      </c>
      <c r="B91" t="str">
        <v>Ens. Stowage latéral</v>
      </c>
      <c r="C91" t="str">
        <v>A5086</v>
      </c>
      <c r="D91">
        <v>1.74E-4</v>
      </c>
      <c r="E91">
        <v>2.7E-4</v>
      </c>
      <c r="F91">
        <v>3.1899999999999998E-7</v>
      </c>
      <c r="G91">
        <v>2.6899999999999998E-4</v>
      </c>
      <c r="H91">
        <v>1.04E-7</v>
      </c>
      <c r="I91">
        <v>2.0599999999999999E-4</v>
      </c>
      <c r="J91">
        <v>1.4300000000000001E-4</v>
      </c>
      <c r="K91">
        <v>5.6199999999999997E-5</v>
      </c>
      <c r="L91">
        <v>6.9800000000000001E-6</v>
      </c>
      <c r="M91">
        <v>5.7400000000000003E-7</v>
      </c>
      <c r="N91">
        <v>7.1000000000000005E-5</v>
      </c>
      <c r="O91">
        <v>8.5500000000000005E-5</v>
      </c>
      <c r="P91">
        <v>6.2799999999999995E-5</v>
      </c>
      <c r="Q91">
        <v>3.4300000000000003E-14</v>
      </c>
      <c r="R91">
        <v>1.45251470050197E-5</v>
      </c>
      <c r="S91">
        <v>4.8301995836661997E-5</v>
      </c>
      <c r="T91">
        <v>1.0018048548294199E-4</v>
      </c>
      <c r="U91">
        <v>1.385537095968E-5</v>
      </c>
      <c r="V91">
        <v>8.6117421033531094E-5</v>
      </c>
      <c r="W91">
        <v>9.8247982766676306E-7</v>
      </c>
      <c r="X91">
        <v>7.2451848932079501E-5</v>
      </c>
      <c r="Y91">
        <v>2.6318399164423798E-6</v>
      </c>
      <c r="Z91">
        <v>1.2757351542459601E-12</v>
      </c>
      <c r="AA91">
        <v>1.8490552893817E-4</v>
      </c>
      <c r="AB91">
        <v>1.05345385707377E-4</v>
      </c>
      <c r="AC91">
        <v>4.13737277467641E-4</v>
      </c>
      <c r="AD91">
        <v>5.3303590432630001E-5</v>
      </c>
      <c r="AE91">
        <v>2.8300080458315601E-5</v>
      </c>
      <c r="AF91">
        <f t="shared" si="1"/>
        <v>2.4701154533081919E-3</v>
      </c>
    </row>
    <row r="92" spans="1:32" x14ac:dyDescent="0.3">
      <c r="A92" t="str">
        <v>Sous-ensemble</v>
      </c>
      <c r="B92" t="str">
        <v>Ens. Stowage latéral</v>
      </c>
      <c r="C92" t="str">
        <v>acier</v>
      </c>
      <c r="D92">
        <v>2.1399999999999998E-6</v>
      </c>
      <c r="E92">
        <v>5.57E-6</v>
      </c>
      <c r="F92">
        <v>2.2699999999999998E-9</v>
      </c>
      <c r="G92">
        <v>5.5600000000000001E-6</v>
      </c>
      <c r="H92">
        <v>1.5799999999999999E-9</v>
      </c>
      <c r="I92">
        <v>1.79E-6</v>
      </c>
      <c r="J92">
        <v>1.3200000000000001E-6</v>
      </c>
      <c r="K92">
        <v>4.6600000000000002E-7</v>
      </c>
      <c r="L92">
        <v>9.1800000000000001E-9</v>
      </c>
      <c r="M92">
        <v>1.16E-8</v>
      </c>
      <c r="N92">
        <v>1.3999999999999999E-6</v>
      </c>
      <c r="O92">
        <v>1.6300000000000001E-6</v>
      </c>
      <c r="P92">
        <v>2.2999999999999999E-7</v>
      </c>
      <c r="Q92">
        <v>1.76E-16</v>
      </c>
      <c r="R92">
        <v>8.2123673263007694E-8</v>
      </c>
      <c r="S92">
        <v>1.4766587469949599E-7</v>
      </c>
      <c r="T92">
        <v>2.0989184147727401E-6</v>
      </c>
      <c r="U92">
        <v>1.7042266452947301E-6</v>
      </c>
      <c r="V92">
        <v>3.9348071725028898E-7</v>
      </c>
      <c r="W92">
        <v>2.16499300923867E-8</v>
      </c>
      <c r="X92">
        <v>3.5396966048839499E-7</v>
      </c>
      <c r="Y92">
        <v>2.9599713797096899E-8</v>
      </c>
      <c r="Z92">
        <v>7.0541402921177099E-16</v>
      </c>
      <c r="AA92">
        <v>2.4442202089297701E-6</v>
      </c>
      <c r="AB92">
        <v>2.24851490002486E-6</v>
      </c>
      <c r="AC92">
        <v>7.6050543556834598E-6</v>
      </c>
      <c r="AD92">
        <v>2.3962966350664802E-7</v>
      </c>
      <c r="AE92">
        <v>1.32902268922023E-6</v>
      </c>
      <c r="AF92">
        <f t="shared" si="1"/>
        <v>3.8828706447904517E-5</v>
      </c>
    </row>
    <row r="93" spans="1:32" x14ac:dyDescent="0.3">
      <c r="A93" t="str">
        <v>Sous-ensemble</v>
      </c>
      <c r="B93" t="str">
        <v>Ens. Stowage latéral</v>
      </c>
      <c r="C93" t="str">
        <v>cuir</v>
      </c>
      <c r="D93">
        <v>4.6100000000000002E-5</v>
      </c>
      <c r="E93">
        <v>4.3999999999999999E-5</v>
      </c>
      <c r="F93">
        <v>0</v>
      </c>
      <c r="G93">
        <v>4.3999999999999999E-5</v>
      </c>
      <c r="H93">
        <v>0</v>
      </c>
      <c r="I93">
        <v>3.96E-5</v>
      </c>
      <c r="J93">
        <v>3.7400000000000001E-5</v>
      </c>
      <c r="K93">
        <v>1.4500000000000001E-6</v>
      </c>
      <c r="L93">
        <v>6.99E-7</v>
      </c>
      <c r="M93">
        <v>2.4600000000000002E-6</v>
      </c>
      <c r="N93">
        <v>1.6900000000000001E-5</v>
      </c>
      <c r="O93">
        <v>2.02E-5</v>
      </c>
      <c r="P93">
        <v>6.4400000000000004E-3</v>
      </c>
      <c r="Q93">
        <v>0</v>
      </c>
      <c r="R93">
        <v>2.4672223043845799E-6</v>
      </c>
      <c r="S93">
        <v>6.4415591721880602E-3</v>
      </c>
      <c r="T93">
        <v>3.1455128915948198E-5</v>
      </c>
      <c r="U93">
        <v>1.1383081159051501E-5</v>
      </c>
      <c r="V93">
        <v>2.0004917122211901E-5</v>
      </c>
      <c r="W93">
        <v>6.7409170002919902E-7</v>
      </c>
      <c r="X93">
        <v>0</v>
      </c>
      <c r="Y93">
        <v>0</v>
      </c>
      <c r="Z93">
        <v>0</v>
      </c>
      <c r="AA93">
        <v>4.0970813854310898E-5</v>
      </c>
      <c r="AB93">
        <v>2.4949900992478899E-5</v>
      </c>
      <c r="AC93">
        <v>1.43494479996871E-4</v>
      </c>
      <c r="AD93">
        <v>5.92134282132735E-7</v>
      </c>
      <c r="AE93">
        <v>3.9887373170694899E-5</v>
      </c>
      <c r="AF93">
        <f t="shared" si="1"/>
        <v>1.3450247315686175E-2</v>
      </c>
    </row>
    <row r="94" spans="1:32" x14ac:dyDescent="0.3">
      <c r="A94" t="str">
        <v>Sous-ensemble</v>
      </c>
      <c r="B94" t="str">
        <v>Ens. Stowage latéral</v>
      </c>
      <c r="C94" t="str">
        <v>Ertalon</v>
      </c>
      <c r="D94">
        <v>8.6777410223253399E-7</v>
      </c>
      <c r="E94">
        <v>2.69534072999387E-6</v>
      </c>
      <c r="F94">
        <v>3.6330038305444001E-10</v>
      </c>
      <c r="G94">
        <v>2.6949027394642301E-6</v>
      </c>
      <c r="H94">
        <v>7.4690146580844206E-11</v>
      </c>
      <c r="I94">
        <v>1.2935320439556201E-5</v>
      </c>
      <c r="J94">
        <v>2.6266359417123699E-7</v>
      </c>
      <c r="K94">
        <v>1.26023413901632E-5</v>
      </c>
      <c r="L94">
        <v>7.0315455221820393E-8</v>
      </c>
      <c r="M94">
        <v>4.12719552731943E-7</v>
      </c>
      <c r="N94">
        <v>7.2377773749208102E-7</v>
      </c>
      <c r="O94">
        <v>8.5080683621724605E-7</v>
      </c>
      <c r="P94">
        <v>3.8755960324265E-7</v>
      </c>
      <c r="Q94">
        <v>5.7771842245322397E-13</v>
      </c>
      <c r="R94">
        <v>3.6684014608353499E-7</v>
      </c>
      <c r="S94">
        <v>2.0718879440691999E-8</v>
      </c>
      <c r="T94">
        <v>2.3617116884100201E-6</v>
      </c>
      <c r="U94">
        <v>7.9467553156123896E-8</v>
      </c>
      <c r="V94">
        <v>2.27648562464307E-6</v>
      </c>
      <c r="W94">
        <v>1.84939861629958E-8</v>
      </c>
      <c r="X94">
        <v>7.8575155122045501E-7</v>
      </c>
      <c r="Y94">
        <v>3.3175726212565302E-9</v>
      </c>
      <c r="Z94">
        <v>5.2872479462383204E-15</v>
      </c>
      <c r="AA94">
        <v>4.5013118830710603E-7</v>
      </c>
      <c r="AB94">
        <v>9.4519824945446703E-7</v>
      </c>
      <c r="AC94">
        <v>5.6679815443656003E-6</v>
      </c>
      <c r="AD94">
        <v>-6.4857157361377803E-9</v>
      </c>
      <c r="AE94">
        <v>-9.9596645133774704E-8</v>
      </c>
      <c r="AF94">
        <f t="shared" si="1"/>
        <v>4.7373976377017731E-5</v>
      </c>
    </row>
    <row r="95" spans="1:32" x14ac:dyDescent="0.3">
      <c r="A95" t="str">
        <v>Sous-ensemble</v>
      </c>
      <c r="B95" t="str">
        <v>Ens. Stowage latéral</v>
      </c>
      <c r="C95" t="str">
        <v>FRMC55</v>
      </c>
      <c r="D95">
        <v>2.6446093070359498E-6</v>
      </c>
      <c r="E95">
        <v>7.2549212225545397E-6</v>
      </c>
      <c r="F95">
        <v>2.3269679450987001E-9</v>
      </c>
      <c r="G95">
        <v>7.25116467351518E-6</v>
      </c>
      <c r="H95">
        <v>1.4295810942599899E-9</v>
      </c>
      <c r="I95">
        <v>3.2383783257062499E-5</v>
      </c>
      <c r="J95">
        <v>6.21178841871703E-6</v>
      </c>
      <c r="K95">
        <v>2.61303955446036E-5</v>
      </c>
      <c r="L95">
        <v>4.1599293741866202E-8</v>
      </c>
      <c r="M95">
        <v>2.4443127807445902E-7</v>
      </c>
      <c r="N95">
        <v>1.9923532136103399E-6</v>
      </c>
      <c r="O95">
        <v>2.22649135841052E-6</v>
      </c>
      <c r="P95">
        <v>1.3479257941902999E-6</v>
      </c>
      <c r="Q95">
        <v>0</v>
      </c>
      <c r="R95">
        <v>1.1874613433881199E-6</v>
      </c>
      <c r="S95">
        <v>1.6046445080218501E-7</v>
      </c>
      <c r="T95">
        <v>6.7873476957361404E-6</v>
      </c>
      <c r="U95">
        <v>4.6844714215209699E-7</v>
      </c>
      <c r="V95">
        <v>6.3096481266250104E-6</v>
      </c>
      <c r="W95">
        <v>4.0426610092992799E-8</v>
      </c>
      <c r="X95">
        <v>6.0085718701351701E-7</v>
      </c>
      <c r="Y95">
        <v>6.2389342125060497E-8</v>
      </c>
      <c r="Z95">
        <v>5.6924769977340798E-9</v>
      </c>
      <c r="AA95">
        <v>3.2698688076745502E-6</v>
      </c>
      <c r="AB95">
        <v>3.0389123241877398E-6</v>
      </c>
      <c r="AC95">
        <v>2.02970362401927E-5</v>
      </c>
      <c r="AD95">
        <v>5.6341721503372904E-6</v>
      </c>
      <c r="AE95">
        <v>1.5251698119761899E-6</v>
      </c>
      <c r="AF95">
        <f t="shared" si="1"/>
        <v>1.3712111361985696E-4</v>
      </c>
    </row>
    <row r="96" spans="1:32" x14ac:dyDescent="0.3">
      <c r="A96" t="str">
        <v>Sous-ensemble</v>
      </c>
      <c r="B96" t="str">
        <v>Ens. Stowage latéral</v>
      </c>
      <c r="C96" t="str">
        <v>kydex</v>
      </c>
      <c r="D96">
        <v>1.3107124527670099E-4</v>
      </c>
      <c r="E96">
        <v>3.3991604932999799E-4</v>
      </c>
      <c r="F96">
        <v>2.2165273554545502E-6</v>
      </c>
      <c r="G96">
        <v>3.0204157456064599E-4</v>
      </c>
      <c r="H96">
        <v>6.8816518459221897E-9</v>
      </c>
      <c r="I96">
        <v>7.68905504984407E-4</v>
      </c>
      <c r="J96">
        <v>6.1790076647768298E-4</v>
      </c>
      <c r="K96">
        <v>1.5892326769830198E-5</v>
      </c>
      <c r="L96">
        <v>6.5810778748463498E-6</v>
      </c>
      <c r="M96">
        <v>8.42447014142636E-5</v>
      </c>
      <c r="N96">
        <v>8.83376967170679E-5</v>
      </c>
      <c r="O96">
        <v>9.7807083532675399E-5</v>
      </c>
      <c r="P96">
        <v>6.1912707962748903E-5</v>
      </c>
      <c r="Q96">
        <v>0</v>
      </c>
      <c r="R96">
        <v>3.3487766395077602E-5</v>
      </c>
      <c r="S96">
        <v>1.50703043753069E-5</v>
      </c>
      <c r="T96">
        <v>2.28467382664899E-4</v>
      </c>
      <c r="U96">
        <v>2.8611833847764699E-5</v>
      </c>
      <c r="V96">
        <v>1.88685389066601E-4</v>
      </c>
      <c r="W96">
        <v>1.8437207133268699E-6</v>
      </c>
      <c r="X96">
        <v>2.3997893211804899E-4</v>
      </c>
      <c r="Y96">
        <v>5.35665864447854E-6</v>
      </c>
      <c r="Z96">
        <v>6.2755477725840603E-7</v>
      </c>
      <c r="AA96">
        <v>1.04777784409739E-4</v>
      </c>
      <c r="AB96">
        <v>1.5697606736361601E-4</v>
      </c>
      <c r="AC96">
        <v>1.2911293081050801E-3</v>
      </c>
      <c r="AD96">
        <v>2.8145104203170499E-5</v>
      </c>
      <c r="AE96">
        <v>3.44851117834099E-4</v>
      </c>
      <c r="AF96">
        <f t="shared" si="1"/>
        <v>5.1848430684266339E-3</v>
      </c>
    </row>
    <row r="97" spans="1:32" x14ac:dyDescent="0.3">
      <c r="A97" t="str">
        <v>Sous-ensemble</v>
      </c>
      <c r="B97" t="str">
        <v>Ens. Stowage latéral</v>
      </c>
      <c r="C97" t="str">
        <v>nylon</v>
      </c>
      <c r="D97">
        <v>1.83826168530672E-6</v>
      </c>
      <c r="E97">
        <v>5.2645457796929902E-6</v>
      </c>
      <c r="F97">
        <v>6.9865737449747603E-10</v>
      </c>
      <c r="G97">
        <v>5.26370211640278E-6</v>
      </c>
      <c r="H97">
        <v>1.4500591571277E-10</v>
      </c>
      <c r="I97">
        <v>1.0371607684631101E-4</v>
      </c>
      <c r="J97">
        <v>1.9680595189114E-6</v>
      </c>
      <c r="K97">
        <v>3.8133131746637202E-5</v>
      </c>
      <c r="L97">
        <v>6.3614885580762196E-5</v>
      </c>
      <c r="M97">
        <v>9.3287302817747097E-7</v>
      </c>
      <c r="N97">
        <v>1.59695687905238E-6</v>
      </c>
      <c r="O97">
        <v>1.5402083101425501E-6</v>
      </c>
      <c r="P97">
        <v>3.59925434425118E-6</v>
      </c>
      <c r="Q97">
        <v>7.2997625410542202E-13</v>
      </c>
      <c r="R97">
        <v>3.4773822514257002E-6</v>
      </c>
      <c r="S97">
        <v>1.21871362849225E-7</v>
      </c>
      <c r="T97">
        <v>2.6629637505107499E-5</v>
      </c>
      <c r="U97">
        <v>2.36173784382368E-7</v>
      </c>
      <c r="V97">
        <v>2.5675443361254201E-5</v>
      </c>
      <c r="W97">
        <v>7.4496782013896996E-7</v>
      </c>
      <c r="X97">
        <v>2.6371065845975401E-6</v>
      </c>
      <c r="Y97">
        <v>6.4540855591307201E-9</v>
      </c>
      <c r="Z97">
        <v>3.2741547508556102E-14</v>
      </c>
      <c r="AA97">
        <v>1.3150965055312E-6</v>
      </c>
      <c r="AB97">
        <v>2.1485406739801199E-6</v>
      </c>
      <c r="AC97">
        <v>1.2157200993345999E-5</v>
      </c>
      <c r="AD97">
        <v>3.2952432907210599E-7</v>
      </c>
      <c r="AE97">
        <v>2.68854798597261E-5</v>
      </c>
      <c r="AF97">
        <f t="shared" si="1"/>
        <v>3.2983367937862608E-4</v>
      </c>
    </row>
    <row r="98" spans="1:32" x14ac:dyDescent="0.3">
      <c r="A98" t="str">
        <v>Sous-ensemble</v>
      </c>
      <c r="B98" t="str">
        <v>Ens. Stowage latéral</v>
      </c>
      <c r="C98" t="str">
        <v>packaging</v>
      </c>
      <c r="D98">
        <v>1.7489872997041401E-6</v>
      </c>
      <c r="E98">
        <v>1.9658986913797301E-6</v>
      </c>
      <c r="F98">
        <v>1.69914847629014E-6</v>
      </c>
      <c r="G98">
        <v>-5.0062097139020199E-8</v>
      </c>
      <c r="H98">
        <v>6.6129437300141398E-9</v>
      </c>
      <c r="I98">
        <v>1.6382185308148901E-6</v>
      </c>
      <c r="J98">
        <v>2.10858986005675E-6</v>
      </c>
      <c r="K98">
        <v>-1.1991265473231301E-6</v>
      </c>
      <c r="L98">
        <v>3.1858778569250798E-8</v>
      </c>
      <c r="M98">
        <v>8.8362583133614703E-7</v>
      </c>
      <c r="N98">
        <v>1.80681171746087E-6</v>
      </c>
      <c r="O98">
        <v>2.0074376948478001E-6</v>
      </c>
      <c r="P98">
        <v>3.8809031443019501E-7</v>
      </c>
      <c r="Q98">
        <v>-1.9873230565051501E-15</v>
      </c>
      <c r="R98">
        <v>1.8677898088022E-7</v>
      </c>
      <c r="S98">
        <v>1.41375960153266E-7</v>
      </c>
      <c r="T98">
        <v>2.0429463441376801E-6</v>
      </c>
      <c r="U98">
        <v>6.5323209226136303E-7</v>
      </c>
      <c r="V98">
        <v>1.1733126648338E-6</v>
      </c>
      <c r="W98">
        <v>9.0914983744078496E-8</v>
      </c>
      <c r="X98">
        <v>-3.0590493149140602E-6</v>
      </c>
      <c r="Y98">
        <v>2.50204461749856E-5</v>
      </c>
      <c r="Z98">
        <v>4.8234882064892399E-9</v>
      </c>
      <c r="AA98">
        <v>2.0668009732699298E-6</v>
      </c>
      <c r="AB98">
        <v>2.4612389369792502E-6</v>
      </c>
      <c r="AC98">
        <v>-9.8150841120463592E-7</v>
      </c>
      <c r="AD98">
        <v>5.9685901137597294E-8</v>
      </c>
      <c r="AE98">
        <v>4.4743351115467798E-5</v>
      </c>
      <c r="AF98">
        <f t="shared" si="1"/>
        <v>8.7640441382108822E-5</v>
      </c>
    </row>
    <row r="99" spans="1:32" x14ac:dyDescent="0.3">
      <c r="A99" t="str">
        <v>Sous-ensemble</v>
      </c>
      <c r="B99" t="str">
        <v>Ens. Stowage latéral</v>
      </c>
      <c r="C99" t="str">
        <v>Transport</v>
      </c>
      <c r="D99">
        <v>1.3741199868162999E-5</v>
      </c>
      <c r="E99">
        <v>1.5777996174676299E-5</v>
      </c>
      <c r="F99">
        <v>4.7179647291843097E-8</v>
      </c>
      <c r="G99">
        <v>1.5602064788419899E-5</v>
      </c>
      <c r="H99">
        <v>1.2875173896452699E-7</v>
      </c>
      <c r="I99">
        <v>2.95298378758264E-5</v>
      </c>
      <c r="J99">
        <v>2.85899101965871E-5</v>
      </c>
      <c r="K99">
        <v>5.8768738040735198E-7</v>
      </c>
      <c r="L99">
        <v>3.5224029883189102E-7</v>
      </c>
      <c r="M99">
        <v>2.3576781614730601E-7</v>
      </c>
      <c r="N99">
        <v>1.9090582047738899E-5</v>
      </c>
      <c r="O99">
        <v>2.3361947321857601E-5</v>
      </c>
      <c r="P99">
        <v>1.5090050004407301E-6</v>
      </c>
      <c r="Q99">
        <v>3.9172123822956898E-17</v>
      </c>
      <c r="R99">
        <v>1.46919718937312E-6</v>
      </c>
      <c r="S99">
        <v>3.9807811028436502E-8</v>
      </c>
      <c r="T99">
        <v>6.1604019846516596E-6</v>
      </c>
      <c r="U99">
        <v>1.3857836029614601E-6</v>
      </c>
      <c r="V99">
        <v>4.7646625165406504E-6</v>
      </c>
      <c r="W99">
        <v>4.3296889954871698E-8</v>
      </c>
      <c r="X99">
        <v>1.0715711536380899E-7</v>
      </c>
      <c r="Y99">
        <v>7.1237735833220503E-7</v>
      </c>
      <c r="Z99">
        <v>4.6927772588680895E-16</v>
      </c>
      <c r="AA99">
        <v>4.7611433573210201E-6</v>
      </c>
      <c r="AB99">
        <v>1.7733506347268701E-5</v>
      </c>
      <c r="AC99">
        <v>2.6129185159190901E-5</v>
      </c>
      <c r="AD99">
        <v>1.7836122372039801E-7</v>
      </c>
      <c r="AE99">
        <v>1.03179707557588E-7</v>
      </c>
      <c r="AF99">
        <f t="shared" si="1"/>
        <v>2.121422304191261E-4</v>
      </c>
    </row>
    <row r="100" spans="1:32" x14ac:dyDescent="0.3">
      <c r="A100" t="str">
        <v>Sous-ensemble</v>
      </c>
      <c r="B100" t="str">
        <v>Ens. Coque</v>
      </c>
      <c r="C100" t="str">
        <v>acier</v>
      </c>
      <c r="D100">
        <v>3.3800000000000002E-5</v>
      </c>
      <c r="E100">
        <v>1.22E-4</v>
      </c>
      <c r="F100">
        <v>-2.9900000000000003E-8</v>
      </c>
      <c r="G100">
        <v>1.22E-4</v>
      </c>
      <c r="H100">
        <v>8.1699999999999997E-9</v>
      </c>
      <c r="I100">
        <v>2.1699999999999999E-5</v>
      </c>
      <c r="J100">
        <v>1.3200000000000001E-5</v>
      </c>
      <c r="K100">
        <v>8.3299999999999999E-6</v>
      </c>
      <c r="L100">
        <v>1.31E-7</v>
      </c>
      <c r="M100">
        <v>1.5800000000000001E-7</v>
      </c>
      <c r="N100">
        <v>1.9300000000000002E-5</v>
      </c>
      <c r="O100">
        <v>2.1800000000000001E-5</v>
      </c>
      <c r="P100">
        <v>2.76E-5</v>
      </c>
      <c r="Q100">
        <v>2.4600000000000001E-15</v>
      </c>
      <c r="R100">
        <v>6.0121382810211997E-8</v>
      </c>
      <c r="S100">
        <v>2.7562169961207598E-5</v>
      </c>
      <c r="T100">
        <v>5.0913194149988802E-5</v>
      </c>
      <c r="U100">
        <v>5.7013884105445501E-5</v>
      </c>
      <c r="V100">
        <v>-6.1465879079814097E-6</v>
      </c>
      <c r="W100">
        <v>4.94091546313669E-7</v>
      </c>
      <c r="X100">
        <v>3.5666655803587102E-6</v>
      </c>
      <c r="Y100">
        <v>-1.8569786079266099E-8</v>
      </c>
      <c r="Z100">
        <v>4.2608920091865503E-14</v>
      </c>
      <c r="AA100">
        <v>5.5433661495982301E-5</v>
      </c>
      <c r="AB100">
        <v>3.8966823285981902E-5</v>
      </c>
      <c r="AC100">
        <v>1.5481324771217099E-4</v>
      </c>
      <c r="AD100">
        <v>3.3340190606405702E-5</v>
      </c>
      <c r="AE100">
        <v>2.02599942883815E-4</v>
      </c>
      <c r="AF100">
        <f t="shared" si="1"/>
        <v>1.0085961050614886E-3</v>
      </c>
    </row>
    <row r="101" spans="1:32" x14ac:dyDescent="0.3">
      <c r="A101" t="str">
        <v>Sous-ensemble</v>
      </c>
      <c r="B101" t="str">
        <v>Ens. Coque</v>
      </c>
      <c r="C101" t="str">
        <v>NIDA</v>
      </c>
      <c r="D101">
        <v>1.0300000000000001E-3</v>
      </c>
      <c r="E101">
        <v>2.7100000000000002E-3</v>
      </c>
      <c r="F101">
        <v>4.7700000000000001E-6</v>
      </c>
      <c r="G101">
        <v>2.63E-3</v>
      </c>
      <c r="H101">
        <v>3.9999999999999998E-7</v>
      </c>
      <c r="I101">
        <v>1.4800000000000001E-2</v>
      </c>
      <c r="J101">
        <v>7.2700000000000004E-3</v>
      </c>
      <c r="K101">
        <v>7.2500000000000004E-3</v>
      </c>
      <c r="L101">
        <v>6.3499999999999999E-5</v>
      </c>
      <c r="M101">
        <v>9.01E-4</v>
      </c>
      <c r="N101">
        <v>8.5599999999999999E-4</v>
      </c>
      <c r="O101">
        <v>9.1399999999999999E-4</v>
      </c>
      <c r="P101">
        <v>4.7699999999999999E-4</v>
      </c>
      <c r="Q101">
        <v>4.9199999999999996E-10</v>
      </c>
      <c r="R101">
        <v>3.76883317931E-4</v>
      </c>
      <c r="S101">
        <v>7.0813539677564994E-5</v>
      </c>
      <c r="T101">
        <v>2.9691943037810599E-3</v>
      </c>
      <c r="U101">
        <v>5.7384967237104304E-4</v>
      </c>
      <c r="V101">
        <v>2.35236739228954E-3</v>
      </c>
      <c r="W101">
        <v>2.64507487151046E-5</v>
      </c>
      <c r="X101">
        <v>1.54758703902777E-3</v>
      </c>
      <c r="Y101">
        <v>1.4706995169613899E-3</v>
      </c>
      <c r="Z101">
        <v>1.04167620241902E-5</v>
      </c>
      <c r="AA101">
        <v>1.24524470935948E-3</v>
      </c>
      <c r="AB101">
        <v>1.26891770273596E-3</v>
      </c>
      <c r="AC101">
        <v>7.0051954688055496E-3</v>
      </c>
      <c r="AD101">
        <v>1.20520274227921E-4</v>
      </c>
      <c r="AE101">
        <v>1.23130246794383E-3</v>
      </c>
      <c r="AF101">
        <f t="shared" si="1"/>
        <v>5.9176113407851415E-2</v>
      </c>
    </row>
    <row r="102" spans="1:32" x14ac:dyDescent="0.3">
      <c r="A102" t="str">
        <v>Sous-ensemble</v>
      </c>
      <c r="B102" t="str">
        <v>Ens. Coque</v>
      </c>
      <c r="C102" t="str">
        <v>packaging</v>
      </c>
      <c r="D102">
        <v>3.97E-4</v>
      </c>
      <c r="E102">
        <v>7.4200000000000004E-4</v>
      </c>
      <c r="F102">
        <v>5.5999999999999995E-4</v>
      </c>
      <c r="G102">
        <v>-8.6300000000000005E-4</v>
      </c>
      <c r="H102">
        <v>-2.3199999999999998E-6</v>
      </c>
      <c r="I102">
        <v>1.1999999999999999E-3</v>
      </c>
      <c r="J102">
        <v>-5.7399999999999997E-4</v>
      </c>
      <c r="K102">
        <v>-8.2100000000000001E-4</v>
      </c>
      <c r="L102">
        <v>-4.6E-6</v>
      </c>
      <c r="M102">
        <v>2.0100000000000001E-3</v>
      </c>
      <c r="N102">
        <v>9.8300000000000004E-5</v>
      </c>
      <c r="O102">
        <v>1.35E-4</v>
      </c>
      <c r="P102">
        <v>5.0699999999999996E-4</v>
      </c>
      <c r="Q102">
        <v>-6.5800000000000002E-13</v>
      </c>
      <c r="R102">
        <v>-5.4728038528054799E-5</v>
      </c>
      <c r="S102">
        <v>-9.2238840167143898E-5</v>
      </c>
      <c r="T102">
        <v>1.05446008603927E-4</v>
      </c>
      <c r="U102">
        <v>-2.1652100367624199E-4</v>
      </c>
      <c r="V102">
        <v>-3.6508098996870802E-4</v>
      </c>
      <c r="W102">
        <v>2.4923090901426901E-5</v>
      </c>
      <c r="X102">
        <v>-7.9028418478319898E-4</v>
      </c>
      <c r="Y102">
        <v>-7.6741634878286199E-3</v>
      </c>
      <c r="Z102">
        <v>1.3428746289965E-5</v>
      </c>
      <c r="AA102">
        <v>8.4563754750340003E-4</v>
      </c>
      <c r="AB102">
        <v>6.9897627395771103E-4</v>
      </c>
      <c r="AC102">
        <v>-2.2381961841740501E-4</v>
      </c>
      <c r="AD102">
        <v>2.5576391059887598E-4</v>
      </c>
      <c r="AE102">
        <v>0.112611719084648</v>
      </c>
      <c r="AF102">
        <f t="shared" si="1"/>
        <v>0.10852343849847593</v>
      </c>
    </row>
    <row r="103" spans="1:32" x14ac:dyDescent="0.3">
      <c r="A103" t="str">
        <v>Sous-ensemble</v>
      </c>
      <c r="B103" t="str">
        <v>Ens. Coque</v>
      </c>
      <c r="C103" t="str">
        <v>Résine BR623</v>
      </c>
      <c r="D103">
        <v>2.33E-4</v>
      </c>
      <c r="E103">
        <v>5.9500000000000004E-4</v>
      </c>
      <c r="F103">
        <v>5.91E-8</v>
      </c>
      <c r="G103">
        <v>5.9500000000000004E-4</v>
      </c>
      <c r="H103">
        <v>1.2100000000000001E-8</v>
      </c>
      <c r="I103">
        <v>3.64E-3</v>
      </c>
      <c r="J103">
        <v>3.4399999999999999E-3</v>
      </c>
      <c r="K103">
        <v>1.9000000000000001E-4</v>
      </c>
      <c r="L103">
        <v>4.3900000000000003E-6</v>
      </c>
      <c r="M103">
        <v>5.6199999999999997E-5</v>
      </c>
      <c r="N103">
        <v>1.37E-4</v>
      </c>
      <c r="O103">
        <v>1.65E-4</v>
      </c>
      <c r="P103">
        <v>1.49E-5</v>
      </c>
      <c r="Q103">
        <v>4.9499999999999997E-14</v>
      </c>
      <c r="R103">
        <v>1.2438788357573701E-5</v>
      </c>
      <c r="S103">
        <v>2.45518266471415E-6</v>
      </c>
      <c r="T103">
        <v>3.6932167078350999E-4</v>
      </c>
      <c r="U103">
        <v>2.7452205098949802E-4</v>
      </c>
      <c r="V103">
        <v>9.4648886418688605E-5</v>
      </c>
      <c r="W103">
        <v>1.09684657053735E-5</v>
      </c>
      <c r="X103">
        <v>9.3239995410397398E-5</v>
      </c>
      <c r="Y103">
        <v>5.3965847972439003E-7</v>
      </c>
      <c r="Z103">
        <v>5.0820103279859102E-14</v>
      </c>
      <c r="AA103">
        <v>5.0072112226083295E-4</v>
      </c>
      <c r="AB103">
        <v>1.9785530413652999E-4</v>
      </c>
      <c r="AC103">
        <v>1.06783987234714E-3</v>
      </c>
      <c r="AD103">
        <v>1.05235087634556E-5</v>
      </c>
      <c r="AE103">
        <v>6.6160021418156401E-4</v>
      </c>
      <c r="AF103">
        <f t="shared" si="1"/>
        <v>1.236723592059932E-2</v>
      </c>
    </row>
    <row r="104" spans="1:32" x14ac:dyDescent="0.3">
      <c r="A104" t="str">
        <v>Sous-ensemble</v>
      </c>
      <c r="B104" t="str">
        <v>Ens. Coque</v>
      </c>
      <c r="C104" t="str">
        <v>Transport</v>
      </c>
      <c r="D104">
        <v>8.1299999999999997E-5</v>
      </c>
      <c r="E104">
        <v>9.3399999999999993E-5</v>
      </c>
      <c r="F104">
        <v>2.79E-7</v>
      </c>
      <c r="G104">
        <v>9.2299999999999994E-5</v>
      </c>
      <c r="H104">
        <v>7.6199999999999997E-7</v>
      </c>
      <c r="I104">
        <v>1.75E-4</v>
      </c>
      <c r="J104">
        <v>1.6899999999999999E-4</v>
      </c>
      <c r="K104">
        <v>3.4800000000000001E-6</v>
      </c>
      <c r="L104">
        <v>2.08E-6</v>
      </c>
      <c r="M104">
        <v>1.3999999999999999E-6</v>
      </c>
      <c r="N104">
        <v>1.13E-4</v>
      </c>
      <c r="O104">
        <v>1.3799999999999999E-4</v>
      </c>
      <c r="P104">
        <v>8.9299999999999992E-6</v>
      </c>
      <c r="Q104">
        <v>2.3200000000000002E-16</v>
      </c>
      <c r="R104">
        <v>8.6934837750582208E-6</v>
      </c>
      <c r="S104">
        <v>2.3554942917087699E-7</v>
      </c>
      <c r="T104">
        <v>3.6452121668063302E-5</v>
      </c>
      <c r="U104">
        <v>8.1999117308599706E-6</v>
      </c>
      <c r="V104">
        <v>2.81932994296348E-5</v>
      </c>
      <c r="W104">
        <v>2.56194888647834E-7</v>
      </c>
      <c r="X104">
        <v>6.3406644835387898E-7</v>
      </c>
      <c r="Y104">
        <v>4.2152551414982696E-6</v>
      </c>
      <c r="Z104">
        <v>2.77679424212205E-15</v>
      </c>
      <c r="AA104">
        <v>2.81724759800672E-5</v>
      </c>
      <c r="AB104">
        <v>1.04932102252831E-4</v>
      </c>
      <c r="AC104">
        <v>1.5461072814455901E-4</v>
      </c>
      <c r="AD104">
        <v>1.0553929831395899E-6</v>
      </c>
      <c r="AE104">
        <v>6.1053146579318401E-7</v>
      </c>
      <c r="AF104">
        <f t="shared" si="1"/>
        <v>1.255192113340686E-3</v>
      </c>
    </row>
    <row r="105" spans="1:32" x14ac:dyDescent="0.3">
      <c r="A105" t="str">
        <v>Sous-ensemble</v>
      </c>
      <c r="B105" t="str">
        <v>Ens. Equipements latéraux</v>
      </c>
      <c r="C105" t="str">
        <v>A5086</v>
      </c>
      <c r="D105">
        <v>2.9299999999999999E-3</v>
      </c>
      <c r="E105">
        <v>4.5500000000000002E-3</v>
      </c>
      <c r="F105">
        <v>5.4099999999999999E-6</v>
      </c>
      <c r="G105">
        <v>4.5399999999999998E-3</v>
      </c>
      <c r="H105">
        <v>1.7600000000000001E-6</v>
      </c>
      <c r="I105">
        <v>3.5200000000000001E-3</v>
      </c>
      <c r="J105">
        <v>2.4499999999999999E-3</v>
      </c>
      <c r="K105">
        <v>9.4700000000000003E-4</v>
      </c>
      <c r="L105">
        <v>1.18E-4</v>
      </c>
      <c r="M105">
        <v>9.7599999999999997E-6</v>
      </c>
      <c r="N105">
        <v>1.1999999999999999E-3</v>
      </c>
      <c r="O105">
        <v>1.4400000000000001E-3</v>
      </c>
      <c r="P105">
        <v>1.06E-3</v>
      </c>
      <c r="Q105">
        <v>5.7699999999999996E-13</v>
      </c>
      <c r="R105">
        <v>2.4597409658609902E-4</v>
      </c>
      <c r="S105">
        <v>8.1339265244733099E-4</v>
      </c>
      <c r="T105">
        <v>1.69755508149076E-3</v>
      </c>
      <c r="U105">
        <v>2.3930540220228999E-4</v>
      </c>
      <c r="V105">
        <v>1.45470724292334E-3</v>
      </c>
      <c r="W105">
        <v>1.66324616820192E-5</v>
      </c>
      <c r="X105">
        <v>1.2205693501535901E-3</v>
      </c>
      <c r="Y105">
        <v>4.44180633970957E-5</v>
      </c>
      <c r="Z105">
        <v>2.1481441692046699E-11</v>
      </c>
      <c r="AA105">
        <v>3.1152047532576601E-3</v>
      </c>
      <c r="AB105">
        <v>1.7817120777989799E-3</v>
      </c>
      <c r="AC105">
        <v>7.0009412096546601E-3</v>
      </c>
      <c r="AD105">
        <v>8.9743217135974604E-4</v>
      </c>
      <c r="AE105">
        <v>4.7736479458948598E-4</v>
      </c>
      <c r="AF105">
        <f t="shared" si="1"/>
        <v>4.1777139379601501E-2</v>
      </c>
    </row>
    <row r="106" spans="1:32" x14ac:dyDescent="0.3">
      <c r="A106" t="str">
        <v>Sous-ensemble</v>
      </c>
      <c r="B106" t="str">
        <v>Ens. Equipements latéraux</v>
      </c>
      <c r="C106" t="str">
        <v>acier</v>
      </c>
      <c r="D106">
        <v>1.4100000000000001E-5</v>
      </c>
      <c r="E106">
        <v>3.65E-5</v>
      </c>
      <c r="F106">
        <v>1.4899999999999999E-8</v>
      </c>
      <c r="G106">
        <v>3.65E-5</v>
      </c>
      <c r="H106">
        <v>1.04E-8</v>
      </c>
      <c r="I106">
        <v>1.1800000000000001E-5</v>
      </c>
      <c r="J106">
        <v>8.6400000000000003E-6</v>
      </c>
      <c r="K106">
        <v>3.0599999999999999E-6</v>
      </c>
      <c r="L106">
        <v>6.0199999999999996E-8</v>
      </c>
      <c r="M106">
        <v>7.5800000000000004E-8</v>
      </c>
      <c r="N106">
        <v>9.1500000000000005E-6</v>
      </c>
      <c r="O106">
        <v>1.0699999999999999E-5</v>
      </c>
      <c r="P106">
        <v>1.5099999999999999E-6</v>
      </c>
      <c r="Q106">
        <v>1.15E-15</v>
      </c>
      <c r="R106">
        <v>5.3842544017298304E-7</v>
      </c>
      <c r="S106">
        <v>9.6813818019290403E-7</v>
      </c>
      <c r="T106">
        <v>1.3761087716350901E-5</v>
      </c>
      <c r="U106">
        <v>1.11733796746848E-5</v>
      </c>
      <c r="V106">
        <v>2.5797680494218701E-6</v>
      </c>
      <c r="W106">
        <v>1.41942909718317E-7</v>
      </c>
      <c r="X106">
        <v>2.3207226696494401E-6</v>
      </c>
      <c r="Y106">
        <v>1.9406388312850999E-7</v>
      </c>
      <c r="Z106">
        <v>4.6248888303639902E-15</v>
      </c>
      <c r="AA106">
        <v>1.6024981464942701E-5</v>
      </c>
      <c r="AB106">
        <v>1.4741883511520101E-5</v>
      </c>
      <c r="AC106">
        <v>4.9860832769675999E-5</v>
      </c>
      <c r="AD106">
        <v>1.57107813040541E-6</v>
      </c>
      <c r="AE106">
        <v>8.7134391097142993E-6</v>
      </c>
      <c r="AF106">
        <f t="shared" si="1"/>
        <v>2.5471104351535313E-4</v>
      </c>
    </row>
    <row r="107" spans="1:32" x14ac:dyDescent="0.3">
      <c r="A107" t="str">
        <v>Sous-ensemble</v>
      </c>
      <c r="B107" t="str">
        <v>Ens. Equipements latéraux</v>
      </c>
      <c r="C107" t="str">
        <v>Ertalon</v>
      </c>
      <c r="D107">
        <v>5.0400000000000001E-8</v>
      </c>
      <c r="E107">
        <v>1.5599999999999999E-7</v>
      </c>
      <c r="F107">
        <v>2.01E-11</v>
      </c>
      <c r="G107">
        <v>1.5599999999999999E-7</v>
      </c>
      <c r="H107">
        <v>4.1800000000000004E-12</v>
      </c>
      <c r="I107">
        <v>7.4499999999999996E-7</v>
      </c>
      <c r="J107">
        <v>1.51E-8</v>
      </c>
      <c r="K107">
        <v>7.2600000000000002E-7</v>
      </c>
      <c r="L107">
        <v>4.0499999999999999E-9</v>
      </c>
      <c r="M107">
        <v>2.3800000000000001E-8</v>
      </c>
      <c r="N107">
        <v>4.2200000000000001E-8</v>
      </c>
      <c r="O107">
        <v>4.9600000000000001E-8</v>
      </c>
      <c r="P107">
        <v>2.2300000000000001E-8</v>
      </c>
      <c r="Q107">
        <v>3.3300000000000001E-14</v>
      </c>
      <c r="R107">
        <v>2.1149077997699E-8</v>
      </c>
      <c r="S107">
        <v>1.1707313164095899E-9</v>
      </c>
      <c r="T107">
        <v>1.36117216800344E-7</v>
      </c>
      <c r="U107">
        <v>4.5469429007365002E-9</v>
      </c>
      <c r="V107">
        <v>1.3123827143292E-7</v>
      </c>
      <c r="W107">
        <v>1.0653797999202999E-9</v>
      </c>
      <c r="X107">
        <v>4.4279596041840702E-8</v>
      </c>
      <c r="Y107">
        <v>1.8609280028827101E-10</v>
      </c>
      <c r="Z107">
        <v>3.04368361427905E-16</v>
      </c>
      <c r="AA107">
        <v>2.5985235051050401E-8</v>
      </c>
      <c r="AB107">
        <v>5.5083588683552597E-8</v>
      </c>
      <c r="AC107">
        <v>3.2531227346905898E-7</v>
      </c>
      <c r="AD107">
        <v>-3.8040870409608102E-10</v>
      </c>
      <c r="AE107">
        <v>-5.6511960864695702E-9</v>
      </c>
      <c r="AF107">
        <f t="shared" si="1"/>
        <v>2.730577115107623E-6</v>
      </c>
    </row>
    <row r="108" spans="1:32" x14ac:dyDescent="0.3">
      <c r="A108" t="str">
        <v>Sous-ensemble</v>
      </c>
      <c r="B108" t="str">
        <v>Ens. Equipements latéraux</v>
      </c>
      <c r="C108" t="str">
        <v>nylon</v>
      </c>
      <c r="D108">
        <v>7.8999999999999995E-7</v>
      </c>
      <c r="E108">
        <v>2.26E-6</v>
      </c>
      <c r="F108">
        <v>3E-10</v>
      </c>
      <c r="G108">
        <v>2.26E-6</v>
      </c>
      <c r="H108">
        <v>6.2299999999999994E-11</v>
      </c>
      <c r="I108">
        <v>4.46E-5</v>
      </c>
      <c r="J108">
        <v>8.4600000000000003E-7</v>
      </c>
      <c r="K108">
        <v>1.6399999999999999E-5</v>
      </c>
      <c r="L108">
        <v>2.73E-5</v>
      </c>
      <c r="M108">
        <v>4.01E-7</v>
      </c>
      <c r="N108">
        <v>6.8599999999999998E-7</v>
      </c>
      <c r="O108">
        <v>6.6199999999999997E-7</v>
      </c>
      <c r="P108">
        <v>1.55E-6</v>
      </c>
      <c r="Q108">
        <v>3.1400000000000003E-13</v>
      </c>
      <c r="R108">
        <v>1.49405728432505E-6</v>
      </c>
      <c r="S108">
        <v>5.2362031048169403E-8</v>
      </c>
      <c r="T108">
        <v>1.1441423754069501E-5</v>
      </c>
      <c r="U108">
        <v>1.01472066459884E-7</v>
      </c>
      <c r="V108">
        <v>1.1031454240162901E-5</v>
      </c>
      <c r="W108">
        <v>3.20075423922709E-7</v>
      </c>
      <c r="X108">
        <v>1.13303284407233E-6</v>
      </c>
      <c r="Y108">
        <v>2.7729978604805301E-9</v>
      </c>
      <c r="Z108">
        <v>1.4067405887051099E-14</v>
      </c>
      <c r="AA108">
        <v>5.6503121360148099E-7</v>
      </c>
      <c r="AB108">
        <v>9.2312050057555998E-7</v>
      </c>
      <c r="AC108">
        <v>5.2233414067911001E-6</v>
      </c>
      <c r="AD108">
        <v>1.4158012798583101E-7</v>
      </c>
      <c r="AE108">
        <v>1.1551346421731301E-5</v>
      </c>
      <c r="AF108">
        <f t="shared" si="1"/>
        <v>1.4173643294067371E-4</v>
      </c>
    </row>
    <row r="109" spans="1:32" x14ac:dyDescent="0.3">
      <c r="A109" t="str">
        <v>Sous-ensemble</v>
      </c>
      <c r="B109" t="str">
        <v>Ens. Equipements latéraux</v>
      </c>
      <c r="C109" t="str">
        <v>packaging</v>
      </c>
      <c r="D109">
        <v>4.2399999999999998E-10</v>
      </c>
      <c r="E109">
        <v>4.7700000000000001E-10</v>
      </c>
      <c r="F109">
        <v>4.1200000000000002E-10</v>
      </c>
      <c r="G109">
        <v>-1.1900000000000001E-11</v>
      </c>
      <c r="H109">
        <v>1.6E-12</v>
      </c>
      <c r="I109">
        <v>3.9900000000000002E-10</v>
      </c>
      <c r="J109">
        <v>5.1199999999999999E-10</v>
      </c>
      <c r="K109">
        <v>-2.9099999999999998E-10</v>
      </c>
      <c r="L109">
        <v>7.7300000000000004E-12</v>
      </c>
      <c r="M109">
        <v>2.1500000000000001E-10</v>
      </c>
      <c r="N109">
        <v>4.3799999999999999E-10</v>
      </c>
      <c r="O109">
        <v>4.8699999999999997E-10</v>
      </c>
      <c r="P109">
        <v>9.4199999999999995E-11</v>
      </c>
      <c r="Q109">
        <v>-4.8200000000000002E-19</v>
      </c>
      <c r="R109">
        <v>4.53018380288576E-11</v>
      </c>
      <c r="S109">
        <v>3.4269112688256501E-11</v>
      </c>
      <c r="T109">
        <v>4.9549992058115699E-10</v>
      </c>
      <c r="U109">
        <v>1.58365527754137E-10</v>
      </c>
      <c r="V109">
        <v>2.8447508290561101E-10</v>
      </c>
      <c r="W109">
        <v>2.20392614780741E-11</v>
      </c>
      <c r="X109">
        <v>-7.4115892427332599E-10</v>
      </c>
      <c r="Y109">
        <v>6.0645235599710398E-9</v>
      </c>
      <c r="Z109">
        <v>1.1769311248179499E-12</v>
      </c>
      <c r="AA109">
        <v>5.0174971417419698E-10</v>
      </c>
      <c r="AB109">
        <v>5.9694382962458905E-10</v>
      </c>
      <c r="AC109">
        <v>-2.36510320004753E-10</v>
      </c>
      <c r="AD109">
        <v>1.45357635513915E-11</v>
      </c>
      <c r="AE109">
        <v>1.09162325166411E-8</v>
      </c>
      <c r="AF109">
        <f t="shared" si="1"/>
        <v>2.1322073813763148E-8</v>
      </c>
    </row>
    <row r="110" spans="1:32" x14ac:dyDescent="0.3">
      <c r="A110" t="str">
        <v>Sous-ensemble</v>
      </c>
      <c r="B110" t="str">
        <v>Ens. Equipements latéraux</v>
      </c>
      <c r="C110" t="str">
        <v>Transport</v>
      </c>
      <c r="D110">
        <v>8.9082600336887202E-5</v>
      </c>
      <c r="E110">
        <v>1.02286913867116E-4</v>
      </c>
      <c r="F110">
        <v>3.0586016534642099E-7</v>
      </c>
      <c r="G110">
        <v>1.01146371154765E-4</v>
      </c>
      <c r="H110">
        <v>8.3468254700449704E-7</v>
      </c>
      <c r="I110">
        <v>1.9143850396937599E-4</v>
      </c>
      <c r="J110">
        <v>1.8534506215944801E-4</v>
      </c>
      <c r="K110">
        <v>3.8099089260142599E-6</v>
      </c>
      <c r="L110">
        <v>2.2835328839141499E-6</v>
      </c>
      <c r="M110">
        <v>1.5284553270207899E-6</v>
      </c>
      <c r="N110">
        <v>1.2376202275446801E-4</v>
      </c>
      <c r="O110">
        <v>1.5145278697140999E-4</v>
      </c>
      <c r="P110">
        <v>9.7827038868765506E-6</v>
      </c>
      <c r="Q110">
        <v>2.5394832215143601E-16</v>
      </c>
      <c r="R110">
        <v>9.5246344782626592E-6</v>
      </c>
      <c r="S110">
        <v>2.58069408359942E-7</v>
      </c>
      <c r="T110">
        <v>3.9937169474171602E-5</v>
      </c>
      <c r="U110">
        <v>8.9838739004187403E-6</v>
      </c>
      <c r="V110">
        <v>3.08887528580778E-5</v>
      </c>
      <c r="W110">
        <v>2.80688701182224E-7</v>
      </c>
      <c r="X110">
        <v>6.9468711413802195E-7</v>
      </c>
      <c r="Y110">
        <v>4.6182595486720399E-6</v>
      </c>
      <c r="Z110">
        <v>3.0422729094447302E-15</v>
      </c>
      <c r="AA110">
        <v>3.0865938558213702E-5</v>
      </c>
      <c r="AB110">
        <v>1.1496425884653E-4</v>
      </c>
      <c r="AC110">
        <v>1.6939246797928299E-4</v>
      </c>
      <c r="AD110">
        <v>1.15629506598585E-6</v>
      </c>
      <c r="AE110">
        <v>6.6890204199162598E-7</v>
      </c>
      <c r="AF110">
        <f t="shared" si="1"/>
        <v>1.3752934029282306E-3</v>
      </c>
    </row>
    <row r="111" spans="1:32" x14ac:dyDescent="0.3">
      <c r="A111" t="str">
        <v>Sous-ensemble</v>
      </c>
      <c r="B111" t="str">
        <v>Ens. Equipements latéraux</v>
      </c>
      <c r="C111" t="str">
        <v>velours</v>
      </c>
      <c r="D111">
        <v>1.8551328107811601E-6</v>
      </c>
      <c r="E111">
        <v>6.4400210672611102E-6</v>
      </c>
      <c r="F111">
        <v>1.25714269324397E-8</v>
      </c>
      <c r="G111">
        <v>6.4262081153777804E-6</v>
      </c>
      <c r="H111">
        <v>1.24152495088838E-9</v>
      </c>
      <c r="I111">
        <v>1.5770622731207702E-5</v>
      </c>
      <c r="J111">
        <v>8.5775738221838298E-6</v>
      </c>
      <c r="K111">
        <v>7.1029954550182999E-6</v>
      </c>
      <c r="L111">
        <v>9.0053454005514606E-8</v>
      </c>
      <c r="M111">
        <v>8.9526599306518505E-8</v>
      </c>
      <c r="N111">
        <v>1.74102535553234E-6</v>
      </c>
      <c r="O111">
        <v>1.9551966683686301E-6</v>
      </c>
      <c r="P111">
        <v>8.3243548778367303E-7</v>
      </c>
      <c r="Q111">
        <v>1.6732770736136799E-16</v>
      </c>
      <c r="R111">
        <v>6.6316556229294695E-7</v>
      </c>
      <c r="S111">
        <v>1.69269925323398E-7</v>
      </c>
      <c r="T111">
        <v>3.23102580388574E-6</v>
      </c>
      <c r="U111">
        <v>4.125200746966E-7</v>
      </c>
      <c r="V111">
        <v>2.8084238295077598E-6</v>
      </c>
      <c r="W111">
        <v>3.1766122571057801E-8</v>
      </c>
      <c r="X111">
        <v>5.6598056430874602E-7</v>
      </c>
      <c r="Y111">
        <v>4.5065445925902302E-8</v>
      </c>
      <c r="Z111">
        <v>1.42312116753106E-9</v>
      </c>
      <c r="AA111">
        <v>1.45708796851974E-6</v>
      </c>
      <c r="AB111">
        <v>2.7916371236043002E-6</v>
      </c>
      <c r="AC111">
        <v>1.5440185698856399E-5</v>
      </c>
      <c r="AD111">
        <v>1.4520104015757501E-6</v>
      </c>
      <c r="AE111">
        <v>7.9075878412292005E-7</v>
      </c>
      <c r="AF111">
        <f t="shared" si="1"/>
        <v>8.0754924945235996E-5</v>
      </c>
    </row>
    <row r="112" spans="1:32" x14ac:dyDescent="0.3">
      <c r="A112" t="str">
        <v>Sous-ensemble</v>
      </c>
      <c r="B112" t="str">
        <v>Ens. Palette optimisée</v>
      </c>
      <c r="C112" t="str">
        <v>35NC6</v>
      </c>
      <c r="D112">
        <v>8.0399999999999993E-6</v>
      </c>
      <c r="E112">
        <v>2.09E-5</v>
      </c>
      <c r="F112">
        <v>8.5E-9</v>
      </c>
      <c r="G112">
        <v>2.09E-5</v>
      </c>
      <c r="H112">
        <v>5.9399999999999998E-9</v>
      </c>
      <c r="I112">
        <v>6.7299999999999999E-6</v>
      </c>
      <c r="J112">
        <v>4.9400000000000001E-6</v>
      </c>
      <c r="K112">
        <v>1.75E-6</v>
      </c>
      <c r="L112">
        <v>3.4399999999999997E-8</v>
      </c>
      <c r="M112">
        <v>4.3399999999999998E-8</v>
      </c>
      <c r="N112">
        <v>5.2399999999999998E-6</v>
      </c>
      <c r="O112">
        <v>6.1E-6</v>
      </c>
      <c r="P112">
        <v>8.6199999999999996E-7</v>
      </c>
      <c r="Q112">
        <v>6.5999999999999998E-16</v>
      </c>
      <c r="R112">
        <v>3.0799619538842498E-7</v>
      </c>
      <c r="S112">
        <v>5.5380532542052395E-7</v>
      </c>
      <c r="T112">
        <v>7.8717726630465099E-6</v>
      </c>
      <c r="U112">
        <v>6.3915227117196303E-6</v>
      </c>
      <c r="V112">
        <v>1.47570802737567E-6</v>
      </c>
      <c r="W112">
        <v>8.1195784771162994E-8</v>
      </c>
      <c r="X112">
        <v>1.32752596640689E-6</v>
      </c>
      <c r="Y112">
        <v>1.11010612066699E-7</v>
      </c>
      <c r="Z112">
        <v>2.6455810917643301E-15</v>
      </c>
      <c r="AA112">
        <v>9.1667907088244E-6</v>
      </c>
      <c r="AB112">
        <v>8.4328185402027406E-6</v>
      </c>
      <c r="AC112">
        <v>2.8521956144986201E-5</v>
      </c>
      <c r="AD112">
        <v>8.9870583876453699E-7</v>
      </c>
      <c r="AE112">
        <v>4.9843597540236699E-6</v>
      </c>
      <c r="AF112">
        <f t="shared" si="1"/>
        <v>1.4567940827630262E-4</v>
      </c>
    </row>
    <row r="113" spans="1:32" x14ac:dyDescent="0.3">
      <c r="A113" t="str">
        <v>Sous-ensemble</v>
      </c>
      <c r="B113" t="str">
        <v>Ens. Palette optimisée</v>
      </c>
      <c r="C113" t="str">
        <v>A2017</v>
      </c>
      <c r="D113">
        <v>1.2800000000000001E-2</v>
      </c>
      <c r="E113">
        <v>1.9599999999999999E-2</v>
      </c>
      <c r="F113">
        <v>2.4300000000000001E-5</v>
      </c>
      <c r="G113">
        <v>1.8800000000000001E-2</v>
      </c>
      <c r="H113">
        <v>8.7800000000000006E-6</v>
      </c>
      <c r="I113">
        <v>1.6899999999999998E-2</v>
      </c>
      <c r="J113">
        <v>0.01</v>
      </c>
      <c r="K113">
        <v>4.5300000000000002E-3</v>
      </c>
      <c r="L113">
        <v>4.46E-4</v>
      </c>
      <c r="M113">
        <v>3.6699999999999998E-4</v>
      </c>
      <c r="N113">
        <v>5.6800000000000002E-3</v>
      </c>
      <c r="O113">
        <v>6.8399999999999997E-3</v>
      </c>
      <c r="P113">
        <v>4.3E-3</v>
      </c>
      <c r="Q113">
        <v>2.5799999999999999E-12</v>
      </c>
      <c r="R113">
        <v>9.978681312199679E-4</v>
      </c>
      <c r="S113">
        <v>3.0817058538691001E-3</v>
      </c>
      <c r="T113">
        <v>7.5317408837233899E-3</v>
      </c>
      <c r="U113">
        <v>1.0477700090299399E-3</v>
      </c>
      <c r="V113">
        <v>6.1094758133031501E-3</v>
      </c>
      <c r="W113">
        <v>7.1176014429585494E-5</v>
      </c>
      <c r="X113">
        <v>6.1040439285536896E-3</v>
      </c>
      <c r="Y113">
        <v>3.6409693487992099E-4</v>
      </c>
      <c r="Z113">
        <v>2.8753371295817101E-5</v>
      </c>
      <c r="AA113">
        <v>1.2521972580317601E-2</v>
      </c>
      <c r="AB113">
        <v>8.4298520981209608E-3</v>
      </c>
      <c r="AC113">
        <v>3.3154553439403503E-2</v>
      </c>
      <c r="AD113">
        <v>3.72640947808828E-2</v>
      </c>
      <c r="AE113">
        <v>4.7334201299009697E-3</v>
      </c>
      <c r="AF113">
        <f t="shared" si="1"/>
        <v>0.22173660397151043</v>
      </c>
    </row>
    <row r="114" spans="1:32" x14ac:dyDescent="0.3">
      <c r="A114" t="str">
        <v>Sous-ensemble</v>
      </c>
      <c r="B114" t="str">
        <v>Ens. Palette optimisée</v>
      </c>
      <c r="C114" t="str">
        <v>acier</v>
      </c>
      <c r="D114">
        <v>8.1799999999999996E-5</v>
      </c>
      <c r="E114">
        <v>2.12E-4</v>
      </c>
      <c r="F114">
        <v>8.6400000000000006E-8</v>
      </c>
      <c r="G114">
        <v>2.12E-4</v>
      </c>
      <c r="H114">
        <v>6.0500000000000006E-8</v>
      </c>
      <c r="I114">
        <v>6.8499999999999998E-5</v>
      </c>
      <c r="J114">
        <v>5.0300000000000003E-5</v>
      </c>
      <c r="K114">
        <v>1.7799999999999999E-5</v>
      </c>
      <c r="L114">
        <v>3.4999999999999998E-7</v>
      </c>
      <c r="M114">
        <v>4.4099999999999999E-7</v>
      </c>
      <c r="N114">
        <v>5.3300000000000001E-5</v>
      </c>
      <c r="O114">
        <v>6.2000000000000003E-5</v>
      </c>
      <c r="P114">
        <v>8.7700000000000007E-6</v>
      </c>
      <c r="Q114">
        <v>6.7200000000000003E-15</v>
      </c>
      <c r="R114">
        <v>3.1339963741278301E-6</v>
      </c>
      <c r="S114">
        <v>5.6352120832263803E-6</v>
      </c>
      <c r="T114">
        <v>8.0098739378367997E-5</v>
      </c>
      <c r="U114">
        <v>6.5036546891182194E-5</v>
      </c>
      <c r="V114">
        <v>1.5015976418910399E-5</v>
      </c>
      <c r="W114">
        <v>8.26202722232887E-7</v>
      </c>
      <c r="X114">
        <v>1.3508158956421E-5</v>
      </c>
      <c r="Y114">
        <v>1.1295816666436101E-6</v>
      </c>
      <c r="Z114">
        <v>2.6919947951286101E-14</v>
      </c>
      <c r="AA114">
        <v>9.3276115984528899E-5</v>
      </c>
      <c r="AB114">
        <v>8.5807627251185698E-5</v>
      </c>
      <c r="AC114">
        <v>2.9022341340512197E-4</v>
      </c>
      <c r="AD114">
        <v>9.1447260786566892E-6</v>
      </c>
      <c r="AE114">
        <v>5.0718046619890299E-5</v>
      </c>
      <c r="AF114">
        <f t="shared" si="1"/>
        <v>1.4809622438641359E-3</v>
      </c>
    </row>
    <row r="115" spans="1:32" x14ac:dyDescent="0.3">
      <c r="A115" t="str">
        <v>Sous-ensemble</v>
      </c>
      <c r="B115" t="str">
        <v>Ens. Palette optimisée</v>
      </c>
      <c r="C115" t="str">
        <v>Alu</v>
      </c>
      <c r="D115">
        <v>1.73E-4</v>
      </c>
      <c r="E115">
        <v>2.72E-4</v>
      </c>
      <c r="F115">
        <v>3.1699999999999999E-7</v>
      </c>
      <c r="G115">
        <v>2.72E-4</v>
      </c>
      <c r="H115">
        <v>1.02E-7</v>
      </c>
      <c r="I115">
        <v>2.05E-4</v>
      </c>
      <c r="J115">
        <v>1.4300000000000001E-4</v>
      </c>
      <c r="K115">
        <v>5.5899999999999997E-5</v>
      </c>
      <c r="L115">
        <v>6.9600000000000003E-6</v>
      </c>
      <c r="M115">
        <v>5.6899999999999997E-7</v>
      </c>
      <c r="N115">
        <v>7.1199999999999996E-5</v>
      </c>
      <c r="O115">
        <v>8.5900000000000001E-5</v>
      </c>
      <c r="P115">
        <v>6.2700000000000006E-5</v>
      </c>
      <c r="Q115">
        <v>3.4100000000000001E-14</v>
      </c>
      <c r="R115">
        <v>1.4354646244906299E-5</v>
      </c>
      <c r="S115">
        <v>4.8323182252650198E-5</v>
      </c>
      <c r="T115">
        <v>9.8643177475404094E-5</v>
      </c>
      <c r="U115">
        <v>1.3877249659970301E-5</v>
      </c>
      <c r="V115">
        <v>8.4558062283380601E-5</v>
      </c>
      <c r="W115">
        <v>9.9221587398470109E-7</v>
      </c>
      <c r="X115">
        <v>7.2243726173717003E-5</v>
      </c>
      <c r="Y115">
        <v>2.47953462997366E-6</v>
      </c>
      <c r="Z115">
        <v>1.2684667343668001E-12</v>
      </c>
      <c r="AA115">
        <v>1.8563840428740901E-4</v>
      </c>
      <c r="AB115">
        <v>1.05660047803765E-4</v>
      </c>
      <c r="AC115">
        <v>4.1548027320575899E-4</v>
      </c>
      <c r="AD115">
        <v>-2.35867054223172E-5</v>
      </c>
      <c r="AE115">
        <v>2.8289526878545099E-5</v>
      </c>
      <c r="AF115">
        <f t="shared" si="1"/>
        <v>2.3956013426497144E-3</v>
      </c>
    </row>
    <row r="116" spans="1:32" x14ac:dyDescent="0.3">
      <c r="A116" t="str">
        <v>Sous-ensemble</v>
      </c>
      <c r="B116" t="str">
        <v>Ens. Palette optimisée</v>
      </c>
      <c r="C116" t="str">
        <v>inox</v>
      </c>
      <c r="D116">
        <v>1.22E-5</v>
      </c>
      <c r="E116">
        <v>1.2799999999999999E-5</v>
      </c>
      <c r="F116">
        <v>1.0800000000000001E-8</v>
      </c>
      <c r="G116">
        <v>1.2799999999999999E-5</v>
      </c>
      <c r="H116">
        <v>2.44E-8</v>
      </c>
      <c r="I116">
        <v>1.5E-5</v>
      </c>
      <c r="J116">
        <v>1.01E-5</v>
      </c>
      <c r="K116">
        <v>4.7600000000000002E-6</v>
      </c>
      <c r="L116">
        <v>5.4900000000000002E-8</v>
      </c>
      <c r="M116">
        <v>8.5300000000000003E-8</v>
      </c>
      <c r="N116">
        <v>6.0399999999999998E-6</v>
      </c>
      <c r="O116">
        <v>7.25E-6</v>
      </c>
      <c r="P116">
        <v>4.5300000000000001E-4</v>
      </c>
      <c r="Q116">
        <v>1.6499999999999999E-16</v>
      </c>
      <c r="R116">
        <v>7.4316451712980004E-6</v>
      </c>
      <c r="S116">
        <v>4.4593624909828802E-4</v>
      </c>
      <c r="T116">
        <v>7.2510489575399701E-6</v>
      </c>
      <c r="U116">
        <v>2.1129712633671201E-6</v>
      </c>
      <c r="V116">
        <v>5.1346648461903502E-6</v>
      </c>
      <c r="W116">
        <v>4.86229164533291E-8</v>
      </c>
      <c r="X116">
        <v>1.5033837634521599E-6</v>
      </c>
      <c r="Y116">
        <v>4.1524943371174E-7</v>
      </c>
      <c r="Z116">
        <v>6.7153013073790403E-15</v>
      </c>
      <c r="AA116">
        <v>1.9772908242378299E-5</v>
      </c>
      <c r="AB116">
        <v>8.6868042355816793E-6</v>
      </c>
      <c r="AC116">
        <v>2.0646890146621599E-5</v>
      </c>
      <c r="AD116">
        <v>2.7998758033143199E-5</v>
      </c>
      <c r="AE116">
        <v>7.5176221711797199E-6</v>
      </c>
      <c r="AF116">
        <f t="shared" si="1"/>
        <v>1.0885822182860857E-3</v>
      </c>
    </row>
    <row r="117" spans="1:32" x14ac:dyDescent="0.3">
      <c r="A117" t="str">
        <v>Sous-ensemble</v>
      </c>
      <c r="B117" t="str">
        <v>Ens. Palette optimisée</v>
      </c>
      <c r="C117" t="str">
        <v>nylon</v>
      </c>
      <c r="D117">
        <v>1.2300000000000001E-5</v>
      </c>
      <c r="E117">
        <v>3.5099999999999999E-5</v>
      </c>
      <c r="F117">
        <v>4.66E-9</v>
      </c>
      <c r="G117">
        <v>3.5099999999999999E-5</v>
      </c>
      <c r="H117">
        <v>9.6700000000000007E-10</v>
      </c>
      <c r="I117">
        <v>6.9099999999999999E-4</v>
      </c>
      <c r="J117">
        <v>1.31E-5</v>
      </c>
      <c r="K117">
        <v>2.5399999999999999E-4</v>
      </c>
      <c r="L117">
        <v>4.2400000000000001E-4</v>
      </c>
      <c r="M117">
        <v>6.2199999999999997E-6</v>
      </c>
      <c r="N117">
        <v>1.06E-5</v>
      </c>
      <c r="O117">
        <v>1.03E-5</v>
      </c>
      <c r="P117">
        <v>2.4000000000000001E-5</v>
      </c>
      <c r="Q117">
        <v>4.87E-12</v>
      </c>
      <c r="R117">
        <v>2.3182548342838E-5</v>
      </c>
      <c r="S117">
        <v>8.12475752328165E-7</v>
      </c>
      <c r="T117">
        <v>1.7753091670071701E-4</v>
      </c>
      <c r="U117">
        <v>1.57449189588245E-6</v>
      </c>
      <c r="V117">
        <v>1.7116962240836201E-4</v>
      </c>
      <c r="W117">
        <v>4.9664521342598003E-6</v>
      </c>
      <c r="X117">
        <v>1.75807105639836E-5</v>
      </c>
      <c r="Y117">
        <v>4.3027237060871597E-8</v>
      </c>
      <c r="Z117">
        <v>2.1827698339037399E-13</v>
      </c>
      <c r="AA117">
        <v>8.7673100368746906E-6</v>
      </c>
      <c r="AB117">
        <v>1.4323604493200801E-5</v>
      </c>
      <c r="AC117">
        <v>8.1048006622306599E-5</v>
      </c>
      <c r="AD117">
        <v>2.1968288604807102E-6</v>
      </c>
      <c r="AE117">
        <v>1.7923653239817401E-4</v>
      </c>
      <c r="AF117">
        <f t="shared" si="1"/>
        <v>2.1981581595347452E-3</v>
      </c>
    </row>
    <row r="118" spans="1:32" x14ac:dyDescent="0.3">
      <c r="A118" t="str">
        <v>Sous-ensemble</v>
      </c>
      <c r="B118" t="str">
        <v>Ens. Palette optimisée</v>
      </c>
      <c r="C118" t="str">
        <v>packaging</v>
      </c>
      <c r="D118">
        <v>9.1942829248520208E-6</v>
      </c>
      <c r="E118">
        <v>1.0333514758737599E-5</v>
      </c>
      <c r="F118">
        <v>8.93332022812501E-6</v>
      </c>
      <c r="G118">
        <v>-2.6415436735813999E-7</v>
      </c>
      <c r="H118">
        <v>3.4768215458093103E-8</v>
      </c>
      <c r="I118">
        <v>8.6059097870922894E-6</v>
      </c>
      <c r="J118">
        <v>1.1082011622038901E-5</v>
      </c>
      <c r="K118">
        <v>-6.3046061193393498E-6</v>
      </c>
      <c r="L118">
        <v>1.6747498882298001E-7</v>
      </c>
      <c r="M118">
        <v>4.6428049330790399E-6</v>
      </c>
      <c r="N118">
        <v>9.49871986072372E-6</v>
      </c>
      <c r="O118">
        <v>1.05535272228963E-5</v>
      </c>
      <c r="P118">
        <v>2.0400131777836802E-6</v>
      </c>
      <c r="Q118">
        <v>-1.04484859886605E-14</v>
      </c>
      <c r="R118">
        <v>9.8187048515932801E-7</v>
      </c>
      <c r="S118">
        <v>7.4328219772205297E-7</v>
      </c>
      <c r="T118">
        <v>1.07398907128472E-5</v>
      </c>
      <c r="U118">
        <v>3.4342700405671301E-6</v>
      </c>
      <c r="V118">
        <v>6.1684138578762199E-6</v>
      </c>
      <c r="W118">
        <v>4.7798710513629696E-7</v>
      </c>
      <c r="X118">
        <v>-1.6084095614292299E-5</v>
      </c>
      <c r="Y118">
        <v>1.3154808192529001E-4</v>
      </c>
      <c r="Z118">
        <v>2.5339391371158401E-8</v>
      </c>
      <c r="AA118">
        <v>1.0864380707030701E-5</v>
      </c>
      <c r="AB118">
        <v>1.2939145649030599E-5</v>
      </c>
      <c r="AC118">
        <v>-5.1649971682446201E-6</v>
      </c>
      <c r="AD118">
        <v>3.1361556285380198E-7</v>
      </c>
      <c r="AE118">
        <v>2.3505490732732E-4</v>
      </c>
      <c r="AF118">
        <f t="shared" si="1"/>
        <v>4.6055967940213127E-4</v>
      </c>
    </row>
    <row r="119" spans="1:32" x14ac:dyDescent="0.3">
      <c r="A119" t="str">
        <v>Sous-ensemble</v>
      </c>
      <c r="B119" t="str">
        <v>Ens. Palette optimisée</v>
      </c>
      <c r="C119" t="str">
        <v>Polychloroprene</v>
      </c>
      <c r="D119">
        <v>4.1742579708839001E-7</v>
      </c>
      <c r="E119">
        <v>1.76324581576136E-6</v>
      </c>
      <c r="F119">
        <v>8.0910771545004797E-9</v>
      </c>
      <c r="G119">
        <v>1.7542475752805301E-6</v>
      </c>
      <c r="H119">
        <v>9.0716332633582795E-10</v>
      </c>
      <c r="I119">
        <v>5.0357561774529203E-6</v>
      </c>
      <c r="J119">
        <v>4.2092242806096302E-6</v>
      </c>
      <c r="K119">
        <v>7.9497843908831498E-7</v>
      </c>
      <c r="L119">
        <v>3.1553457754967799E-8</v>
      </c>
      <c r="M119">
        <v>1.4269701697514999E-8</v>
      </c>
      <c r="N119">
        <v>3.5332651330724802E-7</v>
      </c>
      <c r="O119">
        <v>4.2435918147153902E-7</v>
      </c>
      <c r="P119">
        <v>2.78932243498533E-7</v>
      </c>
      <c r="Q119">
        <v>5.6607146687135002E-16</v>
      </c>
      <c r="R119">
        <v>2.1732756563971299E-7</v>
      </c>
      <c r="S119">
        <v>6.1604677292748398E-8</v>
      </c>
      <c r="T119">
        <v>9.782736019189061E-7</v>
      </c>
      <c r="U119">
        <v>2.02828194188469E-7</v>
      </c>
      <c r="V119">
        <v>7.7353872149412604E-7</v>
      </c>
      <c r="W119">
        <v>9.9703904253031006E-9</v>
      </c>
      <c r="X119">
        <v>1.1118008783734599E-6</v>
      </c>
      <c r="Y119">
        <v>2.3919240857291301E-8</v>
      </c>
      <c r="Z119">
        <v>1.4901970418067301E-15</v>
      </c>
      <c r="AA119">
        <v>3.36318482840748E-7</v>
      </c>
      <c r="AB119">
        <v>5.8877409344188705E-7</v>
      </c>
      <c r="AC119">
        <v>6.80201161924272E-6</v>
      </c>
      <c r="AD119">
        <v>1.22175024721284E-7</v>
      </c>
      <c r="AE119">
        <v>1.37531968671398E-7</v>
      </c>
      <c r="AF119">
        <f t="shared" si="1"/>
        <v>2.6452391884656104E-5</v>
      </c>
    </row>
    <row r="120" spans="1:32" x14ac:dyDescent="0.3">
      <c r="A120" t="str">
        <v>Sous-ensemble</v>
      </c>
      <c r="B120" t="str">
        <v>Ens. Palette optimisée</v>
      </c>
      <c r="C120" t="str">
        <v>Transport</v>
      </c>
      <c r="D120">
        <v>1.47731872727083E-4</v>
      </c>
      <c r="E120">
        <v>1.69629504346717E-4</v>
      </c>
      <c r="F120">
        <v>5.0722918783649002E-7</v>
      </c>
      <c r="G120">
        <v>1.6773806303063999E-4</v>
      </c>
      <c r="H120">
        <v>1.3842121282412301E-6</v>
      </c>
      <c r="I120">
        <v>3.1747578760064801E-4</v>
      </c>
      <c r="J120">
        <v>3.0737060918724297E-4</v>
      </c>
      <c r="K120">
        <v>6.3182369893916699E-6</v>
      </c>
      <c r="L120">
        <v>3.78694142401257E-6</v>
      </c>
      <c r="M120">
        <v>2.5347437881981901E-6</v>
      </c>
      <c r="N120">
        <v>2.0524317122384801E-4</v>
      </c>
      <c r="O120">
        <v>2.5116469169521397E-4</v>
      </c>
      <c r="P120">
        <v>1.6223338340790999E-5</v>
      </c>
      <c r="Q120">
        <v>4.2114016727683499E-16</v>
      </c>
      <c r="R120">
        <v>1.57953638891706E-5</v>
      </c>
      <c r="S120">
        <v>4.2797445119928402E-7</v>
      </c>
      <c r="T120">
        <v>6.6230586169757204E-5</v>
      </c>
      <c r="U120">
        <v>1.48985830076096E-5</v>
      </c>
      <c r="V120">
        <v>5.12249674871503E-5</v>
      </c>
      <c r="W120">
        <v>4.6548559788517901E-7</v>
      </c>
      <c r="X120">
        <v>1.15204796383213E-6</v>
      </c>
      <c r="Y120">
        <v>7.6587810558392901E-6</v>
      </c>
      <c r="Z120">
        <v>5.0452127863294603E-15</v>
      </c>
      <c r="AA120">
        <v>5.1187132946722299E-5</v>
      </c>
      <c r="AB120">
        <v>1.90653227362586E-4</v>
      </c>
      <c r="AC120">
        <v>2.8091531259533299E-4</v>
      </c>
      <c r="AD120">
        <v>1.9175645398447302E-6</v>
      </c>
      <c r="AE120">
        <v>1.1092867850813699E-6</v>
      </c>
      <c r="AF120">
        <f t="shared" si="1"/>
        <v>2.2807447155273413E-3</v>
      </c>
    </row>
    <row r="121" spans="1:32" x14ac:dyDescent="0.3">
      <c r="A121" t="str">
        <v>Sous-ensemble</v>
      </c>
      <c r="B121" t="str">
        <v>Ensemble porte</v>
      </c>
      <c r="C121" t="str">
        <v>acier</v>
      </c>
      <c r="D121">
        <v>6.0800000000000002E-6</v>
      </c>
      <c r="E121">
        <v>1.5800000000000001E-5</v>
      </c>
      <c r="F121">
        <v>6.4199999999999998E-9</v>
      </c>
      <c r="G121">
        <v>1.5800000000000001E-5</v>
      </c>
      <c r="H121">
        <v>4.49E-9</v>
      </c>
      <c r="I121">
        <v>5.0799999999999996E-6</v>
      </c>
      <c r="J121">
        <v>3.7400000000000002E-6</v>
      </c>
      <c r="K121">
        <v>1.3200000000000001E-6</v>
      </c>
      <c r="L121">
        <v>2.6000000000000001E-8</v>
      </c>
      <c r="M121">
        <v>3.2800000000000003E-8</v>
      </c>
      <c r="N121">
        <v>3.9600000000000002E-6</v>
      </c>
      <c r="O121">
        <v>4.6099999999999999E-6</v>
      </c>
      <c r="P121">
        <v>6.5099999999999999E-7</v>
      </c>
      <c r="Q121">
        <v>4.9900000000000002E-16</v>
      </c>
      <c r="R121">
        <v>2.3275920898546199E-7</v>
      </c>
      <c r="S121">
        <v>4.18522343479772E-7</v>
      </c>
      <c r="T121">
        <v>5.9488643229939998E-6</v>
      </c>
      <c r="U121">
        <v>4.8302082716193996E-6</v>
      </c>
      <c r="V121">
        <v>1.1152236238252199E-6</v>
      </c>
      <c r="W121">
        <v>6.1361363936510394E-8</v>
      </c>
      <c r="X121">
        <v>1.0032393207287701E-6</v>
      </c>
      <c r="Y121">
        <v>8.3893056604321903E-8</v>
      </c>
      <c r="Z121">
        <v>1.9993213274903401E-15</v>
      </c>
      <c r="AA121">
        <v>6.92753672372615E-6</v>
      </c>
      <c r="AB121">
        <v>6.3728585038531099E-6</v>
      </c>
      <c r="AC121">
        <v>2.1554642721000699E-5</v>
      </c>
      <c r="AD121">
        <v>6.7917092247728197E-7</v>
      </c>
      <c r="AE121">
        <v>3.7667856000052799E-6</v>
      </c>
      <c r="AF121">
        <f t="shared" si="1"/>
        <v>1.1010577598573432E-4</v>
      </c>
    </row>
    <row r="122" spans="1:32" x14ac:dyDescent="0.3">
      <c r="A122" t="str">
        <v>Sous-ensemble</v>
      </c>
      <c r="B122" t="str">
        <v>Ensemble porte</v>
      </c>
      <c r="C122" t="str">
        <v>AER film</v>
      </c>
      <c r="D122">
        <v>4.4299999999999999E-5</v>
      </c>
      <c r="E122">
        <v>1.15E-4</v>
      </c>
      <c r="F122">
        <v>7.4799999999999997E-7</v>
      </c>
      <c r="G122">
        <v>1.02E-4</v>
      </c>
      <c r="H122">
        <v>2.3199999999999998E-9</v>
      </c>
      <c r="I122">
        <v>2.5999999999999998E-4</v>
      </c>
      <c r="J122">
        <v>2.0900000000000001E-4</v>
      </c>
      <c r="K122">
        <v>5.3700000000000003E-6</v>
      </c>
      <c r="L122">
        <v>2.2199999999999999E-6</v>
      </c>
      <c r="M122">
        <v>2.8399999999999999E-5</v>
      </c>
      <c r="N122">
        <v>2.9799999999999999E-5</v>
      </c>
      <c r="O122">
        <v>3.3000000000000003E-5</v>
      </c>
      <c r="P122">
        <v>2.09E-5</v>
      </c>
      <c r="Q122">
        <v>0</v>
      </c>
      <c r="R122">
        <v>1.1306808291878099E-5</v>
      </c>
      <c r="S122">
        <v>5.0883370500605497E-6</v>
      </c>
      <c r="T122">
        <v>7.7139719211576695E-5</v>
      </c>
      <c r="U122">
        <v>9.6604985945940994E-6</v>
      </c>
      <c r="V122">
        <v>6.3707728263658707E-5</v>
      </c>
      <c r="W122">
        <v>6.2251379812586904E-7</v>
      </c>
      <c r="X122">
        <v>8.1026478372330199E-5</v>
      </c>
      <c r="Y122">
        <v>1.80862204016847E-6</v>
      </c>
      <c r="Z122">
        <v>2.1188757337234701E-7</v>
      </c>
      <c r="AA122">
        <v>3.5377167518189103E-5</v>
      </c>
      <c r="AB122">
        <v>5.3001393976345799E-5</v>
      </c>
      <c r="AC122">
        <v>4.3593685510524599E-4</v>
      </c>
      <c r="AD122">
        <v>9.5029120134735901E-6</v>
      </c>
      <c r="AE122">
        <v>1.1643551954432999E-4</v>
      </c>
      <c r="AF122">
        <f t="shared" si="1"/>
        <v>1.7515667613533497E-3</v>
      </c>
    </row>
    <row r="123" spans="1:32" x14ac:dyDescent="0.3">
      <c r="A123" t="str">
        <v>Sous-ensemble</v>
      </c>
      <c r="B123" t="str">
        <v>Ensemble porte</v>
      </c>
      <c r="C123" t="str">
        <v>Alu</v>
      </c>
      <c r="D123">
        <v>5.64E-3</v>
      </c>
      <c r="E123">
        <v>7.9000000000000008E-3</v>
      </c>
      <c r="F123">
        <v>1.01E-5</v>
      </c>
      <c r="G123">
        <v>7.6499999999999997E-3</v>
      </c>
      <c r="H123">
        <v>3.7699999999999999E-6</v>
      </c>
      <c r="I123">
        <v>6.9699999999999996E-3</v>
      </c>
      <c r="J123">
        <v>4.4900000000000001E-3</v>
      </c>
      <c r="K123">
        <v>1.73E-3</v>
      </c>
      <c r="L123">
        <v>2.1699999999999999E-4</v>
      </c>
      <c r="M123">
        <v>1.06E-4</v>
      </c>
      <c r="N123">
        <v>2.2100000000000002E-3</v>
      </c>
      <c r="O123">
        <v>2.65E-3</v>
      </c>
      <c r="P123">
        <v>2E-3</v>
      </c>
      <c r="Q123">
        <v>1.0300000000000001E-12</v>
      </c>
      <c r="R123">
        <v>4.7719540122043001E-4</v>
      </c>
      <c r="S123">
        <v>1.46051683133715E-3</v>
      </c>
      <c r="T123">
        <v>3.4661360552259101E-3</v>
      </c>
      <c r="U123">
        <v>4.1273285971118898E-4</v>
      </c>
      <c r="V123">
        <v>2.9473108678869601E-3</v>
      </c>
      <c r="W123">
        <v>2.7649174722882202E-5</v>
      </c>
      <c r="X123">
        <v>2.2122504705443902E-3</v>
      </c>
      <c r="Y123">
        <v>1.36314123298462E-4</v>
      </c>
      <c r="Z123">
        <v>7.9568397385377708E-6</v>
      </c>
      <c r="AA123">
        <v>5.6752144777911899E-3</v>
      </c>
      <c r="AB123">
        <v>3.3149860809041599E-3</v>
      </c>
      <c r="AC123">
        <v>1.2549403550950701E-2</v>
      </c>
      <c r="AD123">
        <v>1.82334875062636E-2</v>
      </c>
      <c r="AE123">
        <v>1.67206783707019E-3</v>
      </c>
      <c r="AF123">
        <f t="shared" si="1"/>
        <v>9.417009207769575E-2</v>
      </c>
    </row>
    <row r="124" spans="1:32" x14ac:dyDescent="0.3">
      <c r="A124" t="str">
        <v>Sous-ensemble</v>
      </c>
      <c r="B124" t="str">
        <v>Ensemble porte</v>
      </c>
      <c r="C124" t="str">
        <v>Ertalon</v>
      </c>
      <c r="D124">
        <v>5.7899999999999998E-7</v>
      </c>
      <c r="E124">
        <v>1.7999999999999999E-6</v>
      </c>
      <c r="F124">
        <v>2.4199999999999999E-10</v>
      </c>
      <c r="G124">
        <v>1.7999999999999999E-6</v>
      </c>
      <c r="H124">
        <v>4.9799999999999999E-11</v>
      </c>
      <c r="I124">
        <v>8.6200000000000005E-6</v>
      </c>
      <c r="J124">
        <v>1.7499999999999999E-7</v>
      </c>
      <c r="K124">
        <v>8.3999999999999992E-6</v>
      </c>
      <c r="L124">
        <v>4.6900000000000003E-8</v>
      </c>
      <c r="M124">
        <v>2.7500000000000001E-7</v>
      </c>
      <c r="N124">
        <v>4.8299999999999997E-7</v>
      </c>
      <c r="O124">
        <v>5.6700000000000003E-7</v>
      </c>
      <c r="P124">
        <v>2.5800000000000001E-7</v>
      </c>
      <c r="Q124">
        <v>3.8499999999999998E-13</v>
      </c>
      <c r="R124">
        <v>2.4456009738902301E-7</v>
      </c>
      <c r="S124">
        <v>1.3812586293794699E-8</v>
      </c>
      <c r="T124">
        <v>1.5744744589400101E-6</v>
      </c>
      <c r="U124">
        <v>5.2978368770749297E-8</v>
      </c>
      <c r="V124">
        <v>1.5176570830953801E-6</v>
      </c>
      <c r="W124">
        <v>1.2329324108663899E-8</v>
      </c>
      <c r="X124">
        <v>5.2383436748030295E-7</v>
      </c>
      <c r="Y124">
        <v>2.2117150808376402E-9</v>
      </c>
      <c r="Z124">
        <v>3.52483196415888E-15</v>
      </c>
      <c r="AA124">
        <v>3.0008745887140402E-7</v>
      </c>
      <c r="AB124">
        <v>6.3013216630297798E-7</v>
      </c>
      <c r="AC124">
        <v>3.7786543629104001E-6</v>
      </c>
      <c r="AD124">
        <v>-4.3238104907585102E-9</v>
      </c>
      <c r="AE124">
        <v>-6.63977634225195E-8</v>
      </c>
      <c r="AF124">
        <f t="shared" si="1"/>
        <v>3.1584202603855101E-5</v>
      </c>
    </row>
    <row r="125" spans="1:32" x14ac:dyDescent="0.3">
      <c r="A125" t="str">
        <v>Sous-ensemble</v>
      </c>
      <c r="B125" t="str">
        <v>Ensemble porte</v>
      </c>
      <c r="C125" t="str">
        <v>inox</v>
      </c>
      <c r="D125">
        <v>2.4399999999999999E-6</v>
      </c>
      <c r="E125">
        <v>2.5600000000000001E-6</v>
      </c>
      <c r="F125">
        <v>2.1700000000000002E-9</v>
      </c>
      <c r="G125">
        <v>2.5600000000000001E-6</v>
      </c>
      <c r="H125">
        <v>4.8799999999999997E-9</v>
      </c>
      <c r="I125">
        <v>3.0000000000000001E-6</v>
      </c>
      <c r="J125">
        <v>2.03E-6</v>
      </c>
      <c r="K125">
        <v>9.5499999999999996E-7</v>
      </c>
      <c r="L125">
        <v>1.0999999999999999E-8</v>
      </c>
      <c r="M125">
        <v>1.7100000000000001E-8</v>
      </c>
      <c r="N125">
        <v>1.2100000000000001E-6</v>
      </c>
      <c r="O125">
        <v>1.4500000000000001E-6</v>
      </c>
      <c r="P125">
        <v>9.09E-5</v>
      </c>
      <c r="Q125">
        <v>3.3E-17</v>
      </c>
      <c r="R125">
        <v>1.4896468727305499E-6</v>
      </c>
      <c r="S125">
        <v>8.93863368870222E-5</v>
      </c>
      <c r="T125">
        <v>1.4534470032735599E-6</v>
      </c>
      <c r="U125">
        <v>4.2353758314521301E-7</v>
      </c>
      <c r="V125">
        <v>1.02922532687483E-6</v>
      </c>
      <c r="W125">
        <v>9.7462908640308205E-9</v>
      </c>
      <c r="X125">
        <v>3.0134793442368398E-7</v>
      </c>
      <c r="Y125">
        <v>8.3235273761568105E-8</v>
      </c>
      <c r="Z125">
        <v>1.3460582901098601E-15</v>
      </c>
      <c r="AA125">
        <v>3.9634092114360802E-6</v>
      </c>
      <c r="AB125">
        <v>1.7412390480554399E-6</v>
      </c>
      <c r="AC125">
        <v>4.1385957792107703E-6</v>
      </c>
      <c r="AD125">
        <v>5.6122515786267696E-6</v>
      </c>
      <c r="AE125">
        <v>1.5068806569127401E-6</v>
      </c>
      <c r="AF125">
        <f t="shared" si="1"/>
        <v>2.182790494477165E-4</v>
      </c>
    </row>
    <row r="126" spans="1:32" x14ac:dyDescent="0.3">
      <c r="A126" t="str">
        <v>Sous-ensemble</v>
      </c>
      <c r="B126" t="str">
        <v>Ensemble porte</v>
      </c>
      <c r="C126" t="str">
        <v>kydex</v>
      </c>
      <c r="D126">
        <v>1.5624685914121799E-4</v>
      </c>
      <c r="E126">
        <v>4.0520569532533697E-4</v>
      </c>
      <c r="F126">
        <v>2.6422686132205899E-6</v>
      </c>
      <c r="G126">
        <v>3.6005645063904798E-4</v>
      </c>
      <c r="H126">
        <v>8.2034506070252503E-9</v>
      </c>
      <c r="I126">
        <v>9.1659364246203295E-4</v>
      </c>
      <c r="J126">
        <v>7.3658454849708302E-4</v>
      </c>
      <c r="K126">
        <v>1.8944858095990501E-5</v>
      </c>
      <c r="L126">
        <v>7.8451436509796294E-6</v>
      </c>
      <c r="M126">
        <v>1.0042606955843301E-4</v>
      </c>
      <c r="N126">
        <v>1.0530523019502301E-4</v>
      </c>
      <c r="O126">
        <v>1.1659345702775399E-4</v>
      </c>
      <c r="P126">
        <v>7.3804640672217399E-5</v>
      </c>
      <c r="Q126">
        <v>0</v>
      </c>
      <c r="R126">
        <v>3.9919955806018502E-5</v>
      </c>
      <c r="S126">
        <v>1.7964945095111701E-5</v>
      </c>
      <c r="T126">
        <v>2.7235043721638298E-4</v>
      </c>
      <c r="U126">
        <v>3.4107474629893497E-5</v>
      </c>
      <c r="V126">
        <v>2.2492728550230499E-4</v>
      </c>
      <c r="W126">
        <v>2.1978548382811298E-6</v>
      </c>
      <c r="X126">
        <v>2.8607307670230902E-4</v>
      </c>
      <c r="Y126">
        <v>6.3855431214111101E-6</v>
      </c>
      <c r="Z126">
        <v>7.4809286109012401E-7</v>
      </c>
      <c r="AA126">
        <v>1.24903060829525E-4</v>
      </c>
      <c r="AB126">
        <v>1.8712737056954701E-4</v>
      </c>
      <c r="AC126">
        <v>1.5391239986368901E-3</v>
      </c>
      <c r="AD126">
        <v>3.3551097516957797E-5</v>
      </c>
      <c r="AE126">
        <v>4.1108867104426599E-4</v>
      </c>
      <c r="AF126">
        <f t="shared" si="1"/>
        <v>6.1807259316989322E-3</v>
      </c>
    </row>
    <row r="127" spans="1:32" x14ac:dyDescent="0.3">
      <c r="A127" t="str">
        <v>Sous-ensemble</v>
      </c>
      <c r="B127" t="str">
        <v>Ensemble porte</v>
      </c>
      <c r="C127" t="str">
        <v>nylon</v>
      </c>
      <c r="D127">
        <v>3.1863202545316401E-6</v>
      </c>
      <c r="E127">
        <v>9.1252126848011807E-6</v>
      </c>
      <c r="F127">
        <v>1.21100611579563E-9</v>
      </c>
      <c r="G127">
        <v>9.1237503350981505E-6</v>
      </c>
      <c r="H127">
        <v>2.5134358723546799E-10</v>
      </c>
      <c r="I127">
        <v>1.79774533200272E-4</v>
      </c>
      <c r="J127">
        <v>3.41130316611309E-6</v>
      </c>
      <c r="K127">
        <v>6.6097428360837796E-5</v>
      </c>
      <c r="L127">
        <v>1.10265801673321E-4</v>
      </c>
      <c r="M127">
        <v>1.6169799155076201E-6</v>
      </c>
      <c r="N127">
        <v>2.7680585903574502E-6</v>
      </c>
      <c r="O127">
        <v>2.6696944042470902E-6</v>
      </c>
      <c r="P127">
        <v>6.2387075300353696E-6</v>
      </c>
      <c r="Q127">
        <v>1.26529217378273E-12</v>
      </c>
      <c r="R127">
        <v>6.0274625691378702E-6</v>
      </c>
      <c r="S127">
        <v>2.11243695605323E-7</v>
      </c>
      <c r="T127">
        <v>4.6158038342186401E-5</v>
      </c>
      <c r="U127">
        <v>4.0936789292943803E-7</v>
      </c>
      <c r="V127">
        <v>4.4504101826173998E-5</v>
      </c>
      <c r="W127">
        <v>1.29127755490755E-6</v>
      </c>
      <c r="X127">
        <v>4.5709847466357299E-6</v>
      </c>
      <c r="Y127">
        <v>1.1187081635826599E-8</v>
      </c>
      <c r="Z127">
        <v>5.6752015681497297E-14</v>
      </c>
      <c r="AA127">
        <v>2.2795006095874198E-6</v>
      </c>
      <c r="AB127">
        <v>3.7241371682322101E-6</v>
      </c>
      <c r="AC127">
        <v>2.1072481721799699E-5</v>
      </c>
      <c r="AD127">
        <v>5.7117550372498397E-7</v>
      </c>
      <c r="AE127">
        <v>4.66014984235252E-5</v>
      </c>
      <c r="AF127">
        <f t="shared" si="1"/>
        <v>5.7171171092295129E-4</v>
      </c>
    </row>
    <row r="128" spans="1:32" x14ac:dyDescent="0.3">
      <c r="A128" t="str">
        <v>Sous-ensemble</v>
      </c>
      <c r="B128" t="str">
        <v>Ensemble porte</v>
      </c>
      <c r="C128" t="str">
        <v>packaging</v>
      </c>
      <c r="D128">
        <v>9.1942829248520208E-6</v>
      </c>
      <c r="E128">
        <v>1.0333514758737599E-5</v>
      </c>
      <c r="F128">
        <v>8.93332022812501E-6</v>
      </c>
      <c r="G128">
        <v>-2.6415436735813999E-7</v>
      </c>
      <c r="H128">
        <v>3.4768215458093103E-8</v>
      </c>
      <c r="I128">
        <v>8.6059097870922894E-6</v>
      </c>
      <c r="J128">
        <v>1.1082011622038901E-5</v>
      </c>
      <c r="K128">
        <v>-6.3046061193393498E-6</v>
      </c>
      <c r="L128">
        <v>1.6747498882298001E-7</v>
      </c>
      <c r="M128">
        <v>4.6428049330790399E-6</v>
      </c>
      <c r="N128">
        <v>9.49871986072372E-6</v>
      </c>
      <c r="O128">
        <v>1.05535272228963E-5</v>
      </c>
      <c r="P128">
        <v>2.0400131777836802E-6</v>
      </c>
      <c r="Q128">
        <v>-1.04484859886605E-14</v>
      </c>
      <c r="R128">
        <v>9.8187048515932801E-7</v>
      </c>
      <c r="S128">
        <v>7.4328219772205297E-7</v>
      </c>
      <c r="T128">
        <v>1.07398907128472E-5</v>
      </c>
      <c r="U128">
        <v>3.4342700405671301E-6</v>
      </c>
      <c r="V128">
        <v>6.1684138578762199E-6</v>
      </c>
      <c r="W128">
        <v>4.7798710513629696E-7</v>
      </c>
      <c r="X128">
        <v>-1.6084095614292299E-5</v>
      </c>
      <c r="Y128">
        <v>1.3154808192529001E-4</v>
      </c>
      <c r="Z128">
        <v>2.5339391371158401E-8</v>
      </c>
      <c r="AA128">
        <v>1.0864380707030701E-5</v>
      </c>
      <c r="AB128">
        <v>1.2939145649030599E-5</v>
      </c>
      <c r="AC128">
        <v>-5.1649971682446201E-6</v>
      </c>
      <c r="AD128">
        <v>3.1361556285380198E-7</v>
      </c>
      <c r="AE128">
        <v>2.3505490732732E-4</v>
      </c>
      <c r="AF128">
        <f t="shared" si="1"/>
        <v>4.6055967940213127E-4</v>
      </c>
    </row>
    <row r="129" spans="1:32" x14ac:dyDescent="0.3">
      <c r="A129" t="str">
        <v>Sous-ensemble</v>
      </c>
      <c r="B129" t="str">
        <v>Ensemble porte</v>
      </c>
      <c r="C129" t="str">
        <v>Transport</v>
      </c>
      <c r="D129">
        <v>7.2201070645151196E-5</v>
      </c>
      <c r="E129">
        <v>8.2903110891073697E-5</v>
      </c>
      <c r="F129">
        <v>2.4789836985225798E-7</v>
      </c>
      <c r="G129">
        <v>8.1978705848598097E-5</v>
      </c>
      <c r="H129">
        <v>6.7650667262338497E-7</v>
      </c>
      <c r="I129">
        <v>1.5516009744914901E-4</v>
      </c>
      <c r="J129">
        <v>1.5022138864488201E-4</v>
      </c>
      <c r="K129">
        <v>3.0879150639796002E-6</v>
      </c>
      <c r="L129">
        <v>1.85079374028714E-6</v>
      </c>
      <c r="M129">
        <v>1.2388065753227599E-6</v>
      </c>
      <c r="N129">
        <v>1.00308595778406E-4</v>
      </c>
      <c r="O129">
        <v>1.2275184301058001E-4</v>
      </c>
      <c r="P129">
        <v>7.9288401075613399E-6</v>
      </c>
      <c r="Q129">
        <v>2.0582404059304499E-16</v>
      </c>
      <c r="R129">
        <v>7.7196759438276897E-6</v>
      </c>
      <c r="S129">
        <v>2.09164163527825E-7</v>
      </c>
      <c r="T129">
        <v>3.2368906875948501E-5</v>
      </c>
      <c r="U129">
        <v>7.2813917835610499E-6</v>
      </c>
      <c r="V129">
        <v>2.5035203494427099E-5</v>
      </c>
      <c r="W129">
        <v>2.2749700465312699E-7</v>
      </c>
      <c r="X129">
        <v>5.6304096663629295E-7</v>
      </c>
      <c r="Y129">
        <v>3.7430798233360802E-6</v>
      </c>
      <c r="Z129">
        <v>2.4657493205852701E-15</v>
      </c>
      <c r="AA129">
        <v>2.5016712600919501E-5</v>
      </c>
      <c r="AB129">
        <v>9.3178045356278705E-5</v>
      </c>
      <c r="AC129">
        <v>1.37291878560761E-4</v>
      </c>
      <c r="AD129">
        <v>9.3717225844511503E-7</v>
      </c>
      <c r="AE129">
        <v>5.4214227476387199E-7</v>
      </c>
      <c r="AF129">
        <f t="shared" si="1"/>
        <v>1.114669483907224E-3</v>
      </c>
    </row>
    <row r="130" spans="1:32" x14ac:dyDescent="0.3">
      <c r="A130" t="str">
        <v>Sous-ensemble</v>
      </c>
      <c r="B130" t="str">
        <v>Ens. Structure fauteuil</v>
      </c>
      <c r="C130" t="str">
        <v>35NC6</v>
      </c>
      <c r="D130">
        <v>2.2100000000000001E-4</v>
      </c>
      <c r="E130">
        <v>5.44E-4</v>
      </c>
      <c r="F130">
        <v>1.2700000000000001E-7</v>
      </c>
      <c r="G130">
        <v>5.44E-4</v>
      </c>
      <c r="H130">
        <v>2.8500000000000002E-7</v>
      </c>
      <c r="I130">
        <v>1.74E-4</v>
      </c>
      <c r="J130">
        <v>1.3799999999999999E-4</v>
      </c>
      <c r="K130">
        <v>3.4400000000000003E-5</v>
      </c>
      <c r="L130">
        <v>1.48E-6</v>
      </c>
      <c r="M130">
        <v>3.7299999999999999E-6</v>
      </c>
      <c r="N130">
        <v>1.2E-4</v>
      </c>
      <c r="O130">
        <v>1.4100000000000001E-4</v>
      </c>
      <c r="P130">
        <v>6.9200000000000002E-5</v>
      </c>
      <c r="Q130">
        <v>-7.7499999999999997E-16</v>
      </c>
      <c r="R130">
        <v>5.6231505914748101E-6</v>
      </c>
      <c r="S130">
        <v>6.3588350646797597E-5</v>
      </c>
      <c r="T130">
        <v>2.0712327223751099E-4</v>
      </c>
      <c r="U130">
        <v>1.84613736510603E-4</v>
      </c>
      <c r="V130">
        <v>2.2383703638698999E-5</v>
      </c>
      <c r="W130">
        <v>2.1386002262705101E-6</v>
      </c>
      <c r="X130">
        <v>-2.0560341193211201E-7</v>
      </c>
      <c r="Y130">
        <v>4.9505758634904396E-6</v>
      </c>
      <c r="Z130">
        <v>6.6128966577539004E-14</v>
      </c>
      <c r="AA130">
        <v>9.0566959847386704E-4</v>
      </c>
      <c r="AB130">
        <v>2.0508680110730199E-4</v>
      </c>
      <c r="AC130">
        <v>7.7653442245413098E-4</v>
      </c>
      <c r="AD130">
        <v>1.4361257209754099E-4</v>
      </c>
      <c r="AE130">
        <v>2.6500707558673301E-3</v>
      </c>
      <c r="AF130">
        <f t="shared" si="1"/>
        <v>7.1624119363684399E-3</v>
      </c>
    </row>
    <row r="131" spans="1:32" x14ac:dyDescent="0.3">
      <c r="A131" t="str">
        <v>Sous-ensemble</v>
      </c>
      <c r="B131" t="str">
        <v>Ens. Structure fauteuil</v>
      </c>
      <c r="C131">
        <v>4140</v>
      </c>
      <c r="D131">
        <v>3.1300000000000001E-7</v>
      </c>
      <c r="E131">
        <v>7.6799999999999999E-7</v>
      </c>
      <c r="F131">
        <v>1.79E-10</v>
      </c>
      <c r="G131">
        <v>7.6799999999999999E-7</v>
      </c>
      <c r="H131">
        <v>4.0200000000000001E-10</v>
      </c>
      <c r="I131">
        <v>2.4499999999999998E-7</v>
      </c>
      <c r="J131">
        <v>1.9500000000000001E-7</v>
      </c>
      <c r="K131">
        <v>4.8499999999999998E-8</v>
      </c>
      <c r="L131">
        <v>2.09E-9</v>
      </c>
      <c r="M131">
        <v>5.2700000000000002E-9</v>
      </c>
      <c r="N131">
        <v>1.6999999999999999E-7</v>
      </c>
      <c r="O131">
        <v>1.9999999999999999E-7</v>
      </c>
      <c r="P131">
        <v>9.7699999999999995E-8</v>
      </c>
      <c r="Q131">
        <v>-1.09E-18</v>
      </c>
      <c r="R131">
        <v>7.9366980825332508E-9</v>
      </c>
      <c r="S131">
        <v>8.9750671343398094E-8</v>
      </c>
      <c r="T131">
        <v>2.9234053950248502E-7</v>
      </c>
      <c r="U131">
        <v>2.6056984687452799E-7</v>
      </c>
      <c r="V131">
        <v>3.1593089116018403E-8</v>
      </c>
      <c r="W131">
        <v>3.0184900864791899E-9</v>
      </c>
      <c r="X131">
        <v>-2.9019535911377498E-10</v>
      </c>
      <c r="Y131">
        <v>6.9874041827670202E-9</v>
      </c>
      <c r="Z131">
        <v>9.3336579502525002E-17</v>
      </c>
      <c r="AA131">
        <v>1.2782915998219699E-6</v>
      </c>
      <c r="AB131">
        <v>2.8946619775201399E-7</v>
      </c>
      <c r="AC131">
        <v>1.09602600205241E-6</v>
      </c>
      <c r="AD131">
        <v>2.02699466616148E-7</v>
      </c>
      <c r="AE131">
        <v>3.7403962679849298E-6</v>
      </c>
      <c r="AF131">
        <f t="shared" ref="AF131:AF194" si="2">SUM(D131:AE131)</f>
        <v>1.0111927078148813E-5</v>
      </c>
    </row>
    <row r="132" spans="1:32" x14ac:dyDescent="0.3">
      <c r="A132" t="str">
        <v>Sous-ensemble</v>
      </c>
      <c r="B132" t="str">
        <v>Ens. Structure fauteuil</v>
      </c>
      <c r="C132" t="str">
        <v>A2017</v>
      </c>
      <c r="D132">
        <v>1.4E-2</v>
      </c>
      <c r="E132">
        <v>1.9900000000000001E-2</v>
      </c>
      <c r="F132">
        <v>2.3900000000000002E-5</v>
      </c>
      <c r="G132">
        <v>1.9199999999999998E-2</v>
      </c>
      <c r="H132">
        <v>1.7900000000000001E-5</v>
      </c>
      <c r="I132">
        <v>1.6400000000000001E-2</v>
      </c>
      <c r="J132">
        <v>1.0500000000000001E-2</v>
      </c>
      <c r="K132">
        <v>3.9899999999999996E-3</v>
      </c>
      <c r="L132">
        <v>4.6099999999999998E-4</v>
      </c>
      <c r="M132">
        <v>3.0699999999999998E-4</v>
      </c>
      <c r="N132">
        <v>5.9300000000000004E-3</v>
      </c>
      <c r="O132">
        <v>7.1500000000000001E-3</v>
      </c>
      <c r="P132">
        <v>4.4200000000000003E-3</v>
      </c>
      <c r="Q132">
        <v>2.0499999999999999E-12</v>
      </c>
      <c r="R132">
        <v>1.06470735564619E-3</v>
      </c>
      <c r="S132">
        <v>3.1869467121709801E-3</v>
      </c>
      <c r="T132">
        <v>7.8723769881609892E-3</v>
      </c>
      <c r="U132">
        <v>1.11483154437069E-3</v>
      </c>
      <c r="V132">
        <v>6.4683599076294403E-3</v>
      </c>
      <c r="W132">
        <v>7.2225460655446196E-5</v>
      </c>
      <c r="X132">
        <v>4.9538360518767404E-3</v>
      </c>
      <c r="Y132">
        <v>4.4090427555613498E-4</v>
      </c>
      <c r="Z132">
        <v>2.18834473239069E-5</v>
      </c>
      <c r="AA132">
        <v>1.3656339321192401E-2</v>
      </c>
      <c r="AB132">
        <v>8.8022053666121994E-3</v>
      </c>
      <c r="AC132">
        <v>3.2468639354503302E-2</v>
      </c>
      <c r="AD132">
        <v>3.8239917341226497E-2</v>
      </c>
      <c r="AE132">
        <v>4.1124632007578698E-3</v>
      </c>
      <c r="AF132">
        <f t="shared" si="2"/>
        <v>0.22477543632973274</v>
      </c>
    </row>
    <row r="133" spans="1:32" x14ac:dyDescent="0.3">
      <c r="A133" t="str">
        <v>Sous-ensemble</v>
      </c>
      <c r="B133" t="str">
        <v>Ens. Structure fauteuil</v>
      </c>
      <c r="C133" t="str">
        <v>A2024</v>
      </c>
      <c r="D133">
        <v>5.7299999999999999E-3</v>
      </c>
      <c r="E133">
        <v>8.0700000000000008E-3</v>
      </c>
      <c r="F133">
        <v>9.6700000000000006E-6</v>
      </c>
      <c r="G133">
        <v>7.6400000000000001E-3</v>
      </c>
      <c r="H133">
        <v>6.4300000000000003E-6</v>
      </c>
      <c r="I133">
        <v>7.0099999999999997E-3</v>
      </c>
      <c r="J133">
        <v>4.28E-3</v>
      </c>
      <c r="K133">
        <v>1.6100000000000001E-3</v>
      </c>
      <c r="L133">
        <v>1.93E-4</v>
      </c>
      <c r="M133">
        <v>1.76E-4</v>
      </c>
      <c r="N133">
        <v>2.4099999999999998E-3</v>
      </c>
      <c r="O133">
        <v>2.8999999999999998E-3</v>
      </c>
      <c r="P133">
        <v>1.8699999999999999E-3</v>
      </c>
      <c r="Q133">
        <v>8.6099999999999997E-13</v>
      </c>
      <c r="R133">
        <v>4.3948710875653802E-4</v>
      </c>
      <c r="S133">
        <v>1.3218568989255099E-3</v>
      </c>
      <c r="T133">
        <v>3.2979252542852601E-3</v>
      </c>
      <c r="U133">
        <v>4.3730218489604301E-4</v>
      </c>
      <c r="V133">
        <v>2.68161502359949E-3</v>
      </c>
      <c r="W133">
        <v>2.84975948440144E-5</v>
      </c>
      <c r="X133">
        <v>2.0352879625466398E-3</v>
      </c>
      <c r="Y133">
        <v>1.83577055266748E-4</v>
      </c>
      <c r="Z133">
        <v>1.3792453708230101E-5</v>
      </c>
      <c r="AA133">
        <v>5.6785043378027302E-3</v>
      </c>
      <c r="AB133">
        <v>3.5954880743500799E-3</v>
      </c>
      <c r="AC133">
        <v>1.31192953771039E-2</v>
      </c>
      <c r="AD133">
        <v>1.6123881891220899E-2</v>
      </c>
      <c r="AE133">
        <v>2.1869578112722098E-3</v>
      </c>
      <c r="AF133">
        <f t="shared" si="2"/>
        <v>9.3048569029439282E-2</v>
      </c>
    </row>
    <row r="134" spans="1:32" x14ac:dyDescent="0.3">
      <c r="A134" t="str">
        <v>Sous-ensemble</v>
      </c>
      <c r="B134" t="str">
        <v>Ens. Structure fauteuil</v>
      </c>
      <c r="C134" t="str">
        <v>A5086</v>
      </c>
      <c r="D134">
        <v>3.8299999999999999E-4</v>
      </c>
      <c r="E134">
        <v>5.7799999999999995E-4</v>
      </c>
      <c r="F134">
        <v>6.7400000000000003E-7</v>
      </c>
      <c r="G134">
        <v>5.7700000000000004E-4</v>
      </c>
      <c r="H134">
        <v>3.2399999999999999E-7</v>
      </c>
      <c r="I134">
        <v>4.3800000000000002E-4</v>
      </c>
      <c r="J134">
        <v>3.0899999999999998E-4</v>
      </c>
      <c r="K134">
        <v>1.1400000000000001E-4</v>
      </c>
      <c r="L134">
        <v>1.4800000000000001E-5</v>
      </c>
      <c r="M134">
        <v>1.4100000000000001E-6</v>
      </c>
      <c r="N134">
        <v>1.55E-4</v>
      </c>
      <c r="O134">
        <v>1.8699999999999999E-4</v>
      </c>
      <c r="P134">
        <v>1.34E-4</v>
      </c>
      <c r="Q134">
        <v>6.7000000000000005E-14</v>
      </c>
      <c r="R134">
        <v>3.1295874612028903E-5</v>
      </c>
      <c r="S134">
        <v>1.02886532985328E-4</v>
      </c>
      <c r="T134">
        <v>2.1572852093628799E-4</v>
      </c>
      <c r="U134">
        <v>3.0332874287491101E-5</v>
      </c>
      <c r="V134">
        <v>1.8494714554032201E-4</v>
      </c>
      <c r="W134">
        <v>2.1106263565781801E-6</v>
      </c>
      <c r="X134">
        <v>1.43066888168219E-4</v>
      </c>
      <c r="Y134">
        <v>6.7193257563025797E-6</v>
      </c>
      <c r="Z134">
        <v>2.69945135644648E-12</v>
      </c>
      <c r="AA134">
        <v>4.04842751991508E-4</v>
      </c>
      <c r="AB134">
        <v>2.3051646370278599E-4</v>
      </c>
      <c r="AC134">
        <v>8.8154330496438202E-4</v>
      </c>
      <c r="AD134">
        <v>1.13145597890848E-4</v>
      </c>
      <c r="AE134">
        <v>6.0450539939624402E-5</v>
      </c>
      <c r="AF134">
        <f t="shared" si="2"/>
        <v>5.2997944498981578E-3</v>
      </c>
    </row>
    <row r="135" spans="1:32" x14ac:dyDescent="0.3">
      <c r="A135" t="str">
        <v>Sous-ensemble</v>
      </c>
      <c r="B135" t="str">
        <v>Ens. Structure fauteuil</v>
      </c>
      <c r="C135" t="str">
        <v>acier</v>
      </c>
      <c r="D135">
        <v>2.6361445368437302E-4</v>
      </c>
      <c r="E135">
        <v>6.4789438429806395E-4</v>
      </c>
      <c r="F135">
        <v>1.5088921026201801E-7</v>
      </c>
      <c r="G135">
        <v>6.4740445689985603E-4</v>
      </c>
      <c r="H135">
        <v>3.3903818794639403E-7</v>
      </c>
      <c r="I135">
        <v>2.06899908847077E-4</v>
      </c>
      <c r="J135">
        <v>1.6422282490928899E-4</v>
      </c>
      <c r="K135">
        <v>4.091453020437E-5</v>
      </c>
      <c r="L135">
        <v>1.7625537334177999E-6</v>
      </c>
      <c r="M135">
        <v>4.4439993141596699E-6</v>
      </c>
      <c r="N135">
        <v>1.43034690798558E-4</v>
      </c>
      <c r="O135">
        <v>1.68450643618549E-4</v>
      </c>
      <c r="P135">
        <v>8.2399296109851003E-5</v>
      </c>
      <c r="Q135">
        <v>-9.2217183169634008E-16</v>
      </c>
      <c r="R135">
        <v>6.6946048326167899E-6</v>
      </c>
      <c r="S135">
        <v>7.57046912781564E-5</v>
      </c>
      <c r="T135">
        <v>2.4658924507034598E-4</v>
      </c>
      <c r="U135">
        <v>2.19790665838665E-4</v>
      </c>
      <c r="V135">
        <v>2.6648770669361501E-5</v>
      </c>
      <c r="W135">
        <v>2.5460963879452E-6</v>
      </c>
      <c r="X135">
        <v>-2.4477978541247499E-7</v>
      </c>
      <c r="Y135">
        <v>5.8938754281639896E-6</v>
      </c>
      <c r="Z135">
        <v>7.8729404810379897E-14</v>
      </c>
      <c r="AA135">
        <v>1.0782389644498299E-3</v>
      </c>
      <c r="AB135">
        <v>2.4416473780382401E-4</v>
      </c>
      <c r="AC135">
        <v>9.24497932731206E-4</v>
      </c>
      <c r="AD135">
        <v>1.70977000090721E-4</v>
      </c>
      <c r="AE135">
        <v>3.1550242520453002E-3</v>
      </c>
      <c r="AF135">
        <f t="shared" si="2"/>
        <v>8.528057726734305E-3</v>
      </c>
    </row>
    <row r="136" spans="1:32" x14ac:dyDescent="0.3">
      <c r="A136" t="str">
        <v>Sous-ensemble</v>
      </c>
      <c r="B136" t="str">
        <v>Ens. Structure fauteuil</v>
      </c>
      <c r="C136" t="str">
        <v>inox</v>
      </c>
      <c r="D136">
        <v>2.39068249117576E-5</v>
      </c>
      <c r="E136">
        <v>2.46399548898508E-5</v>
      </c>
      <c r="F136">
        <v>2.0333825336084101E-8</v>
      </c>
      <c r="G136">
        <v>2.4567516197046401E-5</v>
      </c>
      <c r="H136">
        <v>5.2104867468333499E-8</v>
      </c>
      <c r="I136">
        <v>2.8346215663758E-5</v>
      </c>
      <c r="J136">
        <v>1.95020262981888E-5</v>
      </c>
      <c r="K136">
        <v>8.7380098247257396E-6</v>
      </c>
      <c r="L136">
        <v>1.06179540843477E-7</v>
      </c>
      <c r="M136">
        <v>1.7290400380235099E-7</v>
      </c>
      <c r="N136">
        <v>1.1729434007227999E-5</v>
      </c>
      <c r="O136">
        <v>1.4091659948616799E-5</v>
      </c>
      <c r="P136">
        <v>8.5932207714104999E-4</v>
      </c>
      <c r="Q136">
        <v>-1.1990002684086799E-17</v>
      </c>
      <c r="R136">
        <v>1.41140214604711E-5</v>
      </c>
      <c r="S136">
        <v>8.4520805568059096E-4</v>
      </c>
      <c r="T136">
        <v>1.39345974452692E-5</v>
      </c>
      <c r="U136">
        <v>4.0599811377686796E-6</v>
      </c>
      <c r="V136">
        <v>9.8676787090514006E-6</v>
      </c>
      <c r="W136">
        <v>9.3739649398385894E-8</v>
      </c>
      <c r="X136">
        <v>2.23848288524807E-6</v>
      </c>
      <c r="Y136">
        <v>8.5292748508837104E-7</v>
      </c>
      <c r="Z136">
        <v>1.24046239847366E-14</v>
      </c>
      <c r="AA136">
        <v>3.8214437581595799E-5</v>
      </c>
      <c r="AB136">
        <v>1.6877406642576201E-5</v>
      </c>
      <c r="AC136">
        <v>3.93790354763642E-5</v>
      </c>
      <c r="AD136">
        <v>5.3072995977407599E-5</v>
      </c>
      <c r="AE136">
        <v>1.42738020834165E-5</v>
      </c>
      <c r="AF136">
        <f t="shared" si="2"/>
        <v>2.0673824033463116E-3</v>
      </c>
    </row>
    <row r="137" spans="1:32" x14ac:dyDescent="0.3">
      <c r="A137" t="str">
        <v>Sous-ensemble</v>
      </c>
      <c r="B137" t="str">
        <v>Ens. Structure fauteuil</v>
      </c>
      <c r="C137" t="str">
        <v>nylon</v>
      </c>
      <c r="D137">
        <v>4.4497159883980598E-5</v>
      </c>
      <c r="E137">
        <v>8.0704186413610803E-5</v>
      </c>
      <c r="F137">
        <v>6.1868531557413901E-9</v>
      </c>
      <c r="G137">
        <v>8.0550662956709704E-5</v>
      </c>
      <c r="H137">
        <v>1.47336603745361E-7</v>
      </c>
      <c r="I137">
        <v>1.39979397520713E-3</v>
      </c>
      <c r="J137">
        <v>3.3291818519089601E-5</v>
      </c>
      <c r="K137">
        <v>5.0764722862151003E-4</v>
      </c>
      <c r="L137">
        <v>8.5885492806653003E-4</v>
      </c>
      <c r="M137">
        <v>1.28677909844559E-5</v>
      </c>
      <c r="N137">
        <v>2.8494904140524099E-5</v>
      </c>
      <c r="O137">
        <v>2.93406381287659E-5</v>
      </c>
      <c r="P137">
        <v>4.9952421681358497E-5</v>
      </c>
      <c r="Q137">
        <v>9.8467304104262802E-12</v>
      </c>
      <c r="R137">
        <v>4.7653619226098599E-5</v>
      </c>
      <c r="S137">
        <v>2.29879260852945E-6</v>
      </c>
      <c r="T137">
        <v>3.64215336207754E-4</v>
      </c>
      <c r="U137">
        <v>4.5432773986274097E-6</v>
      </c>
      <c r="V137">
        <v>3.4996730362487298E-4</v>
      </c>
      <c r="W137">
        <v>1.0095592224494401E-5</v>
      </c>
      <c r="X137">
        <v>2.06232051875652E-5</v>
      </c>
      <c r="Y137">
        <v>1.7031871902130601E-6</v>
      </c>
      <c r="Z137">
        <v>4.3409574093390602E-13</v>
      </c>
      <c r="AA137">
        <v>3.58500918605545E-5</v>
      </c>
      <c r="AB137">
        <v>3.9069692347946397E-5</v>
      </c>
      <c r="AC137">
        <v>1.70165472434047E-4</v>
      </c>
      <c r="AD137">
        <v>4.6220260998628901E-6</v>
      </c>
      <c r="AE137">
        <v>3.6358381456579102E-4</v>
      </c>
      <c r="AF137">
        <f t="shared" si="2"/>
        <v>4.5405406593177497E-3</v>
      </c>
    </row>
    <row r="138" spans="1:32" x14ac:dyDescent="0.3">
      <c r="A138" t="str">
        <v>Sous-ensemble</v>
      </c>
      <c r="B138" t="str">
        <v>Ens. Structure fauteuil</v>
      </c>
      <c r="C138" t="str">
        <v>packaging</v>
      </c>
      <c r="D138">
        <v>1.9160317576242701E-4</v>
      </c>
      <c r="E138">
        <v>2.2800605558687901E-4</v>
      </c>
      <c r="F138">
        <v>3.4125431343427003E-5</v>
      </c>
      <c r="G138">
        <v>-1.2917315795312301E-5</v>
      </c>
      <c r="H138">
        <v>-1.6389602996872401E-9</v>
      </c>
      <c r="I138">
        <v>4.4834614193695602E-4</v>
      </c>
      <c r="J138">
        <v>3.2828703567131501E-6</v>
      </c>
      <c r="K138">
        <v>-2.0094073707855901E-5</v>
      </c>
      <c r="L138">
        <v>5.59718946758658E-7</v>
      </c>
      <c r="M138">
        <v>4.6076576588422298E-4</v>
      </c>
      <c r="N138">
        <v>1.1965180862243799E-4</v>
      </c>
      <c r="O138">
        <v>1.2319550635509901E-4</v>
      </c>
      <c r="P138">
        <v>3.96789382748746E-5</v>
      </c>
      <c r="Q138">
        <v>-2.33094533434802E-14</v>
      </c>
      <c r="R138">
        <v>5.2747188761209302E-7</v>
      </c>
      <c r="S138">
        <v>-8.0545051211626396E-7</v>
      </c>
      <c r="T138">
        <v>9.0431992796452404E-5</v>
      </c>
      <c r="U138">
        <v>8.0270533147420602E-7</v>
      </c>
      <c r="V138">
        <v>3.64978521754122E-6</v>
      </c>
      <c r="W138">
        <v>1.7346704360375299E-6</v>
      </c>
      <c r="X138">
        <v>1.01994328142341E-4</v>
      </c>
      <c r="Y138">
        <v>2.2694299755448099E-4</v>
      </c>
      <c r="Z138">
        <v>3.2156596955815499E-6</v>
      </c>
      <c r="AA138">
        <v>3.4590336927538598E-4</v>
      </c>
      <c r="AB138">
        <v>1.5515036564414301E-4</v>
      </c>
      <c r="AC138">
        <v>3.6745983665389102E-4</v>
      </c>
      <c r="AD138">
        <v>2.6993162276669801E-5</v>
      </c>
      <c r="AE138">
        <v>2.9390723503820299E-2</v>
      </c>
      <c r="AF138">
        <f t="shared" si="2"/>
        <v>3.2330926782802812E-2</v>
      </c>
    </row>
    <row r="139" spans="1:32" x14ac:dyDescent="0.3">
      <c r="A139" t="str">
        <v>Sous-ensemble</v>
      </c>
      <c r="B139" t="str">
        <v>Ens. Structure fauteuil</v>
      </c>
      <c r="C139" t="str">
        <v>Transport</v>
      </c>
      <c r="D139">
        <v>1.1376388876175699E-2</v>
      </c>
      <c r="E139">
        <v>1.9516793986747601E-2</v>
      </c>
      <c r="F139">
        <v>2.3963053088201299E-5</v>
      </c>
      <c r="G139">
        <v>1.9492423937742601E-2</v>
      </c>
      <c r="H139">
        <v>4.0699591676594499E-7</v>
      </c>
      <c r="I139">
        <v>3.6414670740132299E-2</v>
      </c>
      <c r="J139">
        <v>3.5560909373398397E-2</v>
      </c>
      <c r="K139">
        <v>5.6505245080095399E-4</v>
      </c>
      <c r="L139">
        <v>2.8870891593293799E-4</v>
      </c>
      <c r="M139">
        <v>1.5908496775473301E-5</v>
      </c>
      <c r="N139">
        <v>1.46132846252875E-2</v>
      </c>
      <c r="O139">
        <v>1.7697782760590801E-2</v>
      </c>
      <c r="P139">
        <v>1.70496700340001E-3</v>
      </c>
      <c r="Q139">
        <v>1.9218802233303401E-14</v>
      </c>
      <c r="R139">
        <v>1.6708266332926399E-3</v>
      </c>
      <c r="S139">
        <v>3.4140370088148002E-5</v>
      </c>
      <c r="T139">
        <v>5.68869553094941E-3</v>
      </c>
      <c r="U139">
        <v>1.62914469954599E-3</v>
      </c>
      <c r="V139">
        <v>4.0414152943600099E-3</v>
      </c>
      <c r="W139">
        <v>6.1456000811329996E-5</v>
      </c>
      <c r="X139">
        <v>5.62256635734687E-5</v>
      </c>
      <c r="Y139">
        <v>5.2955184414799101E-6</v>
      </c>
      <c r="Z139">
        <v>2.3287552274729402E-13</v>
      </c>
      <c r="AA139">
        <v>3.3868356690593699E-3</v>
      </c>
      <c r="AB139">
        <v>2.0042196133264599E-2</v>
      </c>
      <c r="AC139">
        <v>3.2880715718990199E-2</v>
      </c>
      <c r="AD139">
        <v>8.2029042053132403E-5</v>
      </c>
      <c r="AE139">
        <v>1.79787843649186E-5</v>
      </c>
      <c r="AF139">
        <f t="shared" si="2"/>
        <v>0.22686821627503601</v>
      </c>
    </row>
    <row r="140" spans="1:32" x14ac:dyDescent="0.3">
      <c r="A140" t="str">
        <v>Sous-ensemble</v>
      </c>
      <c r="B140" t="str">
        <v>Ens. Structure porte</v>
      </c>
      <c r="C140" t="str">
        <v>velcro</v>
      </c>
      <c r="D140">
        <v>1.3913496080858699E-5</v>
      </c>
      <c r="E140">
        <v>4.8300158004458301E-5</v>
      </c>
      <c r="F140">
        <v>9.4285701993298003E-8</v>
      </c>
      <c r="G140">
        <v>4.8196560865333402E-5</v>
      </c>
      <c r="H140">
        <v>9.3114371316628197E-9</v>
      </c>
      <c r="I140">
        <v>1.18279670484057E-4</v>
      </c>
      <c r="J140">
        <v>6.4331803666378703E-5</v>
      </c>
      <c r="K140">
        <v>5.3272465912637302E-5</v>
      </c>
      <c r="L140">
        <v>6.7540090504136001E-7</v>
      </c>
      <c r="M140">
        <v>6.7144949479888898E-7</v>
      </c>
      <c r="N140">
        <v>1.3057690166492499E-5</v>
      </c>
      <c r="O140">
        <v>1.4663975012764701E-5</v>
      </c>
      <c r="P140">
        <v>6.2432661583775398E-6</v>
      </c>
      <c r="Q140">
        <v>1.25495780521026E-15</v>
      </c>
      <c r="R140">
        <v>4.9737417171971003E-6</v>
      </c>
      <c r="S140">
        <v>1.2695244399254899E-6</v>
      </c>
      <c r="T140">
        <v>2.4232693529143098E-5</v>
      </c>
      <c r="U140">
        <v>3.0939005602245002E-6</v>
      </c>
      <c r="V140">
        <v>2.1063178721308201E-5</v>
      </c>
      <c r="W140">
        <v>2.3824591928293301E-7</v>
      </c>
      <c r="X140">
        <v>4.2448542323156E-6</v>
      </c>
      <c r="Y140">
        <v>3.3799084444426498E-7</v>
      </c>
      <c r="Z140">
        <v>1.0673408756482999E-8</v>
      </c>
      <c r="AA140">
        <v>1.0928159763897999E-5</v>
      </c>
      <c r="AB140">
        <v>2.0937278427032301E-5</v>
      </c>
      <c r="AC140">
        <v>1.15801392741423E-4</v>
      </c>
      <c r="AD140">
        <v>1.0890078011818099E-5</v>
      </c>
      <c r="AE140">
        <v>5.9306908809223102E-6</v>
      </c>
      <c r="AF140">
        <f t="shared" si="2"/>
        <v>6.0566193708926964E-4</v>
      </c>
    </row>
    <row r="141" spans="1:32" x14ac:dyDescent="0.3">
      <c r="A141" t="str">
        <v>Sous-ensemble</v>
      </c>
      <c r="B141" t="str">
        <v>Ens. Structure porte</v>
      </c>
      <c r="C141" t="str">
        <v>Z10CNT18</v>
      </c>
      <c r="D141">
        <v>4.6060482663319699E-4</v>
      </c>
      <c r="E141">
        <v>4.7472979754445898E-4</v>
      </c>
      <c r="F141">
        <v>3.9176503480855399E-7</v>
      </c>
      <c r="G141">
        <v>4.7333414539642798E-4</v>
      </c>
      <c r="H141">
        <v>1.0038871132232201E-6</v>
      </c>
      <c r="I141">
        <v>5.4613708845507099E-4</v>
      </c>
      <c r="J141">
        <v>3.7573904001177101E-4</v>
      </c>
      <c r="K141">
        <v>1.6835232262304899E-4</v>
      </c>
      <c r="L141">
        <v>2.0457258202509998E-6</v>
      </c>
      <c r="M141">
        <v>3.3312838065919601E-6</v>
      </c>
      <c r="N141">
        <v>2.2598709520592499E-4</v>
      </c>
      <c r="O141">
        <v>2.7149931501001701E-4</v>
      </c>
      <c r="P141">
        <v>1.6556272019584199E-2</v>
      </c>
      <c r="Q141">
        <v>-2.3100738504674002E-16</v>
      </c>
      <c r="R141">
        <v>2.71930146805076E-4</v>
      </c>
      <c r="S141">
        <v>1.6284341872779402E-2</v>
      </c>
      <c r="T141">
        <v>2.6847324411218601E-4</v>
      </c>
      <c r="U141">
        <v>7.8222303254343306E-5</v>
      </c>
      <c r="V141">
        <v>1.9011727646105699E-4</v>
      </c>
      <c r="W141">
        <v>1.8060505784088999E-6</v>
      </c>
      <c r="X141">
        <v>4.3128103589112898E-5</v>
      </c>
      <c r="Y141">
        <v>1.6433069546036099E-5</v>
      </c>
      <c r="Z141">
        <v>2.38995755439258E-13</v>
      </c>
      <c r="AA141">
        <v>7.3626483073874498E-4</v>
      </c>
      <c r="AB141">
        <v>3.2517136798030201E-4</v>
      </c>
      <c r="AC141">
        <v>7.5870275017795002E-4</v>
      </c>
      <c r="AD141">
        <v>1.0225397224980499E-3</v>
      </c>
      <c r="AE141">
        <v>2.7500858680716198E-4</v>
      </c>
      <c r="AF141">
        <f t="shared" si="2"/>
        <v>3.9831567637805584E-2</v>
      </c>
    </row>
    <row r="142" spans="1:32" x14ac:dyDescent="0.3">
      <c r="A142" t="str">
        <v>Sous-ensemble</v>
      </c>
      <c r="B142" t="str">
        <v>Ens. Structure fixe</v>
      </c>
      <c r="C142" t="str">
        <v>35NC6</v>
      </c>
      <c r="D142">
        <v>1.9800000000000001E-6</v>
      </c>
      <c r="E142">
        <v>7.1099999999999997E-6</v>
      </c>
      <c r="F142">
        <v>-1.75E-9</v>
      </c>
      <c r="G142">
        <v>7.1099999999999997E-6</v>
      </c>
      <c r="H142">
        <v>4.78E-10</v>
      </c>
      <c r="I142">
        <v>1.2699999999999999E-6</v>
      </c>
      <c r="J142">
        <v>7.7400000000000002E-7</v>
      </c>
      <c r="K142">
        <v>4.8699999999999995E-7</v>
      </c>
      <c r="L142">
        <v>7.6299999999999995E-9</v>
      </c>
      <c r="M142">
        <v>9.2599999999999999E-9</v>
      </c>
      <c r="N142">
        <v>1.13E-6</v>
      </c>
      <c r="O142">
        <v>1.2699999999999999E-6</v>
      </c>
      <c r="P142">
        <v>1.6199999999999999E-6</v>
      </c>
      <c r="Q142">
        <v>1.44E-16</v>
      </c>
      <c r="R142">
        <v>3.51516149495186E-9</v>
      </c>
      <c r="S142">
        <v>1.61149784047383E-6</v>
      </c>
      <c r="T142">
        <v>2.9767794966727298E-6</v>
      </c>
      <c r="U142">
        <v>3.3334730626167698E-6</v>
      </c>
      <c r="V142">
        <v>-3.5937711558762201E-7</v>
      </c>
      <c r="W142">
        <v>2.8888417022371699E-8</v>
      </c>
      <c r="X142">
        <v>2.08534882722587E-7</v>
      </c>
      <c r="Y142">
        <v>-1.08573346027961E-9</v>
      </c>
      <c r="Z142">
        <v>2.4912473440808399E-15</v>
      </c>
      <c r="AA142">
        <v>3.2410810148860601E-6</v>
      </c>
      <c r="AB142">
        <v>2.2783021679303901E-6</v>
      </c>
      <c r="AC142">
        <v>9.0515810154293196E-6</v>
      </c>
      <c r="AD142">
        <v>1.9493256604551701E-6</v>
      </c>
      <c r="AE142">
        <v>1.18455611766746E-5</v>
      </c>
      <c r="AF142">
        <f t="shared" si="2"/>
        <v>5.8934695049966138E-5</v>
      </c>
    </row>
    <row r="143" spans="1:32" x14ac:dyDescent="0.3">
      <c r="A143" t="str">
        <v>Sous-ensemble</v>
      </c>
      <c r="B143" t="str">
        <v>Ens. Structure fixe</v>
      </c>
      <c r="C143" t="str">
        <v>acier</v>
      </c>
      <c r="D143">
        <v>2.02E-4</v>
      </c>
      <c r="E143">
        <v>5.2499999999999997E-4</v>
      </c>
      <c r="F143">
        <v>2.1400000000000001E-7</v>
      </c>
      <c r="G143">
        <v>5.2400000000000005E-4</v>
      </c>
      <c r="H143">
        <v>1.49E-7</v>
      </c>
      <c r="I143">
        <v>1.6899999999999999E-4</v>
      </c>
      <c r="J143">
        <v>1.2400000000000001E-4</v>
      </c>
      <c r="K143">
        <v>4.3999999999999999E-5</v>
      </c>
      <c r="L143">
        <v>8.6600000000000005E-7</v>
      </c>
      <c r="M143">
        <v>1.0899999999999999E-6</v>
      </c>
      <c r="N143">
        <v>1.3200000000000001E-4</v>
      </c>
      <c r="O143">
        <v>1.5300000000000001E-4</v>
      </c>
      <c r="P143">
        <v>2.1699999999999999E-5</v>
      </c>
      <c r="Q143">
        <v>1.66E-14</v>
      </c>
      <c r="R143">
        <v>7.7412255462150894E-6</v>
      </c>
      <c r="S143">
        <v>1.39194314636539E-5</v>
      </c>
      <c r="T143">
        <v>1.97850390834612E-4</v>
      </c>
      <c r="U143">
        <v>1.60645552237355E-4</v>
      </c>
      <c r="V143">
        <v>3.7090681155552297E-5</v>
      </c>
      <c r="W143">
        <v>2.0407878172742301E-6</v>
      </c>
      <c r="X143">
        <v>3.3366249578026898E-5</v>
      </c>
      <c r="Y143">
        <v>2.7901584464312501E-6</v>
      </c>
      <c r="Z143">
        <v>6.6494457525105301E-14</v>
      </c>
      <c r="AA143">
        <v>2.30399581145688E-4</v>
      </c>
      <c r="AB143">
        <v>2.1195180748153801E-4</v>
      </c>
      <c r="AC143">
        <v>7.1687539925336101E-4</v>
      </c>
      <c r="AD143">
        <v>2.25882160291067E-5</v>
      </c>
      <c r="AE143">
        <v>1.2527769380629399E-4</v>
      </c>
      <c r="AF143">
        <f t="shared" si="2"/>
        <v>3.6595561748782022E-3</v>
      </c>
    </row>
    <row r="144" spans="1:32" x14ac:dyDescent="0.3">
      <c r="A144" t="str">
        <v>Sous-ensemble</v>
      </c>
      <c r="B144" t="str">
        <v>Ens. Structure fixe</v>
      </c>
      <c r="C144" t="str">
        <v>Alu</v>
      </c>
      <c r="D144">
        <v>3.3700000000000002E-3</v>
      </c>
      <c r="E144">
        <v>5.0299999999999997E-3</v>
      </c>
      <c r="F144">
        <v>6.3899999999999998E-6</v>
      </c>
      <c r="G144">
        <v>4.8999999999999998E-3</v>
      </c>
      <c r="H144">
        <v>2.3300000000000001E-6</v>
      </c>
      <c r="I144">
        <v>4.2399999999999998E-3</v>
      </c>
      <c r="J144">
        <v>2.6900000000000001E-3</v>
      </c>
      <c r="K144">
        <v>1.17E-3</v>
      </c>
      <c r="L144">
        <v>1.2300000000000001E-4</v>
      </c>
      <c r="M144">
        <v>5.5999999999999999E-5</v>
      </c>
      <c r="N144">
        <v>1.42E-3</v>
      </c>
      <c r="O144">
        <v>1.7099999999999999E-3</v>
      </c>
      <c r="P144">
        <v>1.14E-3</v>
      </c>
      <c r="Q144">
        <v>6.7199999999999996E-13</v>
      </c>
      <c r="R144">
        <v>2.7299818564243398E-4</v>
      </c>
      <c r="S144">
        <v>8.4083542800142896E-4</v>
      </c>
      <c r="T144">
        <v>2.00031413564074E-3</v>
      </c>
      <c r="U144">
        <v>2.7151505830311798E-4</v>
      </c>
      <c r="V144">
        <v>1.67583759042525E-3</v>
      </c>
      <c r="W144">
        <v>1.8377762212611499E-5</v>
      </c>
      <c r="X144">
        <v>1.53548095460157E-3</v>
      </c>
      <c r="Y144">
        <v>8.4119563454764101E-5</v>
      </c>
      <c r="Z144">
        <v>3.9258935597695396E-6</v>
      </c>
      <c r="AA144">
        <v>3.2894063396446899E-3</v>
      </c>
      <c r="AB144">
        <v>2.1121036479499898E-3</v>
      </c>
      <c r="AC144">
        <v>8.3398271240908706E-3</v>
      </c>
      <c r="AD144">
        <v>1.0220320732116799E-2</v>
      </c>
      <c r="AE144">
        <v>8.9286084778988895E-4</v>
      </c>
      <c r="AF144">
        <f t="shared" si="2"/>
        <v>5.7415643264105934E-2</v>
      </c>
    </row>
    <row r="145" spans="1:32" x14ac:dyDescent="0.3">
      <c r="A145" t="str">
        <v>Sous-ensemble</v>
      </c>
      <c r="B145" t="str">
        <v>Ens. Structure fixe</v>
      </c>
      <c r="C145" t="str">
        <v>caoutchouc</v>
      </c>
      <c r="D145">
        <v>3.0400000000000001E-6</v>
      </c>
      <c r="E145">
        <v>6.1999999999999999E-6</v>
      </c>
      <c r="F145">
        <v>4.8499999999999998E-8</v>
      </c>
      <c r="G145">
        <v>6.1399999999999997E-6</v>
      </c>
      <c r="H145">
        <v>8.09E-9</v>
      </c>
      <c r="I145">
        <v>1.49E-5</v>
      </c>
      <c r="J145">
        <v>1.2999999999999999E-5</v>
      </c>
      <c r="K145">
        <v>1.77E-6</v>
      </c>
      <c r="L145">
        <v>7.1499999999999998E-8</v>
      </c>
      <c r="M145">
        <v>8.6700000000000002E-8</v>
      </c>
      <c r="N145">
        <v>1.1400000000000001E-6</v>
      </c>
      <c r="O145">
        <v>1.3599999999999999E-6</v>
      </c>
      <c r="P145">
        <v>8.9100000000000002E-7</v>
      </c>
      <c r="Q145">
        <v>7.2700000000000003E-17</v>
      </c>
      <c r="R145">
        <v>6.3931901446938903E-7</v>
      </c>
      <c r="S145">
        <v>2.5142659679442999E-7</v>
      </c>
      <c r="T145">
        <v>5.5363589002333801E-6</v>
      </c>
      <c r="U145">
        <v>2.7420429086327501E-6</v>
      </c>
      <c r="V145">
        <v>2.7879793203223398E-6</v>
      </c>
      <c r="W145">
        <v>2.5897842004124899E-8</v>
      </c>
      <c r="X145">
        <v>5.44868867618443E-7</v>
      </c>
      <c r="Y145">
        <v>1.9342222427363401E-7</v>
      </c>
      <c r="Z145">
        <v>8.9321508224769694E-14</v>
      </c>
      <c r="AA145">
        <v>1.47979872620111E-5</v>
      </c>
      <c r="AB145">
        <v>1.8340492434422401E-6</v>
      </c>
      <c r="AC145">
        <v>1.5662311380480201E-5</v>
      </c>
      <c r="AD145">
        <v>2.15377099514927E-3</v>
      </c>
      <c r="AE145">
        <v>9.0339420120442196E-8</v>
      </c>
      <c r="AF145">
        <f t="shared" si="2"/>
        <v>2.2475327882190668E-3</v>
      </c>
    </row>
    <row r="146" spans="1:32" x14ac:dyDescent="0.3">
      <c r="A146" t="str">
        <v>Sous-ensemble</v>
      </c>
      <c r="B146" t="str">
        <v>Ens. Structure fixe</v>
      </c>
      <c r="C146" t="str">
        <v>inox</v>
      </c>
      <c r="D146">
        <v>1.3900000000000001E-5</v>
      </c>
      <c r="E146">
        <v>1.45E-5</v>
      </c>
      <c r="F146">
        <v>1.2299999999999999E-8</v>
      </c>
      <c r="G146">
        <v>1.45E-5</v>
      </c>
      <c r="H146">
        <v>2.77E-8</v>
      </c>
      <c r="I146">
        <v>1.7E-5</v>
      </c>
      <c r="J146">
        <v>1.15E-5</v>
      </c>
      <c r="K146">
        <v>5.4199999999999998E-6</v>
      </c>
      <c r="L146">
        <v>6.2400000000000003E-8</v>
      </c>
      <c r="M146">
        <v>9.6999999999999995E-8</v>
      </c>
      <c r="N146">
        <v>6.8700000000000003E-6</v>
      </c>
      <c r="O146">
        <v>8.2400000000000007E-6</v>
      </c>
      <c r="P146">
        <v>5.1599999999999997E-4</v>
      </c>
      <c r="Q146">
        <v>1.8700000000000001E-16</v>
      </c>
      <c r="R146">
        <v>8.4510979920416992E-6</v>
      </c>
      <c r="S146">
        <v>5.0710856781593504E-4</v>
      </c>
      <c r="T146">
        <v>8.2457280821117394E-6</v>
      </c>
      <c r="U146">
        <v>2.4028228998404598E-6</v>
      </c>
      <c r="V146">
        <v>5.83902416910834E-6</v>
      </c>
      <c r="W146">
        <v>5.5292875552368503E-8</v>
      </c>
      <c r="X146">
        <v>1.70961384884844E-6</v>
      </c>
      <c r="Y146">
        <v>4.7221221876835101E-7</v>
      </c>
      <c r="Z146">
        <v>7.6364880301239907E-15</v>
      </c>
      <c r="AA146">
        <v>2.2485301880310601E-5</v>
      </c>
      <c r="AB146">
        <v>9.8784363543236095E-6</v>
      </c>
      <c r="AC146">
        <v>2.3479174239092901E-5</v>
      </c>
      <c r="AD146">
        <v>3.1839551315961197E-5</v>
      </c>
      <c r="AE146">
        <v>8.5488690823342408E-6</v>
      </c>
      <c r="AF146">
        <f t="shared" si="2"/>
        <v>1.2386450927820527E-3</v>
      </c>
    </row>
    <row r="147" spans="1:32" x14ac:dyDescent="0.3">
      <c r="A147" t="str">
        <v>Sous-ensemble</v>
      </c>
      <c r="B147" t="str">
        <v>Ens. Structure fixe</v>
      </c>
      <c r="C147" t="str">
        <v>nylon</v>
      </c>
      <c r="D147">
        <v>8.16176545952175E-6</v>
      </c>
      <c r="E147">
        <v>2.3374249840604199E-5</v>
      </c>
      <c r="F147">
        <v>3.1019944944684101E-9</v>
      </c>
      <c r="G147">
        <v>2.3370504029027599E-5</v>
      </c>
      <c r="H147">
        <v>6.4381708205670495E-10</v>
      </c>
      <c r="I147">
        <v>4.60492812512753E-4</v>
      </c>
      <c r="J147">
        <v>8.7380596201970799E-6</v>
      </c>
      <c r="K147">
        <v>1.6930868985672501E-4</v>
      </c>
      <c r="L147">
        <v>2.82446063035831E-4</v>
      </c>
      <c r="M147">
        <v>4.14189716314952E-6</v>
      </c>
      <c r="N147">
        <v>7.09038740239021E-6</v>
      </c>
      <c r="O147">
        <v>6.8384273505066298E-6</v>
      </c>
      <c r="P147">
        <v>1.59804613357001E-5</v>
      </c>
      <c r="Q147">
        <v>3.2410483363986499E-12</v>
      </c>
      <c r="R147">
        <v>1.5439356962120801E-5</v>
      </c>
      <c r="S147">
        <v>5.4110113253091101E-7</v>
      </c>
      <c r="T147">
        <v>1.18233903978969E-4</v>
      </c>
      <c r="U147">
        <v>1.0485966449847001E-6</v>
      </c>
      <c r="V147">
        <v>1.13997342412556E-4</v>
      </c>
      <c r="W147">
        <v>3.3076099401217499E-6</v>
      </c>
      <c r="X147">
        <v>1.17085862188627E-5</v>
      </c>
      <c r="Y147">
        <v>2.8655731123788901E-8</v>
      </c>
      <c r="Z147">
        <v>1.4537039730664701E-13</v>
      </c>
      <c r="AA147">
        <v>5.8389451951131897E-6</v>
      </c>
      <c r="AB147">
        <v>9.5393845182290602E-6</v>
      </c>
      <c r="AC147">
        <v>5.3977202454393299E-5</v>
      </c>
      <c r="AD147">
        <v>1.46306715120598E-6</v>
      </c>
      <c r="AE147">
        <v>1.19369827830126E-4</v>
      </c>
      <c r="AF147">
        <f t="shared" si="2"/>
        <v>1.464440646974739E-3</v>
      </c>
    </row>
    <row r="148" spans="1:32" x14ac:dyDescent="0.3">
      <c r="A148" t="str">
        <v>Sous-ensemble</v>
      </c>
      <c r="B148" t="str">
        <v>Ens. Structure fixe</v>
      </c>
      <c r="C148" t="str">
        <v>packaging</v>
      </c>
      <c r="D148">
        <v>7.1406086080513703E-5</v>
      </c>
      <c r="E148">
        <v>1.3857307499343501E-4</v>
      </c>
      <c r="F148">
        <v>1.10813433096129E-4</v>
      </c>
      <c r="G148">
        <v>-1.7223922622273201E-4</v>
      </c>
      <c r="H148">
        <v>-4.6451710285509702E-7</v>
      </c>
      <c r="I148">
        <v>2.2202330987211301E-4</v>
      </c>
      <c r="J148">
        <v>-1.14901552697654E-4</v>
      </c>
      <c r="K148">
        <v>-1.6359078238067999E-4</v>
      </c>
      <c r="L148">
        <v>-9.3814300102723602E-7</v>
      </c>
      <c r="M148">
        <v>3.9739419824184701E-4</v>
      </c>
      <c r="N148">
        <v>1.55718711190818E-5</v>
      </c>
      <c r="O148">
        <v>2.2794546009678099E-5</v>
      </c>
      <c r="P148">
        <v>1.00032330217767E-4</v>
      </c>
      <c r="Q148">
        <v>-1.3083411343594E-13</v>
      </c>
      <c r="R148">
        <v>-1.09629087835246E-5</v>
      </c>
      <c r="S148">
        <v>-1.84213492566314E-5</v>
      </c>
      <c r="T148">
        <v>1.7404050955557199E-5</v>
      </c>
      <c r="U148">
        <v>-4.3330529470120803E-5</v>
      </c>
      <c r="V148">
        <v>-7.3135910948876997E-5</v>
      </c>
      <c r="W148">
        <v>4.9277209899833503E-6</v>
      </c>
      <c r="X148">
        <v>-1.6360461635805799E-4</v>
      </c>
      <c r="Y148">
        <v>-1.5111486904825599E-3</v>
      </c>
      <c r="Z148">
        <v>2.54740265261405E-6</v>
      </c>
      <c r="AA148">
        <v>1.5308160616481399E-4</v>
      </c>
      <c r="AB148">
        <v>1.3454529139118201E-4</v>
      </c>
      <c r="AC148">
        <v>-6.2184724251055097E-5</v>
      </c>
      <c r="AD148">
        <v>5.1412073517199898E-5</v>
      </c>
      <c r="AE148">
        <v>2.09716506311599E-2</v>
      </c>
      <c r="AF148">
        <f t="shared" si="2"/>
        <v>2.0079254675375205E-2</v>
      </c>
    </row>
    <row r="149" spans="1:32" x14ac:dyDescent="0.3">
      <c r="A149" t="str">
        <v>Sous-ensemble</v>
      </c>
      <c r="B149" t="str">
        <v>Ens. Structure fixe</v>
      </c>
      <c r="C149" t="str">
        <v>Transport</v>
      </c>
      <c r="D149">
        <v>2.77316464364381E-5</v>
      </c>
      <c r="E149">
        <v>3.1842183767761998E-5</v>
      </c>
      <c r="F149">
        <v>9.5215069298613705E-8</v>
      </c>
      <c r="G149">
        <v>3.1487129838880802E-5</v>
      </c>
      <c r="H149">
        <v>2.5983885958265598E-7</v>
      </c>
      <c r="I149">
        <v>5.9595306898569201E-5</v>
      </c>
      <c r="J149">
        <v>5.7698402528749498E-5</v>
      </c>
      <c r="K149">
        <v>1.18603461160425E-6</v>
      </c>
      <c r="L149">
        <v>7.1086975821545504E-7</v>
      </c>
      <c r="M149">
        <v>4.75812140221949E-7</v>
      </c>
      <c r="N149">
        <v>3.8527441321940498E-5</v>
      </c>
      <c r="O149">
        <v>4.7147648634198599E-5</v>
      </c>
      <c r="P149">
        <v>3.0453813018173998E-6</v>
      </c>
      <c r="Q149">
        <v>7.9054776762215595E-17</v>
      </c>
      <c r="R149">
        <v>2.9650436200627501E-6</v>
      </c>
      <c r="S149">
        <v>8.0337681675590007E-8</v>
      </c>
      <c r="T149">
        <v>1.24325452932612E-5</v>
      </c>
      <c r="U149">
        <v>2.7967034380876E-6</v>
      </c>
      <c r="V149">
        <v>9.6157495390043007E-6</v>
      </c>
      <c r="W149">
        <v>8.7379126680760603E-8</v>
      </c>
      <c r="X149">
        <v>2.1625791524237701E-7</v>
      </c>
      <c r="Y149">
        <v>1.4376762742796301E-6</v>
      </c>
      <c r="Z149">
        <v>9.4706751227310495E-16</v>
      </c>
      <c r="AA149">
        <v>9.6086473877970706E-6</v>
      </c>
      <c r="AB149">
        <v>3.5788674411190898E-5</v>
      </c>
      <c r="AC149">
        <v>5.2732318244329099E-5</v>
      </c>
      <c r="AD149">
        <v>3.5995767776032901E-7</v>
      </c>
      <c r="AE149">
        <v>2.0823095485508799E-7</v>
      </c>
      <c r="AF149">
        <f t="shared" si="2"/>
        <v>4.2813243273253184E-4</v>
      </c>
    </row>
    <row r="150" spans="1:32" x14ac:dyDescent="0.3">
      <c r="A150" t="str">
        <v>Sous-ensemble</v>
      </c>
      <c r="B150" t="str">
        <v>Ens. Tablette cocktail</v>
      </c>
      <c r="C150" t="str">
        <v>A2017</v>
      </c>
      <c r="D150">
        <v>1.3599999999999999E-2</v>
      </c>
      <c r="E150">
        <v>0.02</v>
      </c>
      <c r="F150">
        <v>2.5700000000000001E-5</v>
      </c>
      <c r="G150">
        <v>1.9599999999999999E-2</v>
      </c>
      <c r="H150">
        <v>9.3899999999999999E-6</v>
      </c>
      <c r="I150">
        <v>1.6799999999999999E-2</v>
      </c>
      <c r="J150">
        <v>1.09E-2</v>
      </c>
      <c r="K150">
        <v>4.6299999999999996E-3</v>
      </c>
      <c r="L150">
        <v>5.04E-4</v>
      </c>
      <c r="M150">
        <v>1.73E-4</v>
      </c>
      <c r="N150">
        <v>5.6100000000000004E-3</v>
      </c>
      <c r="O150">
        <v>6.7499999999999999E-3</v>
      </c>
      <c r="P150">
        <v>4.6499999999999996E-3</v>
      </c>
      <c r="Q150">
        <v>2.6799999999999999E-12</v>
      </c>
      <c r="R150">
        <v>1.11931409377057E-3</v>
      </c>
      <c r="S150">
        <v>3.4428660120091798E-3</v>
      </c>
      <c r="T150">
        <v>8.1172106069365407E-3</v>
      </c>
      <c r="U150">
        <v>1.08228358286595E-3</v>
      </c>
      <c r="V150">
        <v>6.8800605651928703E-3</v>
      </c>
      <c r="W150">
        <v>7.3111828889360495E-5</v>
      </c>
      <c r="X150">
        <v>6.0346766411061197E-3</v>
      </c>
      <c r="Y150">
        <v>3.2270698753541501E-4</v>
      </c>
      <c r="Z150">
        <v>1.11412695547128E-5</v>
      </c>
      <c r="AA150">
        <v>1.3295049389277599E-2</v>
      </c>
      <c r="AB150">
        <v>8.3379433554405698E-3</v>
      </c>
      <c r="AC150">
        <v>3.2872719149653701E-2</v>
      </c>
      <c r="AD150">
        <v>4.2004012334918198E-2</v>
      </c>
      <c r="AE150">
        <v>3.1550792157430999E-3</v>
      </c>
      <c r="AF150">
        <f t="shared" si="2"/>
        <v>0.23000026503557391</v>
      </c>
    </row>
    <row r="151" spans="1:32" x14ac:dyDescent="0.3">
      <c r="A151" t="str">
        <v>Sous-ensemble</v>
      </c>
      <c r="B151" t="str">
        <v>Ens. Tablette cocktail</v>
      </c>
      <c r="C151" t="str">
        <v>A2024</v>
      </c>
      <c r="D151">
        <v>2.6200000000000003E-4</v>
      </c>
      <c r="E151">
        <v>4.3100000000000001E-4</v>
      </c>
      <c r="F151">
        <v>1.2700000000000001E-7</v>
      </c>
      <c r="G151">
        <v>9.6100000000000005E-5</v>
      </c>
      <c r="H151">
        <v>4.7099999999999998E-8</v>
      </c>
      <c r="I151">
        <v>8.25E-4</v>
      </c>
      <c r="J151">
        <v>5.5899999999999997E-5</v>
      </c>
      <c r="K151">
        <v>2.19E-5</v>
      </c>
      <c r="L151">
        <v>2.6800000000000002E-6</v>
      </c>
      <c r="M151">
        <v>1.2300000000000001E-4</v>
      </c>
      <c r="N151">
        <v>1.94E-4</v>
      </c>
      <c r="O151">
        <v>2.34E-4</v>
      </c>
      <c r="P151">
        <v>1.08E-4</v>
      </c>
      <c r="Q151">
        <v>1.3E-14</v>
      </c>
      <c r="R151">
        <v>5.90787113408592E-6</v>
      </c>
      <c r="S151">
        <v>1.8096395621941E-5</v>
      </c>
      <c r="T151">
        <v>1.8151185588719199E-4</v>
      </c>
      <c r="U151">
        <v>5.2075502215266398E-6</v>
      </c>
      <c r="V151">
        <v>3.64604872807617E-5</v>
      </c>
      <c r="W151">
        <v>3.4937783083029498E-7</v>
      </c>
      <c r="X151">
        <v>7.81746057126714E-5</v>
      </c>
      <c r="Y151">
        <v>3.5468338715031398E-5</v>
      </c>
      <c r="Z151">
        <v>1.1139539215097601E-5</v>
      </c>
      <c r="AA151">
        <v>3.8034323021243001E-4</v>
      </c>
      <c r="AB151">
        <v>3.0913203388644101E-4</v>
      </c>
      <c r="AC151">
        <v>7.7371174786286696E-4</v>
      </c>
      <c r="AD151">
        <v>3.9469036316895899E-4</v>
      </c>
      <c r="AE151">
        <v>1.1471974639086101E-3</v>
      </c>
      <c r="AF151">
        <f t="shared" si="2"/>
        <v>5.7311449606714448E-3</v>
      </c>
    </row>
    <row r="152" spans="1:32" x14ac:dyDescent="0.3">
      <c r="A152" t="str">
        <v>Sous-ensemble</v>
      </c>
      <c r="B152" t="str">
        <v>Ens. Tablette cocktail</v>
      </c>
      <c r="C152" t="str">
        <v>acier</v>
      </c>
      <c r="D152">
        <v>1.6000000000000001E-4</v>
      </c>
      <c r="E152">
        <v>4.15E-4</v>
      </c>
      <c r="F152">
        <v>1.6899999999999999E-7</v>
      </c>
      <c r="G152">
        <v>4.15E-4</v>
      </c>
      <c r="H152">
        <v>1.18E-7</v>
      </c>
      <c r="I152">
        <v>1.34E-4</v>
      </c>
      <c r="J152">
        <v>9.8300000000000004E-5</v>
      </c>
      <c r="K152">
        <v>3.4799999999999999E-5</v>
      </c>
      <c r="L152">
        <v>6.8500000000000001E-7</v>
      </c>
      <c r="M152">
        <v>8.6199999999999996E-7</v>
      </c>
      <c r="N152">
        <v>1.0399999999999999E-4</v>
      </c>
      <c r="O152">
        <v>1.21E-4</v>
      </c>
      <c r="P152">
        <v>1.7099999999999999E-5</v>
      </c>
      <c r="Q152">
        <v>1.3100000000000001E-14</v>
      </c>
      <c r="R152">
        <v>6.1220998135979903E-6</v>
      </c>
      <c r="S152">
        <v>1.10080953280957E-5</v>
      </c>
      <c r="T152">
        <v>1.56468744337398E-4</v>
      </c>
      <c r="U152">
        <v>1.2704553039260199E-4</v>
      </c>
      <c r="V152">
        <v>2.9332933245905901E-5</v>
      </c>
      <c r="W152">
        <v>1.6139442832583799E-6</v>
      </c>
      <c r="X152">
        <v>2.6387489823491399E-5</v>
      </c>
      <c r="Y152">
        <v>2.2065793591503602E-6</v>
      </c>
      <c r="Z152">
        <v>5.2586725911736501E-14</v>
      </c>
      <c r="AA152">
        <v>1.8221006794908801E-4</v>
      </c>
      <c r="AB152">
        <v>1.67620761509644E-4</v>
      </c>
      <c r="AC152">
        <v>5.6693642653103996E-4</v>
      </c>
      <c r="AD152">
        <v>1.78637493915828E-5</v>
      </c>
      <c r="AE152">
        <v>9.9075080724716905E-5</v>
      </c>
      <c r="AF152">
        <f t="shared" si="2"/>
        <v>2.8949255027552571E-3</v>
      </c>
    </row>
    <row r="153" spans="1:32" x14ac:dyDescent="0.3">
      <c r="A153" t="str">
        <v>Sous-ensemble</v>
      </c>
      <c r="B153" t="str">
        <v>Ens. Tablette cocktail</v>
      </c>
      <c r="C153" t="str">
        <v>inox</v>
      </c>
      <c r="D153">
        <v>6.1600000000000003E-6</v>
      </c>
      <c r="E153">
        <v>6.4699999999999999E-6</v>
      </c>
      <c r="F153">
        <v>5.4599999999999998E-9</v>
      </c>
      <c r="G153">
        <v>6.4500000000000001E-6</v>
      </c>
      <c r="H153">
        <v>1.2299999999999999E-8</v>
      </c>
      <c r="I153">
        <v>7.5599999999999996E-6</v>
      </c>
      <c r="J153">
        <v>5.13E-6</v>
      </c>
      <c r="K153">
        <v>2.4099999999999998E-6</v>
      </c>
      <c r="L153">
        <v>2.77E-8</v>
      </c>
      <c r="M153">
        <v>4.3100000000000002E-8</v>
      </c>
      <c r="N153">
        <v>3.05E-6</v>
      </c>
      <c r="O153">
        <v>3.6600000000000001E-6</v>
      </c>
      <c r="P153">
        <v>2.2900000000000001E-4</v>
      </c>
      <c r="Q153">
        <v>8.3300000000000005E-17</v>
      </c>
      <c r="R153">
        <v>3.7560435520185298E-6</v>
      </c>
      <c r="S153">
        <v>2.25381585695971E-4</v>
      </c>
      <c r="T153">
        <v>3.66476803649411E-6</v>
      </c>
      <c r="U153">
        <v>1.06792128881798E-6</v>
      </c>
      <c r="V153">
        <v>2.5951218529370399E-6</v>
      </c>
      <c r="W153">
        <v>2.4574611356608201E-8</v>
      </c>
      <c r="X153">
        <v>7.5982837726597198E-7</v>
      </c>
      <c r="Y153">
        <v>2.0987209723037901E-7</v>
      </c>
      <c r="Z153">
        <v>3.3939946800551099E-15</v>
      </c>
      <c r="AA153">
        <v>9.9934675023602602E-6</v>
      </c>
      <c r="AB153">
        <v>4.3904161574771603E-6</v>
      </c>
      <c r="AC153">
        <v>1.0435188550708E-5</v>
      </c>
      <c r="AD153">
        <v>1.4150911695982801E-5</v>
      </c>
      <c r="AE153">
        <v>3.7994973699261601E-6</v>
      </c>
      <c r="AF153">
        <f t="shared" si="2"/>
        <v>5.502077567920234E-4</v>
      </c>
    </row>
    <row r="154" spans="1:32" x14ac:dyDescent="0.3">
      <c r="A154" t="str">
        <v>Sous-ensemble</v>
      </c>
      <c r="B154" t="str">
        <v>Ens. Tablette cocktail</v>
      </c>
      <c r="C154" t="str">
        <v>kydex</v>
      </c>
      <c r="D154">
        <v>5.13E-5</v>
      </c>
      <c r="E154">
        <v>1.3300000000000001E-4</v>
      </c>
      <c r="F154">
        <v>8.6700000000000002E-7</v>
      </c>
      <c r="G154">
        <v>1.18E-4</v>
      </c>
      <c r="H154">
        <v>2.69E-9</v>
      </c>
      <c r="I154">
        <v>3.01E-4</v>
      </c>
      <c r="J154">
        <v>2.42E-4</v>
      </c>
      <c r="K154">
        <v>6.2099999999999998E-6</v>
      </c>
      <c r="L154">
        <v>2.57E-6</v>
      </c>
      <c r="M154">
        <v>3.29E-5</v>
      </c>
      <c r="N154">
        <v>3.4499999999999998E-5</v>
      </c>
      <c r="O154">
        <v>3.82E-5</v>
      </c>
      <c r="P154">
        <v>2.4199999999999999E-5</v>
      </c>
      <c r="Q154">
        <v>0</v>
      </c>
      <c r="R154">
        <v>1.3095130011511799E-5</v>
      </c>
      <c r="S154">
        <v>5.8931250528762499E-6</v>
      </c>
      <c r="T154">
        <v>8.9340389086877106E-5</v>
      </c>
      <c r="U154">
        <v>1.11884345968003E-5</v>
      </c>
      <c r="V154">
        <v>7.3783950591074099E-5</v>
      </c>
      <c r="W154">
        <v>7.20972613135572E-7</v>
      </c>
      <c r="X154">
        <v>9.3841890767953795E-5</v>
      </c>
      <c r="Y154">
        <v>2.09467960774613E-6</v>
      </c>
      <c r="Z154">
        <v>2.4540040385470801E-7</v>
      </c>
      <c r="AA154">
        <v>4.0972535850147599E-5</v>
      </c>
      <c r="AB154">
        <v>6.13842675134209E-5</v>
      </c>
      <c r="AC154">
        <v>5.0488605157597295E-4</v>
      </c>
      <c r="AD154">
        <v>1.10059236074414E-5</v>
      </c>
      <c r="AE154">
        <v>1.34851341513076E-4</v>
      </c>
      <c r="AF154">
        <f t="shared" si="2"/>
        <v>2.0280537827918887E-3</v>
      </c>
    </row>
    <row r="155" spans="1:32" x14ac:dyDescent="0.3">
      <c r="A155" t="str">
        <v>Sous-ensemble</v>
      </c>
      <c r="B155" t="str">
        <v>Ens. Tablette cocktail</v>
      </c>
      <c r="C155" t="str">
        <v>nylon</v>
      </c>
      <c r="D155">
        <v>8.0000000000000007E-5</v>
      </c>
      <c r="E155">
        <v>2.2900000000000001E-4</v>
      </c>
      <c r="F155">
        <v>3.0400000000000001E-8</v>
      </c>
      <c r="G155">
        <v>2.2900000000000001E-4</v>
      </c>
      <c r="H155">
        <v>6.3099999999999999E-9</v>
      </c>
      <c r="I155">
        <v>4.5100000000000001E-3</v>
      </c>
      <c r="J155">
        <v>8.5599999999999994E-5</v>
      </c>
      <c r="K155">
        <v>1.66E-3</v>
      </c>
      <c r="L155">
        <v>2.7699999999999999E-3</v>
      </c>
      <c r="M155">
        <v>4.0599999999999998E-5</v>
      </c>
      <c r="N155">
        <v>6.9499999999999995E-5</v>
      </c>
      <c r="O155">
        <v>6.7000000000000002E-5</v>
      </c>
      <c r="P155">
        <v>1.5699999999999999E-4</v>
      </c>
      <c r="Q155">
        <v>3.1800000000000003E-11</v>
      </c>
      <c r="R155">
        <v>1.5126612793701799E-4</v>
      </c>
      <c r="S155">
        <v>5.3014042839412799E-6</v>
      </c>
      <c r="T155">
        <v>1.1583892314721801E-3</v>
      </c>
      <c r="U155">
        <v>1.0273559620632999E-5</v>
      </c>
      <c r="V155">
        <v>1.1168817862145599E-3</v>
      </c>
      <c r="W155">
        <v>3.2406100176045201E-5</v>
      </c>
      <c r="X155">
        <v>1.1471413642999299E-4</v>
      </c>
      <c r="Y155">
        <v>2.8075272182218798E-7</v>
      </c>
      <c r="Z155">
        <v>1.4242573166221901E-12</v>
      </c>
      <c r="AA155">
        <v>5.7206697990607303E-5</v>
      </c>
      <c r="AB155">
        <v>9.3461519318135294E-5</v>
      </c>
      <c r="AC155">
        <v>5.2883824321055099E-4</v>
      </c>
      <c r="AD155">
        <v>1.43343083146366E-5</v>
      </c>
      <c r="AE155">
        <v>1.1695183738980801E-3</v>
      </c>
      <c r="AF155">
        <f t="shared" si="2"/>
        <v>1.4350608984812456E-2</v>
      </c>
    </row>
    <row r="156" spans="1:32" x14ac:dyDescent="0.3">
      <c r="A156" t="str">
        <v>Sous-ensemble</v>
      </c>
      <c r="B156" t="str">
        <v>Ens. Tablette cocktail</v>
      </c>
      <c r="C156" t="str">
        <v>packaging</v>
      </c>
      <c r="D156">
        <v>1.4100421593195701E-6</v>
      </c>
      <c r="E156">
        <v>2.59089358822052E-6</v>
      </c>
      <c r="F156">
        <v>1.52899250006473E-6</v>
      </c>
      <c r="G156">
        <v>1.05535053601283E-6</v>
      </c>
      <c r="H156">
        <v>6.5505521429597803E-9</v>
      </c>
      <c r="I156">
        <v>5.5046161821762102E-6</v>
      </c>
      <c r="J156">
        <v>6.3885907009881798E-6</v>
      </c>
      <c r="K156">
        <v>-9.3797815729655303E-7</v>
      </c>
      <c r="L156">
        <v>5.4003638484580603E-8</v>
      </c>
      <c r="M156">
        <v>1.8753991681123001E-7</v>
      </c>
      <c r="N156">
        <v>1.6173747144624299E-6</v>
      </c>
      <c r="O156">
        <v>1.79060759109375E-6</v>
      </c>
      <c r="P156">
        <v>4.8982162384793095E-7</v>
      </c>
      <c r="Q156">
        <v>-1.8406968523184002E-15</v>
      </c>
      <c r="R156">
        <v>3.2647670049622799E-7</v>
      </c>
      <c r="S156">
        <v>1.6334492519239901E-7</v>
      </c>
      <c r="T156">
        <v>2.4394992570194498E-6</v>
      </c>
      <c r="U156">
        <v>8.1112437435217805E-7</v>
      </c>
      <c r="V156">
        <v>1.5462293476117E-6</v>
      </c>
      <c r="W156">
        <v>8.3554440651724106E-8</v>
      </c>
      <c r="X156">
        <v>-2.9813881900257999E-6</v>
      </c>
      <c r="Y156">
        <v>2.22611902532742E-5</v>
      </c>
      <c r="Z156">
        <v>-2.8626975837918401E-17</v>
      </c>
      <c r="AA156">
        <v>1.33938985359562E-6</v>
      </c>
      <c r="AB156">
        <v>2.2788678600638601E-6</v>
      </c>
      <c r="AC156">
        <v>8.7236521841803896E-7</v>
      </c>
      <c r="AD156">
        <v>3.6129084509040397E-8</v>
      </c>
      <c r="AE156">
        <v>2.6531711169008198E-7</v>
      </c>
      <c r="AF156">
        <f t="shared" si="2"/>
        <v>5.1128505781307762E-5</v>
      </c>
    </row>
    <row r="157" spans="1:32" x14ac:dyDescent="0.3">
      <c r="A157" t="str">
        <v>Sous-ensemble</v>
      </c>
      <c r="B157" t="str">
        <v>Ens. Tablette cocktail</v>
      </c>
      <c r="C157" t="str">
        <v>tissu</v>
      </c>
      <c r="D157">
        <v>2.07898840338776E-5</v>
      </c>
      <c r="E157">
        <v>5.7795781781206699E-6</v>
      </c>
      <c r="F157">
        <v>0</v>
      </c>
      <c r="G157">
        <v>0</v>
      </c>
      <c r="H157">
        <v>0</v>
      </c>
      <c r="I157">
        <v>6.7578516724761301E-6</v>
      </c>
      <c r="J157">
        <v>0</v>
      </c>
      <c r="K157">
        <v>0</v>
      </c>
      <c r="L157">
        <v>0</v>
      </c>
      <c r="M157">
        <v>7.1737665196862602E-6</v>
      </c>
      <c r="N157">
        <v>1.1779898559059099E-5</v>
      </c>
      <c r="O157">
        <v>2.8938912800813501E-5</v>
      </c>
      <c r="P157">
        <v>3.2227093207271299E-7</v>
      </c>
      <c r="Q157">
        <v>0</v>
      </c>
      <c r="R157">
        <v>0</v>
      </c>
      <c r="S157">
        <v>0</v>
      </c>
      <c r="T157">
        <v>1.3291868075218401E-6</v>
      </c>
      <c r="U157">
        <v>0</v>
      </c>
      <c r="V157">
        <v>0</v>
      </c>
      <c r="W157">
        <v>0</v>
      </c>
      <c r="X157">
        <v>2.1060983504943299E-7</v>
      </c>
      <c r="Y157">
        <v>6.7068882329861096E-6</v>
      </c>
      <c r="Z157">
        <v>1.12446709302867E-8</v>
      </c>
      <c r="AA157">
        <v>1.3513363324198E-5</v>
      </c>
      <c r="AB157">
        <v>1.1655447585252901E-6</v>
      </c>
      <c r="AC157">
        <v>1.1811345631323501E-6</v>
      </c>
      <c r="AD157">
        <v>2.6997053562523198E-7</v>
      </c>
      <c r="AE157">
        <v>5.2395768959058201E-5</v>
      </c>
      <c r="AF157">
        <f t="shared" si="2"/>
        <v>1.5832587438313272E-4</v>
      </c>
    </row>
    <row r="158" spans="1:32" x14ac:dyDescent="0.3">
      <c r="A158" t="str">
        <v>Sous-ensemble</v>
      </c>
      <c r="B158" t="str">
        <v>Ens. Tablette cocktail</v>
      </c>
      <c r="C158" t="str">
        <v>Transport</v>
      </c>
      <c r="D158">
        <v>2.33312488725409E-5</v>
      </c>
      <c r="E158">
        <v>2.6789535047391901E-5</v>
      </c>
      <c r="F158">
        <v>8.0106548427043802E-8</v>
      </c>
      <c r="G158">
        <v>2.6490820306567199E-5</v>
      </c>
      <c r="H158">
        <v>2.1860819239763901E-7</v>
      </c>
      <c r="I158">
        <v>5.01388527389779E-5</v>
      </c>
      <c r="J158">
        <v>4.8542945044095399E-5</v>
      </c>
      <c r="K158">
        <v>9.9783720949315696E-7</v>
      </c>
      <c r="L158">
        <v>5.9807048538940002E-7</v>
      </c>
      <c r="M158">
        <v>4.0031130086484999E-7</v>
      </c>
      <c r="N158">
        <v>3.2413990419382598E-5</v>
      </c>
      <c r="O158">
        <v>3.96663619147486E-5</v>
      </c>
      <c r="P158">
        <v>2.5621467959841202E-6</v>
      </c>
      <c r="Q158">
        <v>6.6510536092040301E-17</v>
      </c>
      <c r="R158">
        <v>2.4945569234838802E-6</v>
      </c>
      <c r="S158">
        <v>6.7589872433730206E-8</v>
      </c>
      <c r="T158">
        <v>1.0459775946626799E-5</v>
      </c>
      <c r="U158">
        <v>2.3529285968025501E-6</v>
      </c>
      <c r="V158">
        <v>8.0899432388459892E-6</v>
      </c>
      <c r="W158">
        <v>7.3513996203824203E-8</v>
      </c>
      <c r="X158">
        <v>1.8194257786826201E-7</v>
      </c>
      <c r="Y158">
        <v>1.2095489184259801E-6</v>
      </c>
      <c r="Z158">
        <v>7.9678889165803503E-16</v>
      </c>
      <c r="AA158">
        <v>8.0839680416024298E-6</v>
      </c>
      <c r="AB158">
        <v>3.01098051073047E-5</v>
      </c>
      <c r="AC158">
        <v>4.4364868252751899E-5</v>
      </c>
      <c r="AD158">
        <v>3.0284037345771099E-7</v>
      </c>
      <c r="AE158">
        <v>1.75189318161329E-7</v>
      </c>
      <c r="AF158">
        <f t="shared" si="2"/>
        <v>3.6019730604109316E-4</v>
      </c>
    </row>
    <row r="159" spans="1:32" x14ac:dyDescent="0.3">
      <c r="A159" t="str">
        <v>Sous-ensemble</v>
      </c>
      <c r="B159" t="str">
        <v>Ens. Tablette repas</v>
      </c>
      <c r="C159" t="str">
        <v>A2017</v>
      </c>
      <c r="D159">
        <v>4.7983342173839403E-3</v>
      </c>
      <c r="E159">
        <v>7.4276758703553302E-3</v>
      </c>
      <c r="F159">
        <v>9.3688490653206396E-6</v>
      </c>
      <c r="G159">
        <v>7.2484486845741398E-3</v>
      </c>
      <c r="H159">
        <v>3.36696940184958E-6</v>
      </c>
      <c r="I159">
        <v>6.1295105198592801E-3</v>
      </c>
      <c r="J159">
        <v>3.82385284666748E-3</v>
      </c>
      <c r="K159">
        <v>1.76772815216907E-3</v>
      </c>
      <c r="L159">
        <v>1.6756951962083999E-4</v>
      </c>
      <c r="M159">
        <v>8.0584504583261106E-5</v>
      </c>
      <c r="N159">
        <v>2.11895114823047E-3</v>
      </c>
      <c r="O159">
        <v>2.55027178232813E-3</v>
      </c>
      <c r="P159">
        <v>1.5815659845421499E-3</v>
      </c>
      <c r="Q159">
        <v>1.00204373489612E-12</v>
      </c>
      <c r="R159">
        <v>3.7613190209195998E-4</v>
      </c>
      <c r="S159">
        <v>1.16340815055158E-3</v>
      </c>
      <c r="T159">
        <v>2.7811652341563999E-3</v>
      </c>
      <c r="U159">
        <v>4.07011410697445E-4</v>
      </c>
      <c r="V159">
        <v>2.29937060789714E-3</v>
      </c>
      <c r="W159">
        <v>2.77017146203192E-5</v>
      </c>
      <c r="X159">
        <v>2.3698374060011299E-3</v>
      </c>
      <c r="Y159">
        <v>1.2380039816932301E-4</v>
      </c>
      <c r="Z159">
        <v>5.5444610418421901E-6</v>
      </c>
      <c r="AA159">
        <v>4.5919311047232098E-3</v>
      </c>
      <c r="AB159">
        <v>3.1279815660022899E-3</v>
      </c>
      <c r="AC159">
        <v>1.26098468894047E-2</v>
      </c>
      <c r="AD159">
        <v>1.38962640436626E-2</v>
      </c>
      <c r="AE159">
        <v>1.24414560103048E-3</v>
      </c>
      <c r="AF159">
        <f t="shared" si="2"/>
        <v>8.2731369539833705E-2</v>
      </c>
    </row>
    <row r="160" spans="1:32" x14ac:dyDescent="0.3">
      <c r="A160" t="str">
        <v>Sous-ensemble</v>
      </c>
      <c r="B160" t="str">
        <v>Ens. Tablette repas</v>
      </c>
      <c r="C160" t="str">
        <v>A2024</v>
      </c>
      <c r="D160">
        <v>1.37620093710562E-3</v>
      </c>
      <c r="E160">
        <v>1.97994501823319E-3</v>
      </c>
      <c r="F160">
        <v>2.5517639878554599E-6</v>
      </c>
      <c r="G160">
        <v>1.9453837093060401E-3</v>
      </c>
      <c r="H160">
        <v>9.4177783285158604E-7</v>
      </c>
      <c r="I160">
        <v>1.67874976879762E-3</v>
      </c>
      <c r="J160">
        <v>1.1064546781905499E-3</v>
      </c>
      <c r="K160">
        <v>4.51175722511879E-4</v>
      </c>
      <c r="L160">
        <v>5.2009128599140698E-5</v>
      </c>
      <c r="M160">
        <v>1.62664138760845E-5</v>
      </c>
      <c r="N160">
        <v>5.5094908473922401E-4</v>
      </c>
      <c r="O160">
        <v>6.6291504620188599E-4</v>
      </c>
      <c r="P160">
        <v>4.7650531374228102E-4</v>
      </c>
      <c r="Q160">
        <v>2.6412438628730399E-13</v>
      </c>
      <c r="R160">
        <v>1.1517126278699101E-4</v>
      </c>
      <c r="S160">
        <v>3.5349189133726202E-4</v>
      </c>
      <c r="T160">
        <v>8.3018707089367897E-4</v>
      </c>
      <c r="U160">
        <v>1.06275331985177E-4</v>
      </c>
      <c r="V160">
        <v>7.0939833940294702E-4</v>
      </c>
      <c r="W160">
        <v>7.1549791628057101E-6</v>
      </c>
      <c r="X160">
        <v>5.8124352013382897E-4</v>
      </c>
      <c r="Y160">
        <v>3.1706001416583198E-5</v>
      </c>
      <c r="Z160">
        <v>1.0344895399382801E-6</v>
      </c>
      <c r="AA160">
        <v>1.35618935224428E-3</v>
      </c>
      <c r="AB160">
        <v>8.2205554943168399E-4</v>
      </c>
      <c r="AC160">
        <v>3.2044402036897502E-3</v>
      </c>
      <c r="AD160">
        <v>4.3491792024340798E-3</v>
      </c>
      <c r="AE160">
        <v>3.1320008961829799E-4</v>
      </c>
      <c r="AF160">
        <f t="shared" si="2"/>
        <v>2.3080775647465648E-2</v>
      </c>
    </row>
    <row r="161" spans="1:32" x14ac:dyDescent="0.3">
      <c r="A161" t="str">
        <v>Sous-ensemble</v>
      </c>
      <c r="B161" t="str">
        <v>Ens. Tablette repas</v>
      </c>
      <c r="C161" t="str">
        <v>A2075</v>
      </c>
      <c r="D161">
        <v>2.6435305539561899E-5</v>
      </c>
      <c r="E161">
        <v>3.6793681459080901E-5</v>
      </c>
      <c r="F161">
        <v>4.8482358947500503E-8</v>
      </c>
      <c r="G161">
        <v>3.6727104954011901E-5</v>
      </c>
      <c r="H161">
        <v>1.80941461214921E-8</v>
      </c>
      <c r="I161">
        <v>3.0915667115654301E-5</v>
      </c>
      <c r="J161">
        <v>2.1549673967941799E-5</v>
      </c>
      <c r="K161">
        <v>8.3261261428815605E-6</v>
      </c>
      <c r="L161">
        <v>1.03986700483097E-6</v>
      </c>
      <c r="M161">
        <v>8.8912942581588E-8</v>
      </c>
      <c r="N161">
        <v>1.00169912911355E-5</v>
      </c>
      <c r="O161">
        <v>1.20505735164575E-5</v>
      </c>
      <c r="P161">
        <v>9.3050791193821696E-6</v>
      </c>
      <c r="Q161">
        <v>4.9467907150028201E-15</v>
      </c>
      <c r="R161">
        <v>2.2915378696557302E-6</v>
      </c>
      <c r="S161">
        <v>7.0135412447796497E-6</v>
      </c>
      <c r="T161">
        <v>1.61653094229773E-5</v>
      </c>
      <c r="U161">
        <v>1.9819825917446498E-6</v>
      </c>
      <c r="V161">
        <v>1.41532681374083E-5</v>
      </c>
      <c r="W161">
        <v>1.3277397640499299E-7</v>
      </c>
      <c r="X161">
        <v>1.04502905511641E-5</v>
      </c>
      <c r="Y161">
        <v>5.3776643193053097E-7</v>
      </c>
      <c r="Z161">
        <v>1.3097620105698601E-13</v>
      </c>
      <c r="AA161">
        <v>2.6180406502479701E-5</v>
      </c>
      <c r="AB161">
        <v>1.4993310157258101E-5</v>
      </c>
      <c r="AC161">
        <v>5.8134969187189897E-5</v>
      </c>
      <c r="AD161">
        <v>8.6972335390002995E-5</v>
      </c>
      <c r="AE161">
        <v>4.1309969774751604E-6</v>
      </c>
      <c r="AF161">
        <f t="shared" si="2"/>
        <v>4.3645404813498311E-4</v>
      </c>
    </row>
    <row r="162" spans="1:32" x14ac:dyDescent="0.3">
      <c r="A162" t="str">
        <v>Sous-ensemble</v>
      </c>
      <c r="B162" t="str">
        <v>Ens. Tablette repas</v>
      </c>
      <c r="C162" t="str">
        <v>acier</v>
      </c>
      <c r="D162">
        <v>1.64316818571775E-5</v>
      </c>
      <c r="E162">
        <v>4.2668305304888601E-5</v>
      </c>
      <c r="F162">
        <v>1.7363202849713101E-8</v>
      </c>
      <c r="G162">
        <v>4.2638793431115399E-5</v>
      </c>
      <c r="H162">
        <v>1.2148670923487599E-8</v>
      </c>
      <c r="I162">
        <v>1.3751383095526601E-5</v>
      </c>
      <c r="J162">
        <v>1.01061495377498E-5</v>
      </c>
      <c r="K162">
        <v>3.5748403814899399E-6</v>
      </c>
      <c r="L162">
        <v>7.0393176286865896E-8</v>
      </c>
      <c r="M162">
        <v>8.8631828009007806E-8</v>
      </c>
      <c r="N162">
        <v>1.07021679170165E-5</v>
      </c>
      <c r="O162">
        <v>1.2459494019000701E-5</v>
      </c>
      <c r="P162">
        <v>1.7614013552839201E-6</v>
      </c>
      <c r="Q162">
        <v>1.3498465311775101E-15</v>
      </c>
      <c r="R162">
        <v>6.2950099583774499E-7</v>
      </c>
      <c r="S162">
        <v>1.13190035809633E-6</v>
      </c>
      <c r="T162">
        <v>1.6088798513068699E-5</v>
      </c>
      <c r="U162">
        <v>1.30633753669357E-5</v>
      </c>
      <c r="V162">
        <v>3.0161400910397598E-6</v>
      </c>
      <c r="W162">
        <v>1.6595278817264001E-7</v>
      </c>
      <c r="X162">
        <v>2.7132767559018101E-6</v>
      </c>
      <c r="Y162">
        <v>2.2689011062755201E-7</v>
      </c>
      <c r="Z162">
        <v>5.4071964419393702E-15</v>
      </c>
      <c r="AA162">
        <v>1.8735633641719999E-5</v>
      </c>
      <c r="AB162">
        <v>1.72354975426951E-5</v>
      </c>
      <c r="AC162">
        <v>5.8294875278787499E-5</v>
      </c>
      <c r="AD162">
        <v>1.8368286002819001E-6</v>
      </c>
      <c r="AE162">
        <v>1.01873317779607E-5</v>
      </c>
      <c r="AF162">
        <f t="shared" si="2"/>
        <v>2.9760875560520047E-4</v>
      </c>
    </row>
    <row r="163" spans="1:32" x14ac:dyDescent="0.3">
      <c r="A163" t="str">
        <v>Sous-ensemble</v>
      </c>
      <c r="B163" t="str">
        <v>Ens. Tablette repas</v>
      </c>
      <c r="C163" t="str">
        <v>Ertalon</v>
      </c>
      <c r="D163">
        <v>2.0373441221103901E-6</v>
      </c>
      <c r="E163">
        <v>6.3286931316866598E-6</v>
      </c>
      <c r="F163">
        <v>8.1510027024705504E-10</v>
      </c>
      <c r="G163">
        <v>6.3277088578480797E-6</v>
      </c>
      <c r="H163">
        <v>1.69173568331565E-10</v>
      </c>
      <c r="I163">
        <v>3.0159023986704601E-5</v>
      </c>
      <c r="J163">
        <v>6.1045683318842304E-7</v>
      </c>
      <c r="K163">
        <v>2.93845078522932E-5</v>
      </c>
      <c r="L163">
        <v>1.6405930122294101E-7</v>
      </c>
      <c r="M163">
        <v>9.6296222685574607E-7</v>
      </c>
      <c r="N163">
        <v>1.70809904357149E-6</v>
      </c>
      <c r="O163">
        <v>2.0089269712426801E-6</v>
      </c>
      <c r="P163">
        <v>9.03115019656606E-7</v>
      </c>
      <c r="Q163">
        <v>1.34798747317805E-12</v>
      </c>
      <c r="R163">
        <v>8.5574304036932296E-7</v>
      </c>
      <c r="S163">
        <v>4.7370631299809998E-8</v>
      </c>
      <c r="T163">
        <v>5.5076330497248996E-6</v>
      </c>
      <c r="U163">
        <v>1.8398034858471399E-7</v>
      </c>
      <c r="V163">
        <v>5.3102190753204599E-6</v>
      </c>
      <c r="W163">
        <v>4.3107853175965901E-8</v>
      </c>
      <c r="X163">
        <v>1.7916599554502E-6</v>
      </c>
      <c r="Y163">
        <v>7.5297664856525707E-9</v>
      </c>
      <c r="Z163">
        <v>1.2315482832343E-14</v>
      </c>
      <c r="AA163">
        <v>1.05142569570724E-6</v>
      </c>
      <c r="AB163">
        <v>2.2288157270801599E-6</v>
      </c>
      <c r="AC163">
        <v>1.31629243600197E-5</v>
      </c>
      <c r="AD163">
        <v>-1.5392259703309601E-8</v>
      </c>
      <c r="AE163">
        <v>-2.28661113325366E-7</v>
      </c>
      <c r="AF163">
        <f t="shared" si="2"/>
        <v>1.1054223911071181E-4</v>
      </c>
    </row>
    <row r="164" spans="1:32" x14ac:dyDescent="0.3">
      <c r="A164" t="str">
        <v>Sous-ensemble</v>
      </c>
      <c r="B164" t="str">
        <v>Ens. Tablette repas</v>
      </c>
      <c r="C164" t="str">
        <v>inox</v>
      </c>
      <c r="D164">
        <v>7.1899999999999998E-6</v>
      </c>
      <c r="E164">
        <v>7.5399999999999998E-6</v>
      </c>
      <c r="F164">
        <v>6.3700000000000001E-9</v>
      </c>
      <c r="G164">
        <v>7.52E-6</v>
      </c>
      <c r="H164">
        <v>1.44E-8</v>
      </c>
      <c r="I164">
        <v>8.8200000000000003E-6</v>
      </c>
      <c r="J164">
        <v>5.9800000000000003E-6</v>
      </c>
      <c r="K164">
        <v>2.8100000000000002E-6</v>
      </c>
      <c r="L164">
        <v>3.2299999999999998E-8</v>
      </c>
      <c r="M164">
        <v>5.03E-8</v>
      </c>
      <c r="N164">
        <v>3.5599999999999998E-6</v>
      </c>
      <c r="O164">
        <v>4.2699999999999998E-6</v>
      </c>
      <c r="P164">
        <v>2.6699999999999998E-4</v>
      </c>
      <c r="Q164">
        <v>9.7100000000000003E-17</v>
      </c>
      <c r="R164">
        <v>4.3820508106882897E-6</v>
      </c>
      <c r="S164">
        <v>2.62945183311967E-4</v>
      </c>
      <c r="T164">
        <v>4.2755627092431301E-6</v>
      </c>
      <c r="U164">
        <v>1.2459081702876501E-6</v>
      </c>
      <c r="V164">
        <v>3.02764216175988E-6</v>
      </c>
      <c r="W164">
        <v>2.8670379916042902E-8</v>
      </c>
      <c r="X164">
        <v>8.8646644014363299E-7</v>
      </c>
      <c r="Y164">
        <v>2.4485078010211098E-7</v>
      </c>
      <c r="Z164">
        <v>3.9596604600642898E-15</v>
      </c>
      <c r="AA164">
        <v>1.16590454194203E-5</v>
      </c>
      <c r="AB164">
        <v>5.1221521837233498E-6</v>
      </c>
      <c r="AC164">
        <v>1.21743866424926E-5</v>
      </c>
      <c r="AD164">
        <v>1.6509396978646601E-5</v>
      </c>
      <c r="AE164">
        <v>4.4327469315806199E-6</v>
      </c>
      <c r="AF164">
        <f t="shared" si="2"/>
        <v>6.4172743292402815E-4</v>
      </c>
    </row>
    <row r="165" spans="1:32" x14ac:dyDescent="0.3">
      <c r="A165" t="str">
        <v>Sous-ensemble</v>
      </c>
      <c r="B165" t="str">
        <v>Ens. Tablette repas</v>
      </c>
      <c r="C165" t="str">
        <v>kydex</v>
      </c>
      <c r="D165">
        <v>6.6599999999999998E-6</v>
      </c>
      <c r="E165">
        <v>1.73E-5</v>
      </c>
      <c r="F165">
        <v>1.1300000000000001E-7</v>
      </c>
      <c r="G165">
        <v>1.5299999999999999E-5</v>
      </c>
      <c r="H165">
        <v>3.4999999999999998E-10</v>
      </c>
      <c r="I165">
        <v>3.9100000000000002E-5</v>
      </c>
      <c r="J165">
        <v>3.1399999999999998E-5</v>
      </c>
      <c r="K165">
        <v>8.0800000000000004E-7</v>
      </c>
      <c r="L165">
        <v>3.34E-7</v>
      </c>
      <c r="M165">
        <v>4.2799999999999997E-6</v>
      </c>
      <c r="N165">
        <v>4.4900000000000002E-6</v>
      </c>
      <c r="O165">
        <v>4.9699999999999998E-6</v>
      </c>
      <c r="P165">
        <v>3.1499999999999999E-6</v>
      </c>
      <c r="Q165">
        <v>0</v>
      </c>
      <c r="R165">
        <v>1.70179002352246E-6</v>
      </c>
      <c r="S165">
        <v>7.6584664784074601E-7</v>
      </c>
      <c r="T165">
        <v>1.16103148813342E-5</v>
      </c>
      <c r="U165">
        <v>1.4540036150026801E-6</v>
      </c>
      <c r="V165">
        <v>9.5886631825404695E-6</v>
      </c>
      <c r="W165">
        <v>9.36946787995567E-8</v>
      </c>
      <c r="X165">
        <v>1.2195311795835399E-5</v>
      </c>
      <c r="Y165">
        <v>2.7221607237229499E-7</v>
      </c>
      <c r="Z165">
        <v>3.1891241910633903E-8</v>
      </c>
      <c r="AA165">
        <v>5.3246247029927504E-6</v>
      </c>
      <c r="AB165">
        <v>7.9772506239908193E-6</v>
      </c>
      <c r="AC165">
        <v>6.5612945028595602E-5</v>
      </c>
      <c r="AD165">
        <v>1.43028522651771E-6</v>
      </c>
      <c r="AE165">
        <v>1.7524733808968E-5</v>
      </c>
      <c r="AF165">
        <f t="shared" si="2"/>
        <v>2.6348892153022331E-4</v>
      </c>
    </row>
    <row r="166" spans="1:32" x14ac:dyDescent="0.3">
      <c r="A166" t="str">
        <v>Sous-ensemble</v>
      </c>
      <c r="B166" t="str">
        <v>Ens. Tablette repas</v>
      </c>
      <c r="C166" t="str">
        <v>nylon</v>
      </c>
      <c r="D166">
        <v>1.0900000000000001E-5</v>
      </c>
      <c r="E166">
        <v>3.1099999999999997E-5</v>
      </c>
      <c r="F166">
        <v>4.1299999999999996E-9</v>
      </c>
      <c r="G166">
        <v>3.1099999999999997E-5</v>
      </c>
      <c r="H166">
        <v>8.5800000000000004E-10</v>
      </c>
      <c r="I166">
        <v>6.1399999999999996E-4</v>
      </c>
      <c r="J166">
        <v>1.1600000000000001E-5</v>
      </c>
      <c r="K166">
        <v>2.2599999999999999E-4</v>
      </c>
      <c r="L166">
        <v>3.7599999999999998E-4</v>
      </c>
      <c r="M166">
        <v>5.5199999999999997E-6</v>
      </c>
      <c r="N166">
        <v>9.4499999999999993E-6</v>
      </c>
      <c r="O166">
        <v>9.1099999999999992E-6</v>
      </c>
      <c r="P166">
        <v>2.1299999999999999E-5</v>
      </c>
      <c r="Q166">
        <v>4.3200000000000002E-12</v>
      </c>
      <c r="R166">
        <v>2.05745116542687E-5</v>
      </c>
      <c r="S166">
        <v>7.2107223019124704E-7</v>
      </c>
      <c r="T166">
        <v>1.57558688571886E-4</v>
      </c>
      <c r="U166">
        <v>1.3973615575956801E-6</v>
      </c>
      <c r="V166">
        <v>1.51913039887421E-4</v>
      </c>
      <c r="W166">
        <v>4.4077262691555699E-6</v>
      </c>
      <c r="X166">
        <v>1.5602880625535402E-5</v>
      </c>
      <c r="Y166">
        <v>3.8186672891523701E-8</v>
      </c>
      <c r="Z166">
        <v>1.9372082275895699E-13</v>
      </c>
      <c r="AA166">
        <v>7.7809876577262792E-6</v>
      </c>
      <c r="AB166">
        <v>1.27121989877157E-5</v>
      </c>
      <c r="AC166">
        <v>7.1930105877297094E-5</v>
      </c>
      <c r="AD166">
        <v>1.9496856136766302E-6</v>
      </c>
      <c r="AE166">
        <v>1.59072422503379E-4</v>
      </c>
      <c r="AF166">
        <f t="shared" si="2"/>
        <v>1.9517438606224606E-3</v>
      </c>
    </row>
    <row r="167" spans="1:32" x14ac:dyDescent="0.3">
      <c r="A167" t="str">
        <v>Sous-ensemble</v>
      </c>
      <c r="B167" t="str">
        <v>Ens. Tablette repas</v>
      </c>
      <c r="C167" t="str">
        <v>packaging</v>
      </c>
      <c r="D167">
        <v>8.4099999999999997E-7</v>
      </c>
      <c r="E167">
        <v>9.4499999999999995E-7</v>
      </c>
      <c r="F167">
        <v>8.1699999999999997E-7</v>
      </c>
      <c r="G167">
        <v>-2.4100000000000001E-8</v>
      </c>
      <c r="H167">
        <v>3.1800000000000002E-9</v>
      </c>
      <c r="I167">
        <v>7.8700000000000005E-7</v>
      </c>
      <c r="J167">
        <v>1.0100000000000001E-6</v>
      </c>
      <c r="K167">
        <v>-5.7599999999999997E-7</v>
      </c>
      <c r="L167">
        <v>1.5300000000000001E-8</v>
      </c>
      <c r="M167">
        <v>4.2399999999999999E-7</v>
      </c>
      <c r="N167">
        <v>8.6799999999999999E-7</v>
      </c>
      <c r="O167">
        <v>9.6500000000000008E-7</v>
      </c>
      <c r="P167">
        <v>1.86E-7</v>
      </c>
      <c r="Q167">
        <v>-9.5499999999999994E-16</v>
      </c>
      <c r="R167">
        <v>8.9767574156789905E-8</v>
      </c>
      <c r="S167">
        <v>6.7954937593643595E-8</v>
      </c>
      <c r="T167">
        <v>9.8185654584921903E-7</v>
      </c>
      <c r="U167">
        <v>3.1397802460441401E-7</v>
      </c>
      <c r="V167">
        <v>5.6394630567639896E-7</v>
      </c>
      <c r="W167">
        <v>4.3699195736108503E-8</v>
      </c>
      <c r="X167">
        <v>-1.47053092657567E-6</v>
      </c>
      <c r="Y167">
        <v>1.20266747355771E-5</v>
      </c>
      <c r="Z167">
        <v>2.3152743381021502E-9</v>
      </c>
      <c r="AA167">
        <v>9.931267702789669E-7</v>
      </c>
      <c r="AB167">
        <v>1.18289444896781E-6</v>
      </c>
      <c r="AC167">
        <v>-4.7236145659101302E-7</v>
      </c>
      <c r="AD167">
        <v>2.8660758607050299E-8</v>
      </c>
      <c r="AE167">
        <v>2.1477285204317599E-5</v>
      </c>
      <c r="AF167">
        <f t="shared" si="2"/>
        <v>4.2090647391581517E-5</v>
      </c>
    </row>
    <row r="168" spans="1:32" x14ac:dyDescent="0.3">
      <c r="A168" t="str">
        <v>Sous-ensemble</v>
      </c>
      <c r="B168" t="str">
        <v>Ens. Tablette repas</v>
      </c>
      <c r="C168" t="str">
        <v>Silicone50 shore</v>
      </c>
      <c r="D168">
        <v>2.3999999999999998E-7</v>
      </c>
      <c r="E168">
        <v>5.8100000000000003E-7</v>
      </c>
      <c r="F168">
        <v>3.9899999999999997E-9</v>
      </c>
      <c r="G168">
        <v>5.7599999999999997E-7</v>
      </c>
      <c r="H168">
        <v>9.5000000000000003E-10</v>
      </c>
      <c r="I168">
        <v>6.6300000000000005E-7</v>
      </c>
      <c r="J168">
        <v>4.3300000000000003E-7</v>
      </c>
      <c r="K168">
        <v>2.28E-7</v>
      </c>
      <c r="L168">
        <v>2.3199999999999998E-9</v>
      </c>
      <c r="M168">
        <v>6.2300000000000002E-9</v>
      </c>
      <c r="N168">
        <v>1.6199999999999999E-7</v>
      </c>
      <c r="O168">
        <v>1.9399999999999999E-7</v>
      </c>
      <c r="P168">
        <v>1.1599999999999999E-6</v>
      </c>
      <c r="Q168">
        <v>9.8199999999999998E-17</v>
      </c>
      <c r="R168">
        <v>1.11732107944102E-6</v>
      </c>
      <c r="S168">
        <v>3.7700603217130798E-8</v>
      </c>
      <c r="T168">
        <v>9.7563396241737E-6</v>
      </c>
      <c r="U168">
        <v>6.80072982793698E-8</v>
      </c>
      <c r="V168">
        <v>9.6874807516490807E-6</v>
      </c>
      <c r="W168">
        <v>2.69673779019413E-9</v>
      </c>
      <c r="X168">
        <v>2.1787128029745401E-7</v>
      </c>
      <c r="Y168">
        <v>1.5496083719491599E-7</v>
      </c>
      <c r="Z168">
        <v>1.10654349844885E-15</v>
      </c>
      <c r="AA168">
        <v>2.3971571401404401E-7</v>
      </c>
      <c r="AB168">
        <v>2.6125099505773202E-7</v>
      </c>
      <c r="AC168">
        <v>1.1547159631197901E-6</v>
      </c>
      <c r="AD168">
        <v>1.1412282268791701E-6</v>
      </c>
      <c r="AE168">
        <v>5.6686239879351002E-8</v>
      </c>
      <c r="AF168">
        <f t="shared" si="2"/>
        <v>2.8146465352197699E-5</v>
      </c>
    </row>
    <row r="169" spans="1:32" x14ac:dyDescent="0.3">
      <c r="A169" t="str">
        <v>Sous-ensemble</v>
      </c>
      <c r="B169" t="str">
        <v>Ens. Tablette repas</v>
      </c>
      <c r="C169" t="str">
        <v>Transport</v>
      </c>
      <c r="D169">
        <v>1.7799999999999999E-5</v>
      </c>
      <c r="E169">
        <v>2.05E-5</v>
      </c>
      <c r="F169">
        <v>6.13E-8</v>
      </c>
      <c r="G169">
        <v>2.0299999999999999E-5</v>
      </c>
      <c r="H169">
        <v>1.67E-7</v>
      </c>
      <c r="I169">
        <v>3.8300000000000003E-5</v>
      </c>
      <c r="J169">
        <v>3.7100000000000001E-5</v>
      </c>
      <c r="K169">
        <v>7.6300000000000004E-7</v>
      </c>
      <c r="L169">
        <v>4.5699999999999998E-7</v>
      </c>
      <c r="M169">
        <v>3.0600000000000001E-7</v>
      </c>
      <c r="N169">
        <v>2.48E-5</v>
      </c>
      <c r="O169">
        <v>3.0300000000000001E-5</v>
      </c>
      <c r="P169">
        <v>1.9599999999999999E-6</v>
      </c>
      <c r="Q169">
        <v>5.0899999999999999E-17</v>
      </c>
      <c r="R169">
        <v>1.9079858047241699E-6</v>
      </c>
      <c r="S169">
        <v>5.1696762632527597E-8</v>
      </c>
      <c r="T169">
        <v>8.0002600216824197E-6</v>
      </c>
      <c r="U169">
        <v>1.79966001976777E-6</v>
      </c>
      <c r="V169">
        <v>6.1876707303938004E-6</v>
      </c>
      <c r="W169">
        <v>5.6227885555544603E-8</v>
      </c>
      <c r="X169">
        <v>1.3916052689739701E-7</v>
      </c>
      <c r="Y169">
        <v>9.25135099043228E-7</v>
      </c>
      <c r="Z169">
        <v>6.0943163105784998E-16</v>
      </c>
      <c r="AA169">
        <v>6.1831005434344196E-6</v>
      </c>
      <c r="AB169">
        <v>2.3029773418646099E-5</v>
      </c>
      <c r="AC169">
        <v>3.3932895280052499E-5</v>
      </c>
      <c r="AD169">
        <v>2.3163036618451101E-7</v>
      </c>
      <c r="AE169">
        <v>1.33995231395358E-7</v>
      </c>
      <c r="AF169">
        <f t="shared" si="2"/>
        <v>2.753934916910701E-4</v>
      </c>
    </row>
    <row r="170" spans="1:32" x14ac:dyDescent="0.3">
      <c r="A170" t="str">
        <v>Sous-ensemble</v>
      </c>
      <c r="B170" t="str">
        <v>Ens. Têtière</v>
      </c>
      <c r="C170" t="str">
        <v>A2017</v>
      </c>
      <c r="D170">
        <v>3.5399999999999999E-4</v>
      </c>
      <c r="E170">
        <v>4.9299999999999995E-4</v>
      </c>
      <c r="F170">
        <v>6.5000000000000002E-7</v>
      </c>
      <c r="G170">
        <v>4.9200000000000003E-4</v>
      </c>
      <c r="H170">
        <v>2.4299999999999999E-7</v>
      </c>
      <c r="I170">
        <v>4.15E-4</v>
      </c>
      <c r="J170">
        <v>2.8899999999999998E-4</v>
      </c>
      <c r="K170">
        <v>1.12E-4</v>
      </c>
      <c r="L170">
        <v>1.3900000000000001E-5</v>
      </c>
      <c r="M170">
        <v>1.19E-6</v>
      </c>
      <c r="N170">
        <v>1.34E-4</v>
      </c>
      <c r="O170">
        <v>1.6200000000000001E-4</v>
      </c>
      <c r="P170">
        <v>1.25E-4</v>
      </c>
      <c r="Q170">
        <v>6.6300000000000005E-14</v>
      </c>
      <c r="R170">
        <v>3.0727439615838198E-5</v>
      </c>
      <c r="S170">
        <v>9.4045212145909006E-5</v>
      </c>
      <c r="T170">
        <v>2.16762103626286E-4</v>
      </c>
      <c r="U170">
        <v>2.65765847529396E-5</v>
      </c>
      <c r="V170">
        <v>1.8978245911524701E-4</v>
      </c>
      <c r="W170">
        <v>1.78037831997604E-6</v>
      </c>
      <c r="X170">
        <v>1.4012889602697299E-4</v>
      </c>
      <c r="Y170">
        <v>7.2109589736139297E-6</v>
      </c>
      <c r="Z170">
        <v>1.7562717869004899E-12</v>
      </c>
      <c r="AA170">
        <v>3.5105545082870501E-4</v>
      </c>
      <c r="AB170">
        <v>2.0104665892686999E-4</v>
      </c>
      <c r="AC170">
        <v>7.7953708682822805E-4</v>
      </c>
      <c r="AD170">
        <v>1.1662199518205E-3</v>
      </c>
      <c r="AE170">
        <v>5.5392914016134901E-5</v>
      </c>
      <c r="AF170">
        <f t="shared" si="2"/>
        <v>5.8522490968197921E-3</v>
      </c>
    </row>
    <row r="171" spans="1:32" x14ac:dyDescent="0.3">
      <c r="A171" t="str">
        <v>Sous-ensemble</v>
      </c>
      <c r="B171" t="str">
        <v>Ens. Têtière</v>
      </c>
      <c r="C171" t="str">
        <v>A2024</v>
      </c>
      <c r="D171">
        <v>2.3200000000000001E-5</v>
      </c>
      <c r="E171">
        <v>3.2299999999999999E-5</v>
      </c>
      <c r="F171">
        <v>4.2599999999999998E-8</v>
      </c>
      <c r="G171">
        <v>3.2299999999999999E-5</v>
      </c>
      <c r="H171">
        <v>1.59E-8</v>
      </c>
      <c r="I171">
        <v>2.72E-5</v>
      </c>
      <c r="J171">
        <v>1.8899999999999999E-5</v>
      </c>
      <c r="K171">
        <v>7.3200000000000002E-6</v>
      </c>
      <c r="L171">
        <v>9.1399999999999995E-7</v>
      </c>
      <c r="M171">
        <v>7.8100000000000005E-8</v>
      </c>
      <c r="N171">
        <v>8.8000000000000004E-6</v>
      </c>
      <c r="O171">
        <v>1.06E-5</v>
      </c>
      <c r="P171">
        <v>8.1799999999999996E-6</v>
      </c>
      <c r="Q171">
        <v>4.3500000000000001E-15</v>
      </c>
      <c r="R171">
        <v>2.0137757036368499E-6</v>
      </c>
      <c r="S171">
        <v>6.1634150332912099E-6</v>
      </c>
      <c r="T171">
        <v>1.42058779777679E-5</v>
      </c>
      <c r="U171">
        <v>1.74174227759378E-6</v>
      </c>
      <c r="V171">
        <v>1.24377204843891E-5</v>
      </c>
      <c r="W171">
        <v>1.16680161083176E-7</v>
      </c>
      <c r="X171">
        <v>9.1835886661744708E-6</v>
      </c>
      <c r="Y171">
        <v>4.7258262199955398E-7</v>
      </c>
      <c r="Z171">
        <v>1.1510029789856399E-13</v>
      </c>
      <c r="AA171">
        <v>2.3007023896118501E-5</v>
      </c>
      <c r="AB171">
        <v>1.3175939229105601E-5</v>
      </c>
      <c r="AC171">
        <v>5.10883062554093E-5</v>
      </c>
      <c r="AD171">
        <v>7.6430234130608698E-5</v>
      </c>
      <c r="AE171">
        <v>3.6302700711144699E-6</v>
      </c>
      <c r="AF171">
        <f t="shared" si="2"/>
        <v>3.8351775662774288E-4</v>
      </c>
    </row>
    <row r="172" spans="1:32" x14ac:dyDescent="0.3">
      <c r="A172" t="str">
        <v>Sous-ensemble</v>
      </c>
      <c r="B172" t="str">
        <v>Ens. Têtière</v>
      </c>
      <c r="C172" t="str">
        <v>inox</v>
      </c>
      <c r="D172">
        <v>4.82E-7</v>
      </c>
      <c r="E172">
        <v>4.6600000000000002E-7</v>
      </c>
      <c r="F172">
        <v>3.7200000000000001E-10</v>
      </c>
      <c r="G172">
        <v>4.6499999999999999E-7</v>
      </c>
      <c r="H172">
        <v>1.08E-9</v>
      </c>
      <c r="I172">
        <v>6.0100000000000005E-7</v>
      </c>
      <c r="J172">
        <v>4.0600000000000001E-7</v>
      </c>
      <c r="K172">
        <v>1.9600000000000001E-7</v>
      </c>
      <c r="L172">
        <v>-5.2199999999999996E-10</v>
      </c>
      <c r="M172">
        <v>3.6800000000000001E-9</v>
      </c>
      <c r="N172">
        <v>2.48E-7</v>
      </c>
      <c r="O172">
        <v>2.9799999999999999E-7</v>
      </c>
      <c r="P172">
        <v>2.0999999999999999E-5</v>
      </c>
      <c r="Q172">
        <v>-6.5900000000000004E-18</v>
      </c>
      <c r="R172">
        <v>3.3736204742642202E-7</v>
      </c>
      <c r="S172">
        <v>2.06148080073993E-5</v>
      </c>
      <c r="T172">
        <v>2.7895807159234602E-7</v>
      </c>
      <c r="U172">
        <v>8.0882013453087403E-8</v>
      </c>
      <c r="V172">
        <v>1.98013979830049E-7</v>
      </c>
      <c r="W172">
        <v>1.7888507823241801E-9</v>
      </c>
      <c r="X172">
        <v>4.0627205654857099E-8</v>
      </c>
      <c r="Y172">
        <v>1.7739238260705201E-8</v>
      </c>
      <c r="Z172">
        <v>3.7398252564595804E-15</v>
      </c>
      <c r="AA172">
        <v>8.2889564830192204E-7</v>
      </c>
      <c r="AB172">
        <v>3.531007944502E-7</v>
      </c>
      <c r="AC172">
        <v>7.66339885426099E-7</v>
      </c>
      <c r="AD172">
        <v>1.03396895245094E-6</v>
      </c>
      <c r="AE172">
        <v>2.9200987742176598E-7</v>
      </c>
      <c r="AF172">
        <f t="shared" si="2"/>
        <v>4.9011104576183246E-5</v>
      </c>
    </row>
    <row r="173" spans="1:32" x14ac:dyDescent="0.3">
      <c r="A173" t="str">
        <v>Sous-ensemble</v>
      </c>
      <c r="B173" t="str">
        <v>Ens. Têtière</v>
      </c>
      <c r="C173" t="str">
        <v>nylon</v>
      </c>
      <c r="D173">
        <v>1.0699999999999999E-6</v>
      </c>
      <c r="E173">
        <v>3.05E-6</v>
      </c>
      <c r="F173">
        <v>4.2399999999999998E-10</v>
      </c>
      <c r="G173">
        <v>3.05E-6</v>
      </c>
      <c r="H173">
        <v>8.7100000000000002E-11</v>
      </c>
      <c r="I173">
        <v>6.05E-5</v>
      </c>
      <c r="J173">
        <v>1.15E-6</v>
      </c>
      <c r="K173">
        <v>2.23E-5</v>
      </c>
      <c r="L173">
        <v>3.7100000000000001E-5</v>
      </c>
      <c r="M173">
        <v>5.44E-7</v>
      </c>
      <c r="N173">
        <v>9.2200000000000002E-7</v>
      </c>
      <c r="O173">
        <v>8.8700000000000004E-7</v>
      </c>
      <c r="P173">
        <v>2.0999999999999998E-6</v>
      </c>
      <c r="Q173">
        <v>4.26E-13</v>
      </c>
      <c r="R173">
        <v>2.0285816302444499E-6</v>
      </c>
      <c r="S173">
        <v>7.15783386929501E-8</v>
      </c>
      <c r="T173">
        <v>1.55354689895953E-5</v>
      </c>
      <c r="U173">
        <v>1.38490011946169E-7</v>
      </c>
      <c r="V173">
        <v>1.49781323184883E-5</v>
      </c>
      <c r="W173">
        <v>4.3458695234991099E-7</v>
      </c>
      <c r="X173">
        <v>1.55919233971399E-6</v>
      </c>
      <c r="Y173">
        <v>3.8705013914658902E-9</v>
      </c>
      <c r="Z173">
        <v>1.91099505677643E-14</v>
      </c>
      <c r="AA173">
        <v>7.6657983339787202E-7</v>
      </c>
      <c r="AB173">
        <v>1.2416388206451999E-6</v>
      </c>
      <c r="AC173">
        <v>7.1228835345351603E-6</v>
      </c>
      <c r="AD173">
        <v>1.92351986784889E-7</v>
      </c>
      <c r="AE173">
        <v>1.5681331055513499E-5</v>
      </c>
      <c r="AF173">
        <f t="shared" si="2"/>
        <v>1.9242819785840912E-4</v>
      </c>
    </row>
    <row r="174" spans="1:32" x14ac:dyDescent="0.3">
      <c r="A174" t="str">
        <v>Sous-ensemble</v>
      </c>
      <c r="B174" t="str">
        <v>Ens. Têtière</v>
      </c>
      <c r="C174" t="str">
        <v>packaging</v>
      </c>
      <c r="D174">
        <v>2.7900000000000001E-5</v>
      </c>
      <c r="E174">
        <v>3.1999999999999999E-5</v>
      </c>
      <c r="F174">
        <v>5.9599999999999997E-6</v>
      </c>
      <c r="G174">
        <v>-2.26E-6</v>
      </c>
      <c r="H174">
        <v>-2.8599999999999999E-10</v>
      </c>
      <c r="I174">
        <v>6.8499999999999998E-5</v>
      </c>
      <c r="J174">
        <v>5.7299999999999996E-7</v>
      </c>
      <c r="K174">
        <v>-3.5099999999999999E-6</v>
      </c>
      <c r="L174">
        <v>9.7800000000000002E-8</v>
      </c>
      <c r="M174">
        <v>1.15E-4</v>
      </c>
      <c r="N174">
        <v>2.0299999999999999E-5</v>
      </c>
      <c r="O174">
        <v>2.1299999999999999E-5</v>
      </c>
      <c r="P174">
        <v>6.6499999999999999E-6</v>
      </c>
      <c r="Q174">
        <v>-4.0700000000000003E-15</v>
      </c>
      <c r="R174">
        <v>9.2131756439908502E-8</v>
      </c>
      <c r="S174">
        <v>-1.4068535622370099E-7</v>
      </c>
      <c r="T174">
        <v>1.33988500773631E-5</v>
      </c>
      <c r="U174">
        <v>1.40205864671189E-7</v>
      </c>
      <c r="V174">
        <v>6.3749581848383698E-7</v>
      </c>
      <c r="W174">
        <v>3.0298910305917898E-7</v>
      </c>
      <c r="X174">
        <v>1.0473791186615001E-5</v>
      </c>
      <c r="Y174">
        <v>1.4339850182052799E-4</v>
      </c>
      <c r="Z174">
        <v>4.5209200249160302E-7</v>
      </c>
      <c r="AA174">
        <v>4.4750212436107602E-5</v>
      </c>
      <c r="AB174">
        <v>2.6562825861349001E-5</v>
      </c>
      <c r="AC174">
        <v>4.6289258397664597E-5</v>
      </c>
      <c r="AD174">
        <v>8.5303627558868098E-6</v>
      </c>
      <c r="AE174">
        <v>3.17798818919364E-3</v>
      </c>
      <c r="AF174">
        <f t="shared" si="2"/>
        <v>3.7653867349140063E-3</v>
      </c>
    </row>
    <row r="175" spans="1:32" x14ac:dyDescent="0.3">
      <c r="A175" t="str">
        <v>Sous-ensemble</v>
      </c>
      <c r="B175" t="str">
        <v>Ens. Têtière</v>
      </c>
      <c r="C175" t="str">
        <v>tissu</v>
      </c>
      <c r="D175">
        <v>1.8814845050659299E-3</v>
      </c>
      <c r="E175">
        <v>5.2305182511992005E-4</v>
      </c>
      <c r="F175">
        <v>0</v>
      </c>
      <c r="G175">
        <v>0</v>
      </c>
      <c r="H175">
        <v>0</v>
      </c>
      <c r="I175">
        <v>6.1158557635909E-4</v>
      </c>
      <c r="J175">
        <v>0</v>
      </c>
      <c r="K175">
        <v>0</v>
      </c>
      <c r="L175">
        <v>0</v>
      </c>
      <c r="M175">
        <v>6.49225870031607E-4</v>
      </c>
      <c r="N175">
        <v>1.06608081959485E-3</v>
      </c>
      <c r="O175">
        <v>2.6189716084736199E-3</v>
      </c>
      <c r="P175">
        <v>2.9165519352580601E-5</v>
      </c>
      <c r="Q175">
        <v>0</v>
      </c>
      <c r="R175">
        <v>0</v>
      </c>
      <c r="S175">
        <v>0</v>
      </c>
      <c r="T175">
        <v>1.20291406080727E-4</v>
      </c>
      <c r="U175">
        <v>0</v>
      </c>
      <c r="V175">
        <v>0</v>
      </c>
      <c r="W175">
        <v>0</v>
      </c>
      <c r="X175">
        <v>1.9060190071973701E-5</v>
      </c>
      <c r="Y175">
        <v>6.0697338508524301E-4</v>
      </c>
      <c r="Z175">
        <v>1.0176427191909501E-6</v>
      </c>
      <c r="AA175">
        <v>1.22295938083991E-3</v>
      </c>
      <c r="AB175">
        <v>1.05481800646538E-4</v>
      </c>
      <c r="AC175">
        <v>1.06892677963477E-4</v>
      </c>
      <c r="AD175">
        <v>2.44323334740835E-5</v>
      </c>
      <c r="AE175">
        <v>4.7418170907947699E-3</v>
      </c>
      <c r="AF175">
        <f t="shared" si="2"/>
        <v>1.4328491631673509E-2</v>
      </c>
    </row>
    <row r="176" spans="1:32" x14ac:dyDescent="0.3">
      <c r="A176" t="str">
        <v>Sous-ensemble</v>
      </c>
      <c r="B176" t="str">
        <v>Ens. Têtière</v>
      </c>
      <c r="C176" t="str">
        <v>Transport</v>
      </c>
      <c r="D176">
        <v>3.72049724251459E-6</v>
      </c>
      <c r="E176">
        <v>4.2719698296722499E-6</v>
      </c>
      <c r="F176">
        <v>1.27741208436101E-8</v>
      </c>
      <c r="G176">
        <v>4.22433554418638E-6</v>
      </c>
      <c r="H176">
        <v>3.4860164642268399E-8</v>
      </c>
      <c r="I176">
        <v>7.99534840064896E-6</v>
      </c>
      <c r="J176">
        <v>7.7408583726802302E-6</v>
      </c>
      <c r="K176">
        <v>1.59119239894913E-7</v>
      </c>
      <c r="L176">
        <v>9.5370788073819106E-8</v>
      </c>
      <c r="M176">
        <v>6.3835292279101501E-8</v>
      </c>
      <c r="N176">
        <v>5.1688686976435299E-6</v>
      </c>
      <c r="O176">
        <v>6.3253617897024298E-6</v>
      </c>
      <c r="P176">
        <v>4.0857050308162003E-7</v>
      </c>
      <c r="Q176">
        <v>1.0606044600545801E-17</v>
      </c>
      <c r="R176">
        <v>3.9779234304257399E-7</v>
      </c>
      <c r="S176">
        <v>1.077816002844E-8</v>
      </c>
      <c r="T176">
        <v>1.66795904408469E-6</v>
      </c>
      <c r="U176">
        <v>3.7520770551380502E-7</v>
      </c>
      <c r="V176">
        <v>1.2900557392643399E-6</v>
      </c>
      <c r="W176">
        <v>1.17228452560229E-8</v>
      </c>
      <c r="X176">
        <v>2.9013314415909599E-8</v>
      </c>
      <c r="Y176">
        <v>1.92879662819365E-7</v>
      </c>
      <c r="Z176">
        <v>1.2705924532693601E-16</v>
      </c>
      <c r="AA176">
        <v>1.28910290964988E-6</v>
      </c>
      <c r="AB176">
        <v>4.8014337974947401E-6</v>
      </c>
      <c r="AC176">
        <v>7.0746050029558802E-6</v>
      </c>
      <c r="AD176">
        <v>4.8292175893660099E-8</v>
      </c>
      <c r="AE176">
        <v>2.7936411749667799E-8</v>
      </c>
      <c r="AF176">
        <f t="shared" si="2"/>
        <v>5.7438549098170342E-5</v>
      </c>
    </row>
    <row r="177" spans="1:32" x14ac:dyDescent="0.3">
      <c r="A177" t="str">
        <v>Sous-ensemble</v>
      </c>
      <c r="B177" t="str">
        <v>Habillage sous fauteuil</v>
      </c>
      <c r="C177" t="str">
        <v>A5086</v>
      </c>
      <c r="D177">
        <v>9.2400000000000002E-4</v>
      </c>
      <c r="E177">
        <v>1.64E-3</v>
      </c>
      <c r="F177">
        <v>2.6599999999999999E-6</v>
      </c>
      <c r="G177">
        <v>1.6299999999999999E-3</v>
      </c>
      <c r="H177">
        <v>5.9599999999999999E-7</v>
      </c>
      <c r="I177">
        <v>2.0899999999999998E-3</v>
      </c>
      <c r="J177">
        <v>1.73E-3</v>
      </c>
      <c r="K177">
        <v>3.2400000000000001E-4</v>
      </c>
      <c r="L177">
        <v>4.0200000000000001E-5</v>
      </c>
      <c r="M177">
        <v>5.4399999999999996E-6</v>
      </c>
      <c r="N177">
        <v>4.1599999999999997E-4</v>
      </c>
      <c r="O177">
        <v>4.9299999999999995E-4</v>
      </c>
      <c r="P177">
        <v>3.5E-4</v>
      </c>
      <c r="Q177">
        <v>1.7399999999999999E-13</v>
      </c>
      <c r="R177">
        <v>1.10824118135112E-4</v>
      </c>
      <c r="S177">
        <v>2.39053437987479E-4</v>
      </c>
      <c r="T177">
        <v>7.9445590277953603E-4</v>
      </c>
      <c r="U177">
        <v>2.38104988447545E-4</v>
      </c>
      <c r="V177">
        <v>5.5405013502346598E-4</v>
      </c>
      <c r="W177">
        <v>7.3486228465221199E-6</v>
      </c>
      <c r="X177">
        <v>3.7272849255165399E-4</v>
      </c>
      <c r="Y177">
        <v>1.5818055153457298E-5</v>
      </c>
      <c r="Z177">
        <v>6.2685810443828399E-12</v>
      </c>
      <c r="AA177">
        <v>9.5606448366470395E-4</v>
      </c>
      <c r="AB177">
        <v>7.4017465611340603E-4</v>
      </c>
      <c r="AC177">
        <v>3.0027583908017398E-3</v>
      </c>
      <c r="AD177">
        <v>2.5853827953816399E-4</v>
      </c>
      <c r="AE177">
        <v>1.6269594628193199E-4</v>
      </c>
      <c r="AF177">
        <f t="shared" si="2"/>
        <v>1.7098511515767297E-2</v>
      </c>
    </row>
    <row r="178" spans="1:32" x14ac:dyDescent="0.3">
      <c r="A178" t="str">
        <v>Sous-ensemble</v>
      </c>
      <c r="B178" t="str">
        <v>Habillage sous fauteuil</v>
      </c>
      <c r="C178" t="str">
        <v>acier</v>
      </c>
      <c r="D178">
        <v>3.8199999999999998E-6</v>
      </c>
      <c r="E178">
        <v>9.9199999999999999E-6</v>
      </c>
      <c r="F178">
        <v>4.0400000000000001E-9</v>
      </c>
      <c r="G178">
        <v>9.9199999999999999E-6</v>
      </c>
      <c r="H178">
        <v>2.8299999999999999E-9</v>
      </c>
      <c r="I178">
        <v>3.1999999999999999E-6</v>
      </c>
      <c r="J178">
        <v>2.3499999999999999E-6</v>
      </c>
      <c r="K178">
        <v>8.3099999999999996E-7</v>
      </c>
      <c r="L178">
        <v>1.6400000000000001E-8</v>
      </c>
      <c r="M178">
        <v>2.0599999999999999E-8</v>
      </c>
      <c r="N178">
        <v>2.4899999999999999E-6</v>
      </c>
      <c r="O178">
        <v>2.9000000000000002E-6</v>
      </c>
      <c r="P178">
        <v>4.0999999999999999E-7</v>
      </c>
      <c r="Q178">
        <v>3.1400000000000002E-16</v>
      </c>
      <c r="R178">
        <v>1.4638788994710599E-7</v>
      </c>
      <c r="S178">
        <v>2.6321881323092398E-7</v>
      </c>
      <c r="T178">
        <v>3.7413844961086099E-6</v>
      </c>
      <c r="U178">
        <v>3.03783467889164E-6</v>
      </c>
      <c r="V178">
        <v>7.0139108060440005E-7</v>
      </c>
      <c r="W178">
        <v>3.8591644258007703E-8</v>
      </c>
      <c r="X178">
        <v>6.3096144686857796E-7</v>
      </c>
      <c r="Y178">
        <v>5.2762370138003298E-8</v>
      </c>
      <c r="Z178">
        <v>1.2574214860639E-15</v>
      </c>
      <c r="AA178">
        <v>4.3568952134594197E-6</v>
      </c>
      <c r="AB178">
        <v>4.0080446800658999E-6</v>
      </c>
      <c r="AC178">
        <v>1.35562355631142E-5</v>
      </c>
      <c r="AD178">
        <v>4.2714700178023401E-7</v>
      </c>
      <c r="AE178">
        <v>2.36902246863347E-6</v>
      </c>
      <c r="AF178">
        <f t="shared" si="2"/>
        <v>6.9214747348671912E-5</v>
      </c>
    </row>
    <row r="179" spans="1:32" x14ac:dyDescent="0.3">
      <c r="A179" t="str">
        <v>Sous-ensemble</v>
      </c>
      <c r="B179" t="str">
        <v>Habillage sous fauteuil</v>
      </c>
      <c r="C179" t="str">
        <v>packaging</v>
      </c>
      <c r="D179">
        <v>4.2399999999999998E-10</v>
      </c>
      <c r="E179">
        <v>4.7700000000000001E-10</v>
      </c>
      <c r="F179">
        <v>4.1200000000000002E-10</v>
      </c>
      <c r="G179">
        <v>-1.1900000000000001E-11</v>
      </c>
      <c r="H179">
        <v>1.6E-12</v>
      </c>
      <c r="I179">
        <v>3.9900000000000002E-10</v>
      </c>
      <c r="J179">
        <v>5.1199999999999999E-10</v>
      </c>
      <c r="K179">
        <v>-2.9099999999999998E-10</v>
      </c>
      <c r="L179">
        <v>7.7300000000000004E-12</v>
      </c>
      <c r="M179">
        <v>2.1500000000000001E-10</v>
      </c>
      <c r="N179">
        <v>4.3799999999999999E-10</v>
      </c>
      <c r="O179">
        <v>4.8699999999999997E-10</v>
      </c>
      <c r="P179">
        <v>9.4199999999999995E-11</v>
      </c>
      <c r="Q179">
        <v>-4.8200000000000002E-19</v>
      </c>
      <c r="R179">
        <v>4.53018380288576E-11</v>
      </c>
      <c r="S179">
        <v>3.4269112688256501E-11</v>
      </c>
      <c r="T179">
        <v>4.9549992058115699E-10</v>
      </c>
      <c r="U179">
        <v>1.58365527754137E-10</v>
      </c>
      <c r="V179">
        <v>2.8447508290561101E-10</v>
      </c>
      <c r="W179">
        <v>2.20392614780741E-11</v>
      </c>
      <c r="X179">
        <v>-7.4115892427332599E-10</v>
      </c>
      <c r="Y179">
        <v>6.0645235599710398E-9</v>
      </c>
      <c r="Z179">
        <v>1.1769311248179499E-12</v>
      </c>
      <c r="AA179">
        <v>5.0174971417419698E-10</v>
      </c>
      <c r="AB179">
        <v>5.9694382962458905E-10</v>
      </c>
      <c r="AC179">
        <v>-2.36510320004753E-10</v>
      </c>
      <c r="AD179">
        <v>1.45357635513915E-11</v>
      </c>
      <c r="AE179">
        <v>1.09162325166411E-8</v>
      </c>
      <c r="AF179">
        <f t="shared" si="2"/>
        <v>2.1322073813763148E-8</v>
      </c>
    </row>
    <row r="180" spans="1:32" x14ac:dyDescent="0.3">
      <c r="A180" t="str">
        <v>Sous-ensemble</v>
      </c>
      <c r="B180" t="str">
        <v>Habillage sous fauteuil</v>
      </c>
      <c r="C180" t="str">
        <v>Transport</v>
      </c>
      <c r="D180">
        <v>5.9200000000000001E-6</v>
      </c>
      <c r="E180">
        <v>6.7900000000000002E-6</v>
      </c>
      <c r="F180">
        <v>2.03E-8</v>
      </c>
      <c r="G180">
        <v>6.72E-6</v>
      </c>
      <c r="H180">
        <v>5.54E-8</v>
      </c>
      <c r="I180">
        <v>1.27E-5</v>
      </c>
      <c r="J180">
        <v>1.2300000000000001E-5</v>
      </c>
      <c r="K180">
        <v>2.53E-7</v>
      </c>
      <c r="L180">
        <v>1.5200000000000001E-7</v>
      </c>
      <c r="M180">
        <v>1.02E-7</v>
      </c>
      <c r="N180">
        <v>8.2199999999999992E-6</v>
      </c>
      <c r="O180">
        <v>1.01E-5</v>
      </c>
      <c r="P180">
        <v>6.5000000000000002E-7</v>
      </c>
      <c r="Q180">
        <v>1.6900000000000001E-17</v>
      </c>
      <c r="R180">
        <v>6.3270015220561102E-7</v>
      </c>
      <c r="S180">
        <v>1.7142973236567701E-8</v>
      </c>
      <c r="T180">
        <v>2.65293678855996E-6</v>
      </c>
      <c r="U180">
        <v>5.9677863724464604E-7</v>
      </c>
      <c r="V180">
        <v>2.05187072315998E-6</v>
      </c>
      <c r="W180">
        <v>1.8645522236647801E-8</v>
      </c>
      <c r="X180">
        <v>4.6146510278531497E-8</v>
      </c>
      <c r="Y180">
        <v>3.06780646127515E-7</v>
      </c>
      <c r="Z180">
        <v>2.0209138075058101E-16</v>
      </c>
      <c r="AA180">
        <v>2.0503552202785401E-6</v>
      </c>
      <c r="AB180">
        <v>7.6368184245189307E-6</v>
      </c>
      <c r="AC180">
        <v>1.12523625465704E-5</v>
      </c>
      <c r="AD180">
        <v>7.6810093438597793E-8</v>
      </c>
      <c r="AE180">
        <v>4.4433665642982302E-8</v>
      </c>
      <c r="AF180">
        <f t="shared" si="2"/>
        <v>9.1366481903717918E-5</v>
      </c>
    </row>
    <row r="181" spans="1:32" x14ac:dyDescent="0.3">
      <c r="A181" t="str">
        <v>Sous-ensemble</v>
      </c>
      <c r="B181" t="str">
        <v>Habillage sous fauteuil</v>
      </c>
      <c r="C181" t="str">
        <v>velours</v>
      </c>
      <c r="D181">
        <v>1.6199999999999999E-6</v>
      </c>
      <c r="E181">
        <v>5.6400000000000002E-6</v>
      </c>
      <c r="F181">
        <v>1.0999999999999999E-8</v>
      </c>
      <c r="G181">
        <v>5.6200000000000004E-6</v>
      </c>
      <c r="H181">
        <v>1.09E-9</v>
      </c>
      <c r="I181">
        <v>1.38E-5</v>
      </c>
      <c r="J181">
        <v>7.5100000000000001E-6</v>
      </c>
      <c r="K181">
        <v>6.2199999999999997E-6</v>
      </c>
      <c r="L181">
        <v>7.8800000000000004E-8</v>
      </c>
      <c r="M181">
        <v>7.8300000000000006E-8</v>
      </c>
      <c r="N181">
        <v>1.5200000000000001E-6</v>
      </c>
      <c r="O181">
        <v>1.7099999999999999E-6</v>
      </c>
      <c r="P181">
        <v>7.2799999999999995E-7</v>
      </c>
      <c r="Q181">
        <v>1.4600000000000001E-16</v>
      </c>
      <c r="R181">
        <v>5.8026986700632801E-7</v>
      </c>
      <c r="S181">
        <v>1.48111184657974E-7</v>
      </c>
      <c r="T181">
        <v>2.8271475784000198E-6</v>
      </c>
      <c r="U181">
        <v>3.60955065359525E-7</v>
      </c>
      <c r="V181">
        <v>2.45737085081929E-6</v>
      </c>
      <c r="W181">
        <v>2.7795357249675501E-8</v>
      </c>
      <c r="X181">
        <v>4.9523299377015303E-7</v>
      </c>
      <c r="Y181">
        <v>3.9432265185164202E-8</v>
      </c>
      <c r="Z181">
        <v>1.2452310215896801E-9</v>
      </c>
      <c r="AA181">
        <v>1.27495197245477E-6</v>
      </c>
      <c r="AB181">
        <v>2.4426824831537602E-6</v>
      </c>
      <c r="AC181">
        <v>1.35101624864994E-5</v>
      </c>
      <c r="AD181">
        <v>1.27050910137878E-6</v>
      </c>
      <c r="AE181">
        <v>6.9191393610761801E-7</v>
      </c>
      <c r="AF181">
        <f t="shared" si="2"/>
        <v>7.0664970373210062E-5</v>
      </c>
    </row>
    <row r="182" spans="1:32" x14ac:dyDescent="0.3">
      <c r="A182" t="str">
        <v>Sous-ensemble</v>
      </c>
      <c r="B182" t="str">
        <v>Manchette acc. Mobile</v>
      </c>
      <c r="C182" t="str">
        <v>A5086</v>
      </c>
      <c r="D182">
        <v>8.7700000000000004E-5</v>
      </c>
      <c r="E182">
        <v>1.3300000000000001E-4</v>
      </c>
      <c r="F182">
        <v>1.55E-7</v>
      </c>
      <c r="G182">
        <v>1.3200000000000001E-4</v>
      </c>
      <c r="H182">
        <v>7.4299999999999997E-8</v>
      </c>
      <c r="I182">
        <v>1E-4</v>
      </c>
      <c r="J182">
        <v>7.08E-5</v>
      </c>
      <c r="K182">
        <v>2.6100000000000001E-5</v>
      </c>
      <c r="L182">
        <v>3.4000000000000001E-6</v>
      </c>
      <c r="M182">
        <v>3.2300000000000002E-7</v>
      </c>
      <c r="N182">
        <v>3.5599999999999998E-5</v>
      </c>
      <c r="O182">
        <v>4.3000000000000002E-5</v>
      </c>
      <c r="P182">
        <v>3.0800000000000003E-5</v>
      </c>
      <c r="Q182">
        <v>1.5399999999999999E-14</v>
      </c>
      <c r="R182">
        <v>7.1751561771350002E-6</v>
      </c>
      <c r="S182">
        <v>2.3587529785423301E-5</v>
      </c>
      <c r="T182">
        <v>4.9458330605026597E-5</v>
      </c>
      <c r="U182">
        <v>6.9542255205086997E-6</v>
      </c>
      <c r="V182">
        <v>4.2401284075919502E-5</v>
      </c>
      <c r="W182">
        <v>4.8387273271992497E-7</v>
      </c>
      <c r="X182">
        <v>3.2799688026595402E-5</v>
      </c>
      <c r="Y182">
        <v>1.5404560948823399E-6</v>
      </c>
      <c r="Z182">
        <v>6.1887004679424204E-13</v>
      </c>
      <c r="AA182">
        <v>9.2811903122819099E-5</v>
      </c>
      <c r="AB182">
        <v>5.2847022916608699E-5</v>
      </c>
      <c r="AC182">
        <v>2.0210108282718299E-4</v>
      </c>
      <c r="AD182">
        <v>2.5939503401664399E-5</v>
      </c>
      <c r="AE182">
        <v>1.38587417741823E-5</v>
      </c>
      <c r="AF182">
        <f t="shared" si="2"/>
        <v>1.214911097694938E-3</v>
      </c>
    </row>
    <row r="183" spans="1:32" x14ac:dyDescent="0.3">
      <c r="A183" t="str">
        <v>Sous-ensemble</v>
      </c>
      <c r="B183" t="str">
        <v>Manchette acc. Mobile</v>
      </c>
      <c r="C183" t="str">
        <v>Alu</v>
      </c>
      <c r="D183">
        <v>8.1900000000000001E-7</v>
      </c>
      <c r="E183">
        <v>1.1200000000000001E-6</v>
      </c>
      <c r="F183">
        <v>1.4700000000000001E-9</v>
      </c>
      <c r="G183">
        <v>1.1200000000000001E-6</v>
      </c>
      <c r="H183">
        <v>6.8000000000000003E-10</v>
      </c>
      <c r="I183">
        <v>9.3699999999999999E-7</v>
      </c>
      <c r="J183">
        <v>6.5899999999999996E-7</v>
      </c>
      <c r="K183">
        <v>2.4600000000000001E-7</v>
      </c>
      <c r="L183">
        <v>3.1599999999999998E-8</v>
      </c>
      <c r="M183">
        <v>2.9400000000000002E-9</v>
      </c>
      <c r="N183">
        <v>3.1E-7</v>
      </c>
      <c r="O183">
        <v>3.7300000000000002E-7</v>
      </c>
      <c r="P183">
        <v>2.8299999999999998E-7</v>
      </c>
      <c r="Q183">
        <v>1.4300000000000001E-16</v>
      </c>
      <c r="R183">
        <v>7.0081833513642601E-8</v>
      </c>
      <c r="S183">
        <v>2.1313398222096E-7</v>
      </c>
      <c r="T183">
        <v>4.9411824593381303E-7</v>
      </c>
      <c r="U183">
        <v>6.1288440864410894E-8</v>
      </c>
      <c r="V183">
        <v>4.3190850793340701E-7</v>
      </c>
      <c r="W183">
        <v>4.0586728707011098E-9</v>
      </c>
      <c r="X183">
        <v>3.0310050392518897E-7</v>
      </c>
      <c r="Y183">
        <v>1.7760555159953301E-8</v>
      </c>
      <c r="Z183">
        <v>3.9618012103729596E-15</v>
      </c>
      <c r="AA183">
        <v>8.09766417095734E-7</v>
      </c>
      <c r="AB183">
        <v>4.6352819986116702E-7</v>
      </c>
      <c r="AC183">
        <v>1.7671563643053599E-6</v>
      </c>
      <c r="AD183">
        <v>2.6356825841257399E-6</v>
      </c>
      <c r="AE183">
        <v>1.25752547616701E-7</v>
      </c>
      <c r="AF183">
        <f t="shared" si="2"/>
        <v>1.3301026859531579E-5</v>
      </c>
    </row>
    <row r="184" spans="1:32" x14ac:dyDescent="0.3">
      <c r="A184" t="str">
        <v>Sous-ensemble</v>
      </c>
      <c r="B184" t="str">
        <v>Manchette acc. Mobile</v>
      </c>
      <c r="C184" t="str">
        <v>cuir</v>
      </c>
      <c r="D184">
        <v>1.5999999999999999E-5</v>
      </c>
      <c r="E184">
        <v>1.5299999999999999E-5</v>
      </c>
      <c r="F184">
        <v>0</v>
      </c>
      <c r="G184">
        <v>1.5299999999999999E-5</v>
      </c>
      <c r="H184">
        <v>0</v>
      </c>
      <c r="I184">
        <v>1.38E-5</v>
      </c>
      <c r="J184">
        <v>1.2999999999999999E-5</v>
      </c>
      <c r="K184">
        <v>5.0500000000000004E-7</v>
      </c>
      <c r="L184">
        <v>2.4299999999999999E-7</v>
      </c>
      <c r="M184">
        <v>8.5600000000000004E-7</v>
      </c>
      <c r="N184">
        <v>5.8900000000000004E-6</v>
      </c>
      <c r="O184">
        <v>7.0199999999999997E-6</v>
      </c>
      <c r="P184">
        <v>2.2399999999999998E-3</v>
      </c>
      <c r="Q184">
        <v>0</v>
      </c>
      <c r="R184">
        <v>8.5912205241963199E-7</v>
      </c>
      <c r="S184">
        <v>2.24304292602977E-3</v>
      </c>
      <c r="T184">
        <v>1.09531252475177E-5</v>
      </c>
      <c r="U184">
        <v>3.9637514750268699E-6</v>
      </c>
      <c r="V184">
        <v>6.9659979264845098E-6</v>
      </c>
      <c r="W184">
        <v>2.34728359831596E-7</v>
      </c>
      <c r="X184">
        <v>0</v>
      </c>
      <c r="Y184">
        <v>0</v>
      </c>
      <c r="Z184">
        <v>0</v>
      </c>
      <c r="AA184">
        <v>1.4266622681411801E-5</v>
      </c>
      <c r="AB184">
        <v>8.6879119527381905E-6</v>
      </c>
      <c r="AC184">
        <v>4.9966827856053297E-5</v>
      </c>
      <c r="AD184">
        <v>2.06189616099792E-7</v>
      </c>
      <c r="AE184">
        <v>1.38893531576527E-5</v>
      </c>
      <c r="AF184">
        <f t="shared" si="2"/>
        <v>4.680950556355006E-3</v>
      </c>
    </row>
    <row r="185" spans="1:32" x14ac:dyDescent="0.3">
      <c r="A185" t="str">
        <v>Sous-ensemble</v>
      </c>
      <c r="B185" t="str">
        <v>Manchette acc. Mobile</v>
      </c>
      <c r="C185" t="str">
        <v>FRMC55</v>
      </c>
      <c r="D185">
        <v>6.4500000000000001E-6</v>
      </c>
      <c r="E185">
        <v>1.77E-5</v>
      </c>
      <c r="F185">
        <v>5.6699999999999997E-9</v>
      </c>
      <c r="G185">
        <v>1.77E-5</v>
      </c>
      <c r="H185">
        <v>3.48E-9</v>
      </c>
      <c r="I185">
        <v>7.8899999999999993E-5</v>
      </c>
      <c r="J185">
        <v>1.5099999999999999E-5</v>
      </c>
      <c r="K185">
        <v>6.3700000000000003E-5</v>
      </c>
      <c r="L185">
        <v>1.01E-7</v>
      </c>
      <c r="M185">
        <v>5.9599999999999999E-7</v>
      </c>
      <c r="N185">
        <v>4.8600000000000001E-6</v>
      </c>
      <c r="O185">
        <v>5.4299999999999997E-6</v>
      </c>
      <c r="P185">
        <v>3.2899999999999998E-6</v>
      </c>
      <c r="Q185">
        <v>0</v>
      </c>
      <c r="R185">
        <v>2.8944370245085402E-6</v>
      </c>
      <c r="S185">
        <v>3.9113209883032498E-7</v>
      </c>
      <c r="T185">
        <v>1.65441600083568E-5</v>
      </c>
      <c r="U185">
        <v>1.1418399089957399E-6</v>
      </c>
      <c r="V185">
        <v>1.53797673086485E-5</v>
      </c>
      <c r="W185">
        <v>9.8539862101669997E-8</v>
      </c>
      <c r="X185">
        <v>1.46458939334545E-6</v>
      </c>
      <c r="Y185">
        <v>1.5207402142983501E-7</v>
      </c>
      <c r="Z185">
        <v>1.3875412681976799E-8</v>
      </c>
      <c r="AA185">
        <v>7.9703052187067201E-6</v>
      </c>
      <c r="AB185">
        <v>7.4073487902076099E-6</v>
      </c>
      <c r="AC185">
        <v>4.9474025835469602E-5</v>
      </c>
      <c r="AD185">
        <v>1.3733294616447101E-5</v>
      </c>
      <c r="AE185">
        <v>3.71760141669198E-6</v>
      </c>
      <c r="AF185">
        <f t="shared" si="2"/>
        <v>3.3421914091642194E-4</v>
      </c>
    </row>
    <row r="186" spans="1:32" x14ac:dyDescent="0.3">
      <c r="A186" t="str">
        <v>Sous-ensemble</v>
      </c>
      <c r="B186" t="str">
        <v>Manchette acc. Mobile</v>
      </c>
      <c r="C186" t="str">
        <v>packaging</v>
      </c>
      <c r="D186">
        <v>3.0199999999999998E-7</v>
      </c>
      <c r="E186">
        <v>3.2500000000000001E-7</v>
      </c>
      <c r="F186">
        <v>2.5100000000000001E-7</v>
      </c>
      <c r="G186">
        <v>-2.9900000000000003E-8</v>
      </c>
      <c r="H186">
        <v>9.2999999999999999E-10</v>
      </c>
      <c r="I186">
        <v>2.8000000000000002E-7</v>
      </c>
      <c r="J186">
        <v>2.22E-7</v>
      </c>
      <c r="K186">
        <v>-1.7800000000000001E-7</v>
      </c>
      <c r="L186">
        <v>4.2400000000000002E-9</v>
      </c>
      <c r="M186">
        <v>2.5800000000000001E-7</v>
      </c>
      <c r="N186">
        <v>2.8900000000000001E-7</v>
      </c>
      <c r="O186">
        <v>3.1800000000000002E-7</v>
      </c>
      <c r="P186">
        <v>6.3199999999999997E-8</v>
      </c>
      <c r="Q186">
        <v>-2.88E-16</v>
      </c>
      <c r="R186">
        <v>2.3938277305137099E-8</v>
      </c>
      <c r="S186">
        <v>1.9274542969906599E-8</v>
      </c>
      <c r="T186">
        <v>3.0396045927980902E-7</v>
      </c>
      <c r="U186">
        <v>8.92569370024083E-8</v>
      </c>
      <c r="V186">
        <v>1.59331135519518E-7</v>
      </c>
      <c r="W186">
        <v>1.33644750572188E-8</v>
      </c>
      <c r="X186">
        <v>-4.0454934166170701E-7</v>
      </c>
      <c r="Y186">
        <v>3.62506890865703E-6</v>
      </c>
      <c r="Z186">
        <v>1.60782963688802E-9</v>
      </c>
      <c r="AA186">
        <v>3.9419990052884299E-7</v>
      </c>
      <c r="AB186">
        <v>3.8993679597897398E-7</v>
      </c>
      <c r="AC186">
        <v>-7.3968500219018095E-8</v>
      </c>
      <c r="AD186">
        <v>1.58973312351402E-8</v>
      </c>
      <c r="AE186">
        <v>1.47946356527089E-5</v>
      </c>
      <c r="AF186">
        <f t="shared" si="2"/>
        <v>2.1457424403711049E-5</v>
      </c>
    </row>
    <row r="187" spans="1:32" x14ac:dyDescent="0.3">
      <c r="A187" t="str">
        <v>Sous-ensemble</v>
      </c>
      <c r="B187" t="str">
        <v>Manchette acc. Mobile</v>
      </c>
      <c r="C187" t="str">
        <v>Transport</v>
      </c>
      <c r="D187">
        <v>2.7335605265985802E-4</v>
      </c>
      <c r="E187">
        <v>4.6538776175541699E-4</v>
      </c>
      <c r="F187">
        <v>5.8414130090713305E-7</v>
      </c>
      <c r="G187">
        <v>4.6473512286391899E-4</v>
      </c>
      <c r="H187">
        <v>6.8497590591573002E-8</v>
      </c>
      <c r="I187">
        <v>8.6836781418571395E-4</v>
      </c>
      <c r="J187">
        <v>8.4789512227108105E-4</v>
      </c>
      <c r="K187">
        <v>1.3533877684852501E-5</v>
      </c>
      <c r="L187">
        <v>6.9388142297799998E-6</v>
      </c>
      <c r="M187">
        <v>4.8139400267869003E-7</v>
      </c>
      <c r="N187">
        <v>3.5179244437127499E-4</v>
      </c>
      <c r="O187">
        <v>4.2615771976928799E-4</v>
      </c>
      <c r="P187">
        <v>4.0715609872312298E-5</v>
      </c>
      <c r="Q187">
        <v>4.6910223693301901E-16</v>
      </c>
      <c r="R187">
        <v>3.9895926863377901E-5</v>
      </c>
      <c r="S187">
        <v>8.1968300846533602E-7</v>
      </c>
      <c r="T187">
        <v>1.36364657460273E-4</v>
      </c>
      <c r="U187">
        <v>3.88792396979955E-5</v>
      </c>
      <c r="V187">
        <v>9.7055120958731406E-5</v>
      </c>
      <c r="W187">
        <v>1.4625256412970099E-6</v>
      </c>
      <c r="X187">
        <v>1.36897692584451E-6</v>
      </c>
      <c r="Y187">
        <v>4.5044437403398602E-7</v>
      </c>
      <c r="Z187">
        <v>5.68168340649104E-15</v>
      </c>
      <c r="AA187">
        <v>8.1686992356785196E-5</v>
      </c>
      <c r="AB187">
        <v>4.7861702896255602E-4</v>
      </c>
      <c r="AC187">
        <v>7.8384997593828405E-4</v>
      </c>
      <c r="AD187">
        <v>2.0073191187275398E-6</v>
      </c>
      <c r="AE187">
        <v>4.6929531996081299E-7</v>
      </c>
      <c r="AF187">
        <f t="shared" si="2"/>
        <v>5.4229415591901574E-3</v>
      </c>
    </row>
    <row r="188" spans="1:32" x14ac:dyDescent="0.3">
      <c r="A188" t="str">
        <v>Sous-ensemble</v>
      </c>
      <c r="B188" t="str">
        <v>Manchette équipée</v>
      </c>
      <c r="C188" t="str">
        <v>A5086</v>
      </c>
      <c r="D188">
        <v>1.4200000000000001E-4</v>
      </c>
      <c r="E188">
        <v>2.1499999999999999E-4</v>
      </c>
      <c r="F188">
        <v>2.4999999999999999E-7</v>
      </c>
      <c r="G188">
        <v>2.14E-4</v>
      </c>
      <c r="H188">
        <v>1.1999999999999999E-7</v>
      </c>
      <c r="I188">
        <v>1.6200000000000001E-4</v>
      </c>
      <c r="J188">
        <v>1.15E-4</v>
      </c>
      <c r="K188">
        <v>4.2299999999999998E-5</v>
      </c>
      <c r="L188">
        <v>5.5099999999999998E-6</v>
      </c>
      <c r="M188">
        <v>5.2399999999999998E-7</v>
      </c>
      <c r="N188">
        <v>5.77E-5</v>
      </c>
      <c r="O188">
        <v>6.9499999999999995E-5</v>
      </c>
      <c r="P188">
        <v>4.9799999999999998E-5</v>
      </c>
      <c r="Q188">
        <v>2.49E-14</v>
      </c>
      <c r="R188">
        <v>1.1616372672587101E-5</v>
      </c>
      <c r="S188">
        <v>3.8189324470536597E-5</v>
      </c>
      <c r="T188">
        <v>8.0073905151024002E-5</v>
      </c>
      <c r="U188">
        <v>1.12589271372784E-5</v>
      </c>
      <c r="V188">
        <v>6.8648503803176204E-5</v>
      </c>
      <c r="W188">
        <v>7.8342026335871296E-7</v>
      </c>
      <c r="X188">
        <v>5.3103430106107302E-5</v>
      </c>
      <c r="Y188">
        <v>2.4940728789769399E-6</v>
      </c>
      <c r="Z188">
        <v>1.0019797611264199E-12</v>
      </c>
      <c r="AA188">
        <v>1.5026914375230601E-4</v>
      </c>
      <c r="AB188">
        <v>8.5562879540335507E-5</v>
      </c>
      <c r="AC188">
        <v>3.2721039703918103E-4</v>
      </c>
      <c r="AD188">
        <v>4.1997274326297401E-5</v>
      </c>
      <c r="AE188">
        <v>2.24379733400372E-5</v>
      </c>
      <c r="AF188">
        <f t="shared" si="2"/>
        <v>1.9673496255080821E-3</v>
      </c>
    </row>
    <row r="189" spans="1:32" x14ac:dyDescent="0.3">
      <c r="A189" t="str">
        <v>Sous-ensemble</v>
      </c>
      <c r="B189" t="str">
        <v>Manchette équipée</v>
      </c>
      <c r="C189" t="str">
        <v>acier</v>
      </c>
      <c r="D189">
        <v>2.92E-6</v>
      </c>
      <c r="E189">
        <v>7.0500000000000003E-6</v>
      </c>
      <c r="F189">
        <v>1.9500000000000001E-9</v>
      </c>
      <c r="G189">
        <v>7.0400000000000004E-6</v>
      </c>
      <c r="H189">
        <v>3.8700000000000001E-9</v>
      </c>
      <c r="I189">
        <v>2.34E-6</v>
      </c>
      <c r="J189">
        <v>1.86E-6</v>
      </c>
      <c r="K189">
        <v>4.6400000000000003E-7</v>
      </c>
      <c r="L189">
        <v>1.9799999999999999E-8</v>
      </c>
      <c r="M189">
        <v>5.0400000000000001E-8</v>
      </c>
      <c r="N189">
        <v>1.59E-6</v>
      </c>
      <c r="O189">
        <v>1.88E-6</v>
      </c>
      <c r="P189">
        <v>8.3699999999999999E-7</v>
      </c>
      <c r="Q189">
        <v>-5.3400000000000001E-18</v>
      </c>
      <c r="R189">
        <v>7.7635705286349305E-8</v>
      </c>
      <c r="S189">
        <v>7.59221181288131E-7</v>
      </c>
      <c r="T189">
        <v>2.6423732854471799E-6</v>
      </c>
      <c r="U189">
        <v>2.3060045919612399E-6</v>
      </c>
      <c r="V189">
        <v>3.3480132837010899E-7</v>
      </c>
      <c r="W189">
        <v>2.7691329710029999E-8</v>
      </c>
      <c r="X189">
        <v>2.6825192814406699E-8</v>
      </c>
      <c r="Y189">
        <v>6.8632185932206304E-8</v>
      </c>
      <c r="Z189">
        <v>6.7471131095250202E-14</v>
      </c>
      <c r="AA189">
        <v>1.2096330795322601E-5</v>
      </c>
      <c r="AB189">
        <v>2.6888212138326098E-6</v>
      </c>
      <c r="AC189">
        <v>1.01844396759063E-5</v>
      </c>
      <c r="AD189">
        <v>1.82013628185793E-6</v>
      </c>
      <c r="AE189">
        <v>3.5122439635279001E-5</v>
      </c>
      <c r="AF189">
        <f t="shared" si="2"/>
        <v>9.4212372470473882E-5</v>
      </c>
    </row>
    <row r="190" spans="1:32" x14ac:dyDescent="0.3">
      <c r="A190" t="str">
        <v>Sous-ensemble</v>
      </c>
      <c r="B190" t="str">
        <v>Manchette équipée</v>
      </c>
      <c r="C190" t="str">
        <v>cuir</v>
      </c>
      <c r="D190">
        <v>2.4700000000000001E-5</v>
      </c>
      <c r="E190">
        <v>2.3600000000000001E-5</v>
      </c>
      <c r="F190">
        <v>0</v>
      </c>
      <c r="G190">
        <v>2.3600000000000001E-5</v>
      </c>
      <c r="H190">
        <v>0</v>
      </c>
      <c r="I190">
        <v>2.12E-5</v>
      </c>
      <c r="J190">
        <v>2.0000000000000002E-5</v>
      </c>
      <c r="K190">
        <v>7.7800000000000001E-7</v>
      </c>
      <c r="L190">
        <v>3.7399999999999999E-7</v>
      </c>
      <c r="M190">
        <v>1.3200000000000001E-6</v>
      </c>
      <c r="N190">
        <v>9.0699999999999996E-6</v>
      </c>
      <c r="O190">
        <v>1.08E-5</v>
      </c>
      <c r="P190">
        <v>3.4499999999999999E-3</v>
      </c>
      <c r="Q190">
        <v>0</v>
      </c>
      <c r="R190">
        <v>1.32172623449174E-6</v>
      </c>
      <c r="S190">
        <v>3.4508352708150299E-3</v>
      </c>
      <c r="T190">
        <v>1.68509619192579E-5</v>
      </c>
      <c r="U190">
        <v>6.0980791923490301E-6</v>
      </c>
      <c r="V190">
        <v>1.0716919886899199E-5</v>
      </c>
      <c r="W190">
        <v>3.6112055358707101E-7</v>
      </c>
      <c r="X190">
        <v>0</v>
      </c>
      <c r="Y190">
        <v>0</v>
      </c>
      <c r="Z190">
        <v>0</v>
      </c>
      <c r="AA190">
        <v>2.1948650279095102E-5</v>
      </c>
      <c r="AB190">
        <v>1.3366018388828001E-5</v>
      </c>
      <c r="AC190">
        <v>7.6872042855466604E-5</v>
      </c>
      <c r="AD190">
        <v>3.1721479399967902E-7</v>
      </c>
      <c r="AE190">
        <v>2.1368235627157999E-5</v>
      </c>
      <c r="AF190">
        <f t="shared" si="2"/>
        <v>7.205498240546164E-3</v>
      </c>
    </row>
    <row r="191" spans="1:32" x14ac:dyDescent="0.3">
      <c r="A191" t="str">
        <v>Sous-ensemble</v>
      </c>
      <c r="B191" t="str">
        <v>Manchette équipée</v>
      </c>
      <c r="C191" t="str">
        <v>FRMC55</v>
      </c>
      <c r="D191">
        <v>6.4500000000000001E-6</v>
      </c>
      <c r="E191">
        <v>1.77E-5</v>
      </c>
      <c r="F191">
        <v>5.6699999999999997E-9</v>
      </c>
      <c r="G191">
        <v>1.77E-5</v>
      </c>
      <c r="H191">
        <v>3.48E-9</v>
      </c>
      <c r="I191">
        <v>7.8899999999999993E-5</v>
      </c>
      <c r="J191">
        <v>1.5099999999999999E-5</v>
      </c>
      <c r="K191">
        <v>6.3700000000000003E-5</v>
      </c>
      <c r="L191">
        <v>1.01E-7</v>
      </c>
      <c r="M191">
        <v>5.9599999999999999E-7</v>
      </c>
      <c r="N191">
        <v>4.8600000000000001E-6</v>
      </c>
      <c r="O191">
        <v>5.4299999999999997E-6</v>
      </c>
      <c r="P191">
        <v>3.2899999999999998E-6</v>
      </c>
      <c r="Q191">
        <v>0</v>
      </c>
      <c r="R191">
        <v>2.8944370245085402E-6</v>
      </c>
      <c r="S191">
        <v>3.9113209883032498E-7</v>
      </c>
      <c r="T191">
        <v>1.65441600083568E-5</v>
      </c>
      <c r="U191">
        <v>1.1418399089957399E-6</v>
      </c>
      <c r="V191">
        <v>1.53797673086485E-5</v>
      </c>
      <c r="W191">
        <v>9.8539862101669997E-8</v>
      </c>
      <c r="X191">
        <v>1.46458939334545E-6</v>
      </c>
      <c r="Y191">
        <v>1.5207402142983501E-7</v>
      </c>
      <c r="Z191">
        <v>1.3875412681976799E-8</v>
      </c>
      <c r="AA191">
        <v>7.9703052187067201E-6</v>
      </c>
      <c r="AB191">
        <v>7.4073487902076099E-6</v>
      </c>
      <c r="AC191">
        <v>4.9474025835469602E-5</v>
      </c>
      <c r="AD191">
        <v>1.3733294616447101E-5</v>
      </c>
      <c r="AE191">
        <v>3.71760141669198E-6</v>
      </c>
      <c r="AF191">
        <f t="shared" si="2"/>
        <v>3.3421914091642194E-4</v>
      </c>
    </row>
    <row r="192" spans="1:32" x14ac:dyDescent="0.3">
      <c r="A192" t="str">
        <v>Sous-ensemble</v>
      </c>
      <c r="B192" t="str">
        <v>Manchette équipée</v>
      </c>
      <c r="C192" t="str">
        <v>packaging</v>
      </c>
      <c r="D192">
        <v>3.0199999999999998E-7</v>
      </c>
      <c r="E192">
        <v>3.2500000000000001E-7</v>
      </c>
      <c r="F192">
        <v>2.5100000000000001E-7</v>
      </c>
      <c r="G192">
        <v>-2.9900000000000003E-8</v>
      </c>
      <c r="H192">
        <v>9.2999999999999999E-10</v>
      </c>
      <c r="I192">
        <v>2.8000000000000002E-7</v>
      </c>
      <c r="J192">
        <v>2.22E-7</v>
      </c>
      <c r="K192">
        <v>-1.7800000000000001E-7</v>
      </c>
      <c r="L192">
        <v>4.2400000000000002E-9</v>
      </c>
      <c r="M192">
        <v>2.5800000000000001E-7</v>
      </c>
      <c r="N192">
        <v>2.8900000000000001E-7</v>
      </c>
      <c r="O192">
        <v>3.1800000000000002E-7</v>
      </c>
      <c r="P192">
        <v>6.3199999999999997E-8</v>
      </c>
      <c r="Q192">
        <v>-2.88E-16</v>
      </c>
      <c r="R192">
        <v>2.3938277305137099E-8</v>
      </c>
      <c r="S192">
        <v>1.9274542969906599E-8</v>
      </c>
      <c r="T192">
        <v>3.0396045927980902E-7</v>
      </c>
      <c r="U192">
        <v>8.92569370024083E-8</v>
      </c>
      <c r="V192">
        <v>1.59331135519518E-7</v>
      </c>
      <c r="W192">
        <v>1.33644750572188E-8</v>
      </c>
      <c r="X192">
        <v>-4.0454934166170701E-7</v>
      </c>
      <c r="Y192">
        <v>3.62506890865703E-6</v>
      </c>
      <c r="Z192">
        <v>1.60782963688802E-9</v>
      </c>
      <c r="AA192">
        <v>3.9419990052884299E-7</v>
      </c>
      <c r="AB192">
        <v>3.8993679597897398E-7</v>
      </c>
      <c r="AC192">
        <v>-7.3968500219018095E-8</v>
      </c>
      <c r="AD192">
        <v>1.58973312351402E-8</v>
      </c>
      <c r="AE192">
        <v>1.47946356527089E-5</v>
      </c>
      <c r="AF192">
        <f t="shared" si="2"/>
        <v>2.1457424403711049E-5</v>
      </c>
    </row>
    <row r="193" spans="1:32" x14ac:dyDescent="0.3">
      <c r="A193" t="str">
        <v>Sous-ensemble</v>
      </c>
      <c r="B193" t="str">
        <v>Manchette équipée</v>
      </c>
      <c r="C193" t="str">
        <v>Transport</v>
      </c>
      <c r="D193">
        <v>3.1000018300124301E-4</v>
      </c>
      <c r="E193">
        <v>5.2825269635641795E-4</v>
      </c>
      <c r="F193">
        <v>6.6132794161528299E-7</v>
      </c>
      <c r="G193">
        <v>5.2752155986239503E-4</v>
      </c>
      <c r="H193">
        <v>6.9808552407726697E-8</v>
      </c>
      <c r="I193">
        <v>9.8566197101033494E-4</v>
      </c>
      <c r="J193">
        <v>9.6243925506403895E-4</v>
      </c>
      <c r="K193">
        <v>1.5353950458580499E-5</v>
      </c>
      <c r="L193">
        <v>7.8687654877158104E-6</v>
      </c>
      <c r="M193">
        <v>5.3263636400450196E-7</v>
      </c>
      <c r="N193">
        <v>3.9886283835597898E-4</v>
      </c>
      <c r="O193">
        <v>4.8316349421066002E-4</v>
      </c>
      <c r="P193">
        <v>4.6207425753465001E-5</v>
      </c>
      <c r="Q193">
        <v>5.3100731961855599E-16</v>
      </c>
      <c r="R193">
        <v>4.5277774266331198E-5</v>
      </c>
      <c r="S193">
        <v>9.2965148660281795E-7</v>
      </c>
      <c r="T193">
        <v>1.54688336685507E-4</v>
      </c>
      <c r="U193">
        <v>4.4126826728020499E-5</v>
      </c>
      <c r="V193">
        <v>1.10072797342872E-4</v>
      </c>
      <c r="W193">
        <v>1.66047964308986E-6</v>
      </c>
      <c r="X193">
        <v>1.55008365197197E-6</v>
      </c>
      <c r="Y193">
        <v>4.67501602835397E-7</v>
      </c>
      <c r="Z193">
        <v>6.4317914681749002E-15</v>
      </c>
      <c r="AA193">
        <v>9.2596222785938995E-5</v>
      </c>
      <c r="AB193">
        <v>5.4317431998246598E-4</v>
      </c>
      <c r="AC193">
        <v>8.8976102079083399E-4</v>
      </c>
      <c r="AD193">
        <v>2.2715403001139198E-6</v>
      </c>
      <c r="AE193">
        <v>5.2720621987979895E-7</v>
      </c>
      <c r="AF193">
        <f t="shared" si="2"/>
        <v>6.1536996739122831E-3</v>
      </c>
    </row>
    <row r="194" spans="1:32" x14ac:dyDescent="0.3">
      <c r="A194" t="str">
        <v>Sous-ensemble</v>
      </c>
      <c r="B194" t="str">
        <v>Manchette équipée</v>
      </c>
      <c r="C194" t="str">
        <v>velcro</v>
      </c>
      <c r="D194">
        <v>1.39134960808587E-6</v>
      </c>
      <c r="E194">
        <v>4.8300158004458299E-6</v>
      </c>
      <c r="F194">
        <v>9.4285701993298E-9</v>
      </c>
      <c r="G194">
        <v>4.8196560865333402E-6</v>
      </c>
      <c r="H194">
        <v>9.3114371316628199E-10</v>
      </c>
      <c r="I194">
        <v>1.1827967048405701E-5</v>
      </c>
      <c r="J194">
        <v>6.43318036663788E-6</v>
      </c>
      <c r="K194">
        <v>5.3272465912637302E-6</v>
      </c>
      <c r="L194">
        <v>6.7540090504136001E-8</v>
      </c>
      <c r="M194">
        <v>6.7144949479888896E-8</v>
      </c>
      <c r="N194">
        <v>1.30576901664925E-6</v>
      </c>
      <c r="O194">
        <v>1.4663975012764701E-6</v>
      </c>
      <c r="P194">
        <v>6.24326615837754E-7</v>
      </c>
      <c r="Q194">
        <v>1.25495780521026E-16</v>
      </c>
      <c r="R194">
        <v>4.9737417171971003E-7</v>
      </c>
      <c r="S194">
        <v>1.26952443992549E-7</v>
      </c>
      <c r="T194">
        <v>2.4232693529143E-6</v>
      </c>
      <c r="U194">
        <v>3.0939005602245001E-7</v>
      </c>
      <c r="V194">
        <v>2.1063178721308201E-6</v>
      </c>
      <c r="W194">
        <v>2.38245919282933E-8</v>
      </c>
      <c r="X194">
        <v>4.2448542323155999E-7</v>
      </c>
      <c r="Y194">
        <v>3.3799084444426498E-8</v>
      </c>
      <c r="Z194">
        <v>1.0673408756482999E-9</v>
      </c>
      <c r="AA194">
        <v>1.0928159763898E-6</v>
      </c>
      <c r="AB194">
        <v>2.09372784270323E-6</v>
      </c>
      <c r="AC194">
        <v>1.1580139274142299E-5</v>
      </c>
      <c r="AD194">
        <v>1.08900780118182E-6</v>
      </c>
      <c r="AE194">
        <v>5.9306908809224801E-7</v>
      </c>
      <c r="AF194">
        <f t="shared" si="2"/>
        <v>6.0566193708926994E-5</v>
      </c>
    </row>
    <row r="195" spans="1:32" x14ac:dyDescent="0.3">
      <c r="A195" t="str">
        <v>Sous-ensemble</v>
      </c>
      <c r="B195" t="str">
        <v>Renfort tubulaire</v>
      </c>
      <c r="C195" t="str">
        <v>A5086</v>
      </c>
      <c r="D195">
        <v>7.5000000000000002E-4</v>
      </c>
      <c r="E195">
        <v>1.16E-3</v>
      </c>
      <c r="F195">
        <v>1.37E-6</v>
      </c>
      <c r="G195">
        <v>1.16E-3</v>
      </c>
      <c r="H195">
        <v>4.4999999999999998E-7</v>
      </c>
      <c r="I195">
        <v>8.8999999999999995E-4</v>
      </c>
      <c r="J195">
        <v>6.1799999999999995E-4</v>
      </c>
      <c r="K195">
        <v>2.42E-4</v>
      </c>
      <c r="L195">
        <v>3.01E-5</v>
      </c>
      <c r="M195">
        <v>2.48E-6</v>
      </c>
      <c r="N195">
        <v>3.0600000000000001E-4</v>
      </c>
      <c r="O195">
        <v>3.6900000000000002E-4</v>
      </c>
      <c r="P195">
        <v>2.7099999999999997E-4</v>
      </c>
      <c r="Q195">
        <v>1.48E-13</v>
      </c>
      <c r="R195">
        <v>6.2606073433672896E-5</v>
      </c>
      <c r="S195">
        <v>2.0819054687005699E-4</v>
      </c>
      <c r="T195">
        <v>4.3179644437323501E-4</v>
      </c>
      <c r="U195">
        <v>5.9719214645657899E-5</v>
      </c>
      <c r="V195">
        <v>3.7118203232508099E-4</v>
      </c>
      <c r="W195">
        <v>4.2346699979525798E-6</v>
      </c>
      <c r="X195">
        <v>3.1228088590632401E-4</v>
      </c>
      <c r="Y195">
        <v>1.1343717417628999E-5</v>
      </c>
      <c r="Z195">
        <v>5.49865476205086E-12</v>
      </c>
      <c r="AA195">
        <v>7.9697707148813001E-4</v>
      </c>
      <c r="AB195">
        <v>4.5405812080355501E-4</v>
      </c>
      <c r="AC195">
        <v>1.7832842838998799E-3</v>
      </c>
      <c r="AD195">
        <v>2.29748345799901E-4</v>
      </c>
      <c r="AE195">
        <v>1.21978587530894E-4</v>
      </c>
      <c r="AF195">
        <f t="shared" ref="AF195:AF258" si="3">SUM(D195:AE195)</f>
        <v>1.0647800000138624E-2</v>
      </c>
    </row>
    <row r="196" spans="1:32" x14ac:dyDescent="0.3">
      <c r="A196" t="str">
        <v>Sous-ensemble</v>
      </c>
      <c r="B196" t="str">
        <v>Renfort tubulaire</v>
      </c>
      <c r="C196" t="str">
        <v>A6060</v>
      </c>
      <c r="D196">
        <v>2.4800000000000001E-4</v>
      </c>
      <c r="E196">
        <v>4.6299999999999998E-4</v>
      </c>
      <c r="F196">
        <v>4.9999999999999998E-7</v>
      </c>
      <c r="G196">
        <v>4.6299999999999998E-4</v>
      </c>
      <c r="H196">
        <v>1.23E-7</v>
      </c>
      <c r="I196">
        <v>4.1399999999999998E-4</v>
      </c>
      <c r="J196">
        <v>2.7E-4</v>
      </c>
      <c r="K196">
        <v>1.3300000000000001E-4</v>
      </c>
      <c r="L196">
        <v>1.0900000000000001E-5</v>
      </c>
      <c r="M196">
        <v>8.1699999999999997E-7</v>
      </c>
      <c r="N196">
        <v>1.2E-4</v>
      </c>
      <c r="O196">
        <v>1.44E-4</v>
      </c>
      <c r="P196">
        <v>8.6399999999999999E-5</v>
      </c>
      <c r="Q196">
        <v>9.6800000000000002E-14</v>
      </c>
      <c r="R196">
        <v>2.2866012289112301E-5</v>
      </c>
      <c r="S196">
        <v>6.3537168317164702E-5</v>
      </c>
      <c r="T196">
        <v>1.5777416206086601E-4</v>
      </c>
      <c r="U196">
        <v>2.54121931876626E-5</v>
      </c>
      <c r="V196">
        <v>1.3205353768390801E-4</v>
      </c>
      <c r="W196">
        <v>1.68371092939581E-6</v>
      </c>
      <c r="X196">
        <v>1.9550512883425799E-4</v>
      </c>
      <c r="Y196">
        <v>5.3770688222887496E-6</v>
      </c>
      <c r="Z196">
        <v>2.2732633420145E-12</v>
      </c>
      <c r="AA196">
        <v>2.3801865738908899E-4</v>
      </c>
      <c r="AB196">
        <v>1.7285032033937899E-4</v>
      </c>
      <c r="AC196">
        <v>7.6429198998178595E-4</v>
      </c>
      <c r="AD196">
        <v>8.5901251172318095E-5</v>
      </c>
      <c r="AE196">
        <v>2.2379941789899001E-5</v>
      </c>
      <c r="AF196">
        <f t="shared" si="3"/>
        <v>4.2413911451671905E-3</v>
      </c>
    </row>
    <row r="197" spans="1:32" x14ac:dyDescent="0.3">
      <c r="A197" t="str">
        <v>Sous-ensemble</v>
      </c>
      <c r="B197" t="str">
        <v>Renfort tubulaire</v>
      </c>
      <c r="C197" t="str">
        <v>acier</v>
      </c>
      <c r="D197">
        <v>8.0900000000000005E-6</v>
      </c>
      <c r="E197">
        <v>2.0999999999999999E-5</v>
      </c>
      <c r="F197">
        <v>8.5500000000000005E-9</v>
      </c>
      <c r="G197">
        <v>2.0999999999999999E-5</v>
      </c>
      <c r="H197">
        <v>5.9799999999999996E-9</v>
      </c>
      <c r="I197">
        <v>6.7700000000000004E-6</v>
      </c>
      <c r="J197">
        <v>4.9799999999999998E-6</v>
      </c>
      <c r="K197">
        <v>1.7600000000000001E-6</v>
      </c>
      <c r="L197">
        <v>3.47E-8</v>
      </c>
      <c r="M197">
        <v>4.36E-8</v>
      </c>
      <c r="N197">
        <v>5.2700000000000004E-6</v>
      </c>
      <c r="O197">
        <v>6.1299999999999998E-6</v>
      </c>
      <c r="P197">
        <v>8.6700000000000002E-7</v>
      </c>
      <c r="Q197">
        <v>6.6499999999999996E-16</v>
      </c>
      <c r="R197">
        <v>3.0994143451719402E-7</v>
      </c>
      <c r="S197">
        <v>5.5730304326528497E-7</v>
      </c>
      <c r="T197">
        <v>7.9214891219710099E-6</v>
      </c>
      <c r="U197">
        <v>6.4318902235831203E-6</v>
      </c>
      <c r="V197">
        <v>1.4850282886012101E-6</v>
      </c>
      <c r="W197">
        <v>8.1708600253928194E-8</v>
      </c>
      <c r="X197">
        <v>1.33591034093157E-6</v>
      </c>
      <c r="Y197">
        <v>1.11711731721858E-7</v>
      </c>
      <c r="Z197">
        <v>2.6622900249754701E-15</v>
      </c>
      <c r="AA197">
        <v>9.2246862290906603E-6</v>
      </c>
      <c r="AB197">
        <v>8.4860784467724406E-6</v>
      </c>
      <c r="AC197">
        <v>2.8702094815375499E-5</v>
      </c>
      <c r="AD197">
        <v>9.0438187564094504E-7</v>
      </c>
      <c r="AE197">
        <v>5.0158399208912297E-6</v>
      </c>
      <c r="AF197">
        <f t="shared" si="3"/>
        <v>1.4652789407594322E-4</v>
      </c>
    </row>
    <row r="198" spans="1:32" x14ac:dyDescent="0.3">
      <c r="A198" t="str">
        <v>Sous-ensemble</v>
      </c>
      <c r="B198" t="str">
        <v>Renfort tubulaire</v>
      </c>
      <c r="C198" t="str">
        <v>packaging</v>
      </c>
      <c r="D198">
        <v>4.0399999999999999E-5</v>
      </c>
      <c r="E198">
        <v>7.6500000000000003E-5</v>
      </c>
      <c r="F198">
        <v>5.5899999999999997E-5</v>
      </c>
      <c r="G198">
        <v>-8.1799999999999996E-5</v>
      </c>
      <c r="H198">
        <v>-2.3200000000000001E-7</v>
      </c>
      <c r="I198">
        <v>1.15E-4</v>
      </c>
      <c r="J198">
        <v>-5.7500000000000002E-5</v>
      </c>
      <c r="K198">
        <v>-8.2700000000000004E-5</v>
      </c>
      <c r="L198">
        <v>-4.4900000000000001E-7</v>
      </c>
      <c r="M198">
        <v>2.0100000000000001E-4</v>
      </c>
      <c r="N198">
        <v>9.8400000000000007E-6</v>
      </c>
      <c r="O198">
        <v>1.3699999999999999E-5</v>
      </c>
      <c r="P198">
        <v>5.0500000000000001E-5</v>
      </c>
      <c r="Q198">
        <v>-6.64E-14</v>
      </c>
      <c r="R198">
        <v>-5.4788699348811402E-6</v>
      </c>
      <c r="S198">
        <v>-9.1388646183743497E-6</v>
      </c>
      <c r="T198">
        <v>9.8150415547701298E-6</v>
      </c>
      <c r="U198">
        <v>-2.1507799660178799E-5</v>
      </c>
      <c r="V198">
        <v>-3.6552513022324402E-5</v>
      </c>
      <c r="W198">
        <v>2.5259639160070702E-6</v>
      </c>
      <c r="X198">
        <v>-8.1836773603843901E-5</v>
      </c>
      <c r="Y198">
        <v>-7.6028410024346898E-4</v>
      </c>
      <c r="Z198">
        <v>1.30976473883274E-6</v>
      </c>
      <c r="AA198">
        <v>8.2462755182820396E-5</v>
      </c>
      <c r="AB198">
        <v>7.0287829557045804E-5</v>
      </c>
      <c r="AC198">
        <v>-1.83606441431465E-5</v>
      </c>
      <c r="AD198">
        <v>2.5730663265623701E-5</v>
      </c>
      <c r="AE198">
        <v>1.0877594801581E-2</v>
      </c>
      <c r="AF198">
        <f t="shared" si="3"/>
        <v>1.0476726254503481E-2</v>
      </c>
    </row>
    <row r="199" spans="1:32" x14ac:dyDescent="0.3">
      <c r="A199" t="str">
        <v>Sous-ensemble</v>
      </c>
      <c r="B199" t="str">
        <v>Renfort tubulaire</v>
      </c>
      <c r="C199" t="str">
        <v>Transport</v>
      </c>
      <c r="D199">
        <v>1.59E-5</v>
      </c>
      <c r="E199">
        <v>1.8199999999999999E-5</v>
      </c>
      <c r="F199">
        <v>5.4599999999999999E-8</v>
      </c>
      <c r="G199">
        <v>1.8E-5</v>
      </c>
      <c r="H199">
        <v>1.49E-7</v>
      </c>
      <c r="I199">
        <v>3.4199999999999998E-5</v>
      </c>
      <c r="J199">
        <v>3.3099999999999998E-5</v>
      </c>
      <c r="K199">
        <v>6.7999999999999995E-7</v>
      </c>
      <c r="L199">
        <v>4.0699999999999998E-7</v>
      </c>
      <c r="M199">
        <v>2.7300000000000002E-7</v>
      </c>
      <c r="N199">
        <v>2.2099999999999998E-5</v>
      </c>
      <c r="O199">
        <v>2.6999999999999999E-5</v>
      </c>
      <c r="P199">
        <v>1.75E-6</v>
      </c>
      <c r="Q199">
        <v>4.5299999999999998E-17</v>
      </c>
      <c r="R199">
        <v>1.69931671291906E-6</v>
      </c>
      <c r="S199">
        <v>4.6042885920717902E-8</v>
      </c>
      <c r="T199">
        <v>7.1253022579528903E-6</v>
      </c>
      <c r="U199">
        <v>1.6028381037173001E-6</v>
      </c>
      <c r="V199">
        <v>5.5109489075671602E-6</v>
      </c>
      <c r="W199">
        <v>5.0078457303014698E-8</v>
      </c>
      <c r="X199">
        <v>1.2394107364418101E-7</v>
      </c>
      <c r="Y199">
        <v>8.2395662044219E-7</v>
      </c>
      <c r="Z199">
        <v>5.42780430270468E-16</v>
      </c>
      <c r="AA199">
        <v>5.5068785444323797E-6</v>
      </c>
      <c r="AB199">
        <v>2.0511095401311001E-5</v>
      </c>
      <c r="AC199">
        <v>3.0221784629819E-5</v>
      </c>
      <c r="AD199">
        <v>2.06297841159152E-7</v>
      </c>
      <c r="AE199">
        <v>1.1934068670627101E-7</v>
      </c>
      <c r="AF199">
        <f t="shared" si="3"/>
        <v>2.4536142212348242E-4</v>
      </c>
    </row>
    <row r="200" spans="1:32" x14ac:dyDescent="0.3">
      <c r="A200" t="str">
        <v>Sous-ensemble</v>
      </c>
      <c r="B200" t="str">
        <v>Stowage assemblé avec porte</v>
      </c>
      <c r="C200" t="str">
        <v>35NC6</v>
      </c>
      <c r="D200">
        <v>1.1283558356860099E-6</v>
      </c>
      <c r="E200">
        <v>2.9300123814515802E-6</v>
      </c>
      <c r="F200">
        <v>1.19232294246957E-9</v>
      </c>
      <c r="G200">
        <v>2.9279858150122198E-6</v>
      </c>
      <c r="H200">
        <v>8.3424349689185198E-10</v>
      </c>
      <c r="I200">
        <v>9.4430098510054099E-7</v>
      </c>
      <c r="J200">
        <v>6.9398451761372196E-7</v>
      </c>
      <c r="K200">
        <v>2.4548260130402999E-7</v>
      </c>
      <c r="L200">
        <v>4.8338661827890796E-9</v>
      </c>
      <c r="M200">
        <v>6.0863057860262797E-9</v>
      </c>
      <c r="N200">
        <v>7.34912818335895E-7</v>
      </c>
      <c r="O200">
        <v>8.5558757212022101E-7</v>
      </c>
      <c r="P200">
        <v>1.20954599504476E-7</v>
      </c>
      <c r="Q200">
        <v>9.2693324029356294E-17</v>
      </c>
      <c r="R200">
        <v>4.3227536194866599E-8</v>
      </c>
      <c r="S200">
        <v>7.7727063216915604E-8</v>
      </c>
      <c r="T200">
        <v>1.1048101983223201E-6</v>
      </c>
      <c r="U200">
        <v>8.9705581918871999E-7</v>
      </c>
      <c r="V200">
        <v>2.0711691612290199E-7</v>
      </c>
      <c r="W200">
        <v>1.1395899617005301E-8</v>
      </c>
      <c r="X200">
        <v>1.86319433881669E-7</v>
      </c>
      <c r="Y200">
        <v>1.5580436781291098E-8</v>
      </c>
      <c r="Z200">
        <v>3.7130962691429201E-16</v>
      </c>
      <c r="AA200">
        <v>1.2865671170279899E-6</v>
      </c>
      <c r="AB200">
        <v>1.1835534793267001E-6</v>
      </c>
      <c r="AC200">
        <v>4.0030815642085796E-6</v>
      </c>
      <c r="AD200">
        <v>1.26134152809058E-7</v>
      </c>
      <c r="AE200">
        <v>6.9955926372262305E-7</v>
      </c>
      <c r="AF200">
        <f t="shared" si="3"/>
        <v>2.0436652745421515E-5</v>
      </c>
    </row>
    <row r="201" spans="1:32" x14ac:dyDescent="0.3">
      <c r="A201" t="str">
        <v>Sous-ensemble</v>
      </c>
      <c r="B201" t="str">
        <v>Stowage assemblé avec porte</v>
      </c>
      <c r="C201" t="str">
        <v>A2017</v>
      </c>
      <c r="D201">
        <v>5.4346719461876103E-3</v>
      </c>
      <c r="E201">
        <v>9.0319912222121997E-3</v>
      </c>
      <c r="F201">
        <v>1.12953230233286E-5</v>
      </c>
      <c r="G201">
        <v>8.8598081447459898E-3</v>
      </c>
      <c r="H201">
        <v>3.9557000846931999E-6</v>
      </c>
      <c r="I201">
        <v>7.1205287464126202E-3</v>
      </c>
      <c r="J201">
        <v>4.3379408372063496E-3</v>
      </c>
      <c r="K201">
        <v>2.2581510513011399E-3</v>
      </c>
      <c r="L201">
        <v>1.7534154557894099E-4</v>
      </c>
      <c r="M201">
        <v>8.2949805272972498E-5</v>
      </c>
      <c r="N201">
        <v>2.6123338687467999E-3</v>
      </c>
      <c r="O201">
        <v>3.1447407462523299E-3</v>
      </c>
      <c r="P201">
        <v>1.6889764554992299E-3</v>
      </c>
      <c r="Q201">
        <v>1.2449570490229699E-12</v>
      </c>
      <c r="R201">
        <v>4.00155793756433E-4</v>
      </c>
      <c r="S201">
        <v>1.24920770171017E-3</v>
      </c>
      <c r="T201">
        <v>3.0051919390878101E-3</v>
      </c>
      <c r="U201">
        <v>5.0989771324396599E-4</v>
      </c>
      <c r="V201">
        <v>2.4238884754883899E-3</v>
      </c>
      <c r="W201">
        <v>3.5032170336114997E-5</v>
      </c>
      <c r="X201">
        <v>3.1105859320342301E-3</v>
      </c>
      <c r="Y201">
        <v>1.4714308257238699E-4</v>
      </c>
      <c r="Z201">
        <v>5.2273895499128298E-6</v>
      </c>
      <c r="AA201">
        <v>4.9972739468585802E-3</v>
      </c>
      <c r="AB201">
        <v>3.8128928307011498E-3</v>
      </c>
      <c r="AC201">
        <v>1.59745176946481E-2</v>
      </c>
      <c r="AD201">
        <v>1.43363615538349E-2</v>
      </c>
      <c r="AE201">
        <v>1.25550233791216E-3</v>
      </c>
      <c r="AF201">
        <f t="shared" si="3"/>
        <v>9.6025563955503462E-2</v>
      </c>
    </row>
    <row r="202" spans="1:32" x14ac:dyDescent="0.3">
      <c r="A202" t="str">
        <v>Sous-ensemble</v>
      </c>
      <c r="B202" t="str">
        <v>Stowage assemblé avec porte</v>
      </c>
      <c r="C202" t="str">
        <v>A5086</v>
      </c>
      <c r="D202">
        <v>1.9809641217232001E-3</v>
      </c>
      <c r="E202">
        <v>3.0752072211265502E-3</v>
      </c>
      <c r="F202">
        <v>3.6558309713339999E-6</v>
      </c>
      <c r="G202">
        <v>3.0703611484647199E-3</v>
      </c>
      <c r="H202">
        <v>1.19024169049022E-6</v>
      </c>
      <c r="I202">
        <v>2.3752714877276998E-3</v>
      </c>
      <c r="J202">
        <v>1.6555158842942899E-3</v>
      </c>
      <c r="K202">
        <v>6.4022315532988804E-4</v>
      </c>
      <c r="L202">
        <v>7.9532448103513995E-5</v>
      </c>
      <c r="M202">
        <v>6.5968168793732502E-6</v>
      </c>
      <c r="N202">
        <v>8.0896983148313797E-4</v>
      </c>
      <c r="O202">
        <v>9.7461772726216303E-4</v>
      </c>
      <c r="P202">
        <v>7.1585827102054898E-4</v>
      </c>
      <c r="Q202">
        <v>3.8987293505356599E-13</v>
      </c>
      <c r="R202">
        <v>1.66214951110841E-4</v>
      </c>
      <c r="S202">
        <v>5.4964331951983501E-4</v>
      </c>
      <c r="T202">
        <v>1.14710873634992E-3</v>
      </c>
      <c r="U202">
        <v>1.6170864045868301E-4</v>
      </c>
      <c r="V202">
        <v>9.8300632394154809E-4</v>
      </c>
      <c r="W202">
        <v>1.12392477198357E-5</v>
      </c>
      <c r="X202">
        <v>8.2478958675919097E-4</v>
      </c>
      <c r="Y202">
        <v>3.0015136982454801E-5</v>
      </c>
      <c r="Z202">
        <v>1.4515905550665399E-11</v>
      </c>
      <c r="AA202">
        <v>2.1050737026711199E-3</v>
      </c>
      <c r="AB202">
        <v>1.2039771241182701E-3</v>
      </c>
      <c r="AC202">
        <v>4.7308278223504299E-3</v>
      </c>
      <c r="AD202">
        <v>6.0643232526261205E-4</v>
      </c>
      <c r="AE202">
        <v>3.2257529018731002E-4</v>
      </c>
      <c r="AF202">
        <f t="shared" si="3"/>
        <v>2.8230576408414736E-2</v>
      </c>
    </row>
    <row r="203" spans="1:32" x14ac:dyDescent="0.3">
      <c r="A203" t="str">
        <v>Sous-ensemble</v>
      </c>
      <c r="B203" t="str">
        <v>Stowage assemblé avec porte</v>
      </c>
      <c r="C203" t="str">
        <v>acier</v>
      </c>
      <c r="D203">
        <v>1.3308689097405501E-5</v>
      </c>
      <c r="E203">
        <v>3.4558800161280798E-5</v>
      </c>
      <c r="F203">
        <v>1.40631659297297E-8</v>
      </c>
      <c r="G203">
        <v>3.4534897291438002E-5</v>
      </c>
      <c r="H203">
        <v>9.8397039130088799E-9</v>
      </c>
      <c r="I203">
        <v>1.11378058477769E-5</v>
      </c>
      <c r="J203">
        <v>8.1853825639309197E-6</v>
      </c>
      <c r="K203">
        <v>2.89540898026322E-6</v>
      </c>
      <c r="L203">
        <v>5.7014303582778802E-8</v>
      </c>
      <c r="M203">
        <v>7.1786531248555901E-8</v>
      </c>
      <c r="N203">
        <v>8.6681221504775302E-6</v>
      </c>
      <c r="O203">
        <v>1.00914522111096E-5</v>
      </c>
      <c r="P203">
        <v>1.42663077443791E-6</v>
      </c>
      <c r="Q203">
        <v>1.0932957422617999E-15</v>
      </c>
      <c r="R203">
        <v>5.0985852287860597E-7</v>
      </c>
      <c r="S203">
        <v>9.16772250466005E-7</v>
      </c>
      <c r="T203">
        <v>1.3030973896789599E-5</v>
      </c>
      <c r="U203">
        <v>1.05805603365739E-5</v>
      </c>
      <c r="V203">
        <v>2.4428948354020501E-6</v>
      </c>
      <c r="W203">
        <v>1.34411929456419E-7</v>
      </c>
      <c r="X203">
        <v>2.1975934717687401E-6</v>
      </c>
      <c r="Y203">
        <v>1.83767551481594E-7</v>
      </c>
      <c r="Z203">
        <v>4.3795088634176802E-15</v>
      </c>
      <c r="AA203">
        <v>1.5174753585654799E-5</v>
      </c>
      <c r="AB203">
        <v>1.39597321947071E-5</v>
      </c>
      <c r="AC203">
        <v>4.7215396317968699E-5</v>
      </c>
      <c r="AD203">
        <v>1.4877223755215501E-6</v>
      </c>
      <c r="AE203">
        <v>8.2511353702831892E-6</v>
      </c>
      <c r="AF203">
        <f t="shared" si="3"/>
        <v>2.4104546542721948E-4</v>
      </c>
    </row>
    <row r="204" spans="1:32" x14ac:dyDescent="0.3">
      <c r="A204" t="str">
        <v>Sous-ensemble</v>
      </c>
      <c r="B204" t="str">
        <v>Stowage assemblé avec porte</v>
      </c>
      <c r="C204" t="str">
        <v>Ertalon</v>
      </c>
      <c r="D204">
        <v>5.78516068155022E-6</v>
      </c>
      <c r="E204">
        <v>1.7968938199959099E-5</v>
      </c>
      <c r="F204">
        <v>2.42200255369626E-9</v>
      </c>
      <c r="G204">
        <v>1.7966018263094901E-5</v>
      </c>
      <c r="H204">
        <v>4.9793431053896103E-10</v>
      </c>
      <c r="I204">
        <v>8.62354695970415E-5</v>
      </c>
      <c r="J204">
        <v>1.7510906278082501E-6</v>
      </c>
      <c r="K204">
        <v>8.4015609267754494E-5</v>
      </c>
      <c r="L204">
        <v>4.6876970147880201E-7</v>
      </c>
      <c r="M204">
        <v>2.7514636848796198E-6</v>
      </c>
      <c r="N204">
        <v>4.8251849166138803E-6</v>
      </c>
      <c r="O204">
        <v>5.6720455747816399E-6</v>
      </c>
      <c r="P204">
        <v>2.5837306882843302E-6</v>
      </c>
      <c r="Q204">
        <v>3.8514561496881598E-12</v>
      </c>
      <c r="R204">
        <v>2.4456009738902299E-6</v>
      </c>
      <c r="S204">
        <v>1.3812586293794701E-7</v>
      </c>
      <c r="T204">
        <v>1.5744744589400099E-5</v>
      </c>
      <c r="U204">
        <v>5.2978368770749296E-7</v>
      </c>
      <c r="V204">
        <v>1.51765708309538E-5</v>
      </c>
      <c r="W204">
        <v>1.2329324108663899E-7</v>
      </c>
      <c r="X204">
        <v>5.2383436748030297E-6</v>
      </c>
      <c r="Y204">
        <v>2.2117150808376501E-8</v>
      </c>
      <c r="Z204">
        <v>3.5248319641588798E-14</v>
      </c>
      <c r="AA204">
        <v>3.00087458871404E-6</v>
      </c>
      <c r="AB204">
        <v>6.3013216630297796E-6</v>
      </c>
      <c r="AC204">
        <v>3.7786543629104E-5</v>
      </c>
      <c r="AD204">
        <v>-4.3238104907585202E-8</v>
      </c>
      <c r="AE204">
        <v>-6.63977634225155E-7</v>
      </c>
      <c r="AF204">
        <f t="shared" si="3"/>
        <v>3.1582650918011811E-4</v>
      </c>
    </row>
    <row r="205" spans="1:32" x14ac:dyDescent="0.3">
      <c r="A205" t="str">
        <v>Sous-ensemble</v>
      </c>
      <c r="B205" t="str">
        <v>Stowage assemblé avec porte</v>
      </c>
      <c r="C205" t="str">
        <v>inox</v>
      </c>
      <c r="D205">
        <v>4.7600000000000002E-6</v>
      </c>
      <c r="E205">
        <v>5.0000000000000004E-6</v>
      </c>
      <c r="F205">
        <v>4.2199999999999999E-9</v>
      </c>
      <c r="G205">
        <v>4.9899999999999997E-6</v>
      </c>
      <c r="H205">
        <v>9.5200000000000002E-9</v>
      </c>
      <c r="I205">
        <v>5.8499999999999999E-6</v>
      </c>
      <c r="J205">
        <v>3.9700000000000001E-6</v>
      </c>
      <c r="K205">
        <v>1.86E-6</v>
      </c>
      <c r="L205">
        <v>2.14E-8</v>
      </c>
      <c r="M205">
        <v>3.3400000000000001E-8</v>
      </c>
      <c r="N205">
        <v>2.3599999999999999E-6</v>
      </c>
      <c r="O205">
        <v>2.83E-6</v>
      </c>
      <c r="P205">
        <v>1.7699999999999999E-4</v>
      </c>
      <c r="Q205">
        <v>6.4399999999999996E-17</v>
      </c>
      <c r="R205">
        <v>2.9046736802276699E-6</v>
      </c>
      <c r="S205">
        <v>1.74295092938218E-4</v>
      </c>
      <c r="T205">
        <v>2.8340872815554402E-6</v>
      </c>
      <c r="U205">
        <v>8.2585913001924097E-7</v>
      </c>
      <c r="V205">
        <v>2.0068942329379802E-6</v>
      </c>
      <c r="W205">
        <v>1.9004366115777E-8</v>
      </c>
      <c r="X205">
        <v>5.8760061175235096E-7</v>
      </c>
      <c r="Y205">
        <v>1.6230108852482701E-7</v>
      </c>
      <c r="Z205">
        <v>2.62468921924262E-15</v>
      </c>
      <c r="AA205">
        <v>7.7282815351586008E-6</v>
      </c>
      <c r="AB205">
        <v>3.3952551617823402E-6</v>
      </c>
      <c r="AC205">
        <v>8.0698791458808199E-6</v>
      </c>
      <c r="AD205">
        <v>1.094337171156E-5</v>
      </c>
      <c r="AE205">
        <v>2.9382779660763399E-6</v>
      </c>
      <c r="AF205">
        <f t="shared" si="3"/>
        <v>4.2539911885249845E-4</v>
      </c>
    </row>
    <row r="206" spans="1:32" x14ac:dyDescent="0.3">
      <c r="A206" t="str">
        <v>Sous-ensemble</v>
      </c>
      <c r="B206" t="str">
        <v>Stowage assemblé avec porte</v>
      </c>
      <c r="C206" t="str">
        <v>kydex</v>
      </c>
      <c r="D206">
        <v>2.55E-5</v>
      </c>
      <c r="E206">
        <v>6.6199999999999996E-5</v>
      </c>
      <c r="F206">
        <v>4.3099999999999998E-7</v>
      </c>
      <c r="G206">
        <v>5.8799999999999999E-5</v>
      </c>
      <c r="H206">
        <v>1.3399999999999999E-9</v>
      </c>
      <c r="I206">
        <v>1.4999999999999999E-4</v>
      </c>
      <c r="J206">
        <v>1.2E-4</v>
      </c>
      <c r="K206">
        <v>3.0900000000000001E-6</v>
      </c>
      <c r="L206">
        <v>1.28E-6</v>
      </c>
      <c r="M206">
        <v>1.6399999999999999E-5</v>
      </c>
      <c r="N206">
        <v>1.7200000000000001E-5</v>
      </c>
      <c r="O206">
        <v>1.9000000000000001E-5</v>
      </c>
      <c r="P206">
        <v>1.2099999999999999E-5</v>
      </c>
      <c r="Q206">
        <v>0</v>
      </c>
      <c r="R206">
        <v>6.5187211070521497E-6</v>
      </c>
      <c r="S206">
        <v>2.93358207477981E-6</v>
      </c>
      <c r="T206">
        <v>4.4473409545449799E-5</v>
      </c>
      <c r="U206">
        <v>5.5695731693323101E-6</v>
      </c>
      <c r="V206">
        <v>3.6729455580578803E-5</v>
      </c>
      <c r="W206">
        <v>3.5889826116440402E-7</v>
      </c>
      <c r="X206">
        <v>4.6714245184047497E-5</v>
      </c>
      <c r="Y206">
        <v>1.0427259721379399E-6</v>
      </c>
      <c r="Z206">
        <v>1.22159672403445E-7</v>
      </c>
      <c r="AA206">
        <v>2.03960200487519E-5</v>
      </c>
      <c r="AB206">
        <v>3.0556926119015701E-5</v>
      </c>
      <c r="AC206">
        <v>2.5133094197394299E-4</v>
      </c>
      <c r="AD206">
        <v>5.4787196812373296E-6</v>
      </c>
      <c r="AE206">
        <v>6.7128641369945297E-5</v>
      </c>
      <c r="AF206">
        <f t="shared" si="3"/>
        <v>1.0093563597598396E-3</v>
      </c>
    </row>
    <row r="207" spans="1:32" x14ac:dyDescent="0.3">
      <c r="A207" t="str">
        <v>Sous-ensemble</v>
      </c>
      <c r="B207" t="str">
        <v>Stowage assemblé avec porte</v>
      </c>
      <c r="C207" t="str">
        <v>nylon</v>
      </c>
      <c r="D207">
        <v>1.2300000000000001E-5</v>
      </c>
      <c r="E207">
        <v>3.5099999999999999E-5</v>
      </c>
      <c r="F207">
        <v>4.66E-9</v>
      </c>
      <c r="G207">
        <v>3.5099999999999999E-5</v>
      </c>
      <c r="H207">
        <v>9.6700000000000007E-10</v>
      </c>
      <c r="I207">
        <v>6.9099999999999999E-4</v>
      </c>
      <c r="J207">
        <v>1.31E-5</v>
      </c>
      <c r="K207">
        <v>2.5399999999999999E-4</v>
      </c>
      <c r="L207">
        <v>4.2400000000000001E-4</v>
      </c>
      <c r="M207">
        <v>6.2199999999999997E-6</v>
      </c>
      <c r="N207">
        <v>1.06E-5</v>
      </c>
      <c r="O207">
        <v>1.03E-5</v>
      </c>
      <c r="P207">
        <v>2.4000000000000001E-5</v>
      </c>
      <c r="Q207">
        <v>4.87E-12</v>
      </c>
      <c r="R207">
        <v>2.3182548342838E-5</v>
      </c>
      <c r="S207">
        <v>8.12475752328165E-7</v>
      </c>
      <c r="T207">
        <v>1.7753091670071701E-4</v>
      </c>
      <c r="U207">
        <v>1.57449189588245E-6</v>
      </c>
      <c r="V207">
        <v>1.7116962240836201E-4</v>
      </c>
      <c r="W207">
        <v>4.9664521342598003E-6</v>
      </c>
      <c r="X207">
        <v>1.75807105639836E-5</v>
      </c>
      <c r="Y207">
        <v>4.3027237060871597E-8</v>
      </c>
      <c r="Z207">
        <v>2.1827698339037399E-13</v>
      </c>
      <c r="AA207">
        <v>8.7673100368746906E-6</v>
      </c>
      <c r="AB207">
        <v>1.4323604493200801E-5</v>
      </c>
      <c r="AC207">
        <v>8.1048006622306599E-5</v>
      </c>
      <c r="AD207">
        <v>2.1968288604807102E-6</v>
      </c>
      <c r="AE207">
        <v>1.7923653239817401E-4</v>
      </c>
      <c r="AF207">
        <f t="shared" si="3"/>
        <v>2.1981581595347452E-3</v>
      </c>
    </row>
    <row r="208" spans="1:32" x14ac:dyDescent="0.3">
      <c r="A208" t="str">
        <v>Sous-ensemble</v>
      </c>
      <c r="B208" t="str">
        <v>Stowage assemblé avec porte</v>
      </c>
      <c r="C208" t="str">
        <v>packaging</v>
      </c>
      <c r="D208">
        <v>1.5799999999999999E-6</v>
      </c>
      <c r="E208">
        <v>1.77E-6</v>
      </c>
      <c r="F208">
        <v>1.53E-6</v>
      </c>
      <c r="G208">
        <v>-4.5300000000000002E-8</v>
      </c>
      <c r="H208">
        <v>5.9600000000000001E-9</v>
      </c>
      <c r="I208">
        <v>1.48E-6</v>
      </c>
      <c r="J208">
        <v>1.9E-6</v>
      </c>
      <c r="K208">
        <v>-1.08E-6</v>
      </c>
      <c r="L208">
        <v>2.8699999999999999E-8</v>
      </c>
      <c r="M208">
        <v>7.9599999999999998E-7</v>
      </c>
      <c r="N208">
        <v>1.6300000000000001E-6</v>
      </c>
      <c r="O208">
        <v>1.81E-6</v>
      </c>
      <c r="P208">
        <v>3.4999999999999998E-7</v>
      </c>
      <c r="Q208">
        <v>-1.7899999999999999E-15</v>
      </c>
      <c r="R208">
        <v>1.6830879791580001E-7</v>
      </c>
      <c r="S208">
        <v>1.2740852899773401E-7</v>
      </c>
      <c r="T208">
        <v>1.84109130024672E-6</v>
      </c>
      <c r="U208">
        <v>5.8868616115100497E-7</v>
      </c>
      <c r="V208">
        <v>1.0573636539656201E-6</v>
      </c>
      <c r="W208">
        <v>8.1936052043413102E-8</v>
      </c>
      <c r="X208">
        <v>-2.7569172225639302E-6</v>
      </c>
      <c r="Y208">
        <v>2.2549511028130301E-5</v>
      </c>
      <c r="Z208">
        <v>4.3475707033902402E-9</v>
      </c>
      <c r="AA208">
        <v>1.8627441430304101E-6</v>
      </c>
      <c r="AB208">
        <v>2.2181521782254401E-6</v>
      </c>
      <c r="AC208">
        <v>-8.84872509596522E-7</v>
      </c>
      <c r="AD208">
        <v>5.37922537722182E-8</v>
      </c>
      <c r="AE208">
        <v>4.0328664122524401E-5</v>
      </c>
      <c r="AF208">
        <f t="shared" si="3"/>
        <v>7.8995576056756006E-5</v>
      </c>
    </row>
    <row r="209" spans="1:32" x14ac:dyDescent="0.3">
      <c r="A209" t="str">
        <v>Sous-ensemble</v>
      </c>
      <c r="B209" t="str">
        <v>Stowage assemblé avec porte</v>
      </c>
      <c r="C209" t="str">
        <v>Silicone</v>
      </c>
      <c r="D209">
        <v>2.3999999999999998E-7</v>
      </c>
      <c r="E209">
        <v>5.8100000000000003E-7</v>
      </c>
      <c r="F209">
        <v>3.9899999999999997E-9</v>
      </c>
      <c r="G209">
        <v>5.7599999999999997E-7</v>
      </c>
      <c r="H209">
        <v>9.5000000000000003E-10</v>
      </c>
      <c r="I209">
        <v>6.6300000000000005E-7</v>
      </c>
      <c r="J209">
        <v>4.3300000000000003E-7</v>
      </c>
      <c r="K209">
        <v>2.28E-7</v>
      </c>
      <c r="L209">
        <v>2.3199999999999998E-9</v>
      </c>
      <c r="M209">
        <v>6.2300000000000002E-9</v>
      </c>
      <c r="N209">
        <v>1.6199999999999999E-7</v>
      </c>
      <c r="O209">
        <v>1.9399999999999999E-7</v>
      </c>
      <c r="P209">
        <v>1.1599999999999999E-6</v>
      </c>
      <c r="Q209">
        <v>9.8199999999999998E-17</v>
      </c>
      <c r="R209">
        <v>1.11732107944102E-6</v>
      </c>
      <c r="S209">
        <v>3.7700603217130798E-8</v>
      </c>
      <c r="T209">
        <v>9.7563396241737E-6</v>
      </c>
      <c r="U209">
        <v>6.80072982793698E-8</v>
      </c>
      <c r="V209">
        <v>9.6874807516490807E-6</v>
      </c>
      <c r="W209">
        <v>2.69673779019413E-9</v>
      </c>
      <c r="X209">
        <v>2.1787128029745401E-7</v>
      </c>
      <c r="Y209">
        <v>1.5496083719491599E-7</v>
      </c>
      <c r="Z209">
        <v>1.10654349844885E-15</v>
      </c>
      <c r="AA209">
        <v>2.3971571401404401E-7</v>
      </c>
      <c r="AB209">
        <v>2.6125099505773202E-7</v>
      </c>
      <c r="AC209">
        <v>1.1547159631197901E-6</v>
      </c>
      <c r="AD209">
        <v>1.1412282268791701E-6</v>
      </c>
      <c r="AE209">
        <v>5.6686239879351002E-8</v>
      </c>
      <c r="AF209">
        <f t="shared" si="3"/>
        <v>2.8146465352197699E-5</v>
      </c>
    </row>
    <row r="210" spans="1:32" x14ac:dyDescent="0.3">
      <c r="A210" t="str">
        <v>Sous-ensemble</v>
      </c>
      <c r="B210" t="str">
        <v>Stowage assemblé avec porte</v>
      </c>
      <c r="C210" t="str">
        <v>Transport</v>
      </c>
      <c r="D210">
        <v>3.3500000000000001E-5</v>
      </c>
      <c r="E210">
        <v>3.8500000000000001E-5</v>
      </c>
      <c r="F210">
        <v>1.15E-7</v>
      </c>
      <c r="G210">
        <v>3.8099999999999998E-5</v>
      </c>
      <c r="H210">
        <v>3.1399999999999998E-7</v>
      </c>
      <c r="I210">
        <v>7.2100000000000004E-5</v>
      </c>
      <c r="J210">
        <v>6.9800000000000003E-5</v>
      </c>
      <c r="K210">
        <v>1.4300000000000001E-6</v>
      </c>
      <c r="L210">
        <v>8.6000000000000002E-7</v>
      </c>
      <c r="M210">
        <v>5.75E-7</v>
      </c>
      <c r="N210">
        <v>4.6600000000000001E-5</v>
      </c>
      <c r="O210">
        <v>5.7000000000000003E-5</v>
      </c>
      <c r="P210">
        <v>3.6799999999999999E-6</v>
      </c>
      <c r="Q210">
        <v>9.5600000000000003E-17</v>
      </c>
      <c r="R210">
        <v>3.5857056678305799E-6</v>
      </c>
      <c r="S210">
        <v>9.71544831837701E-8</v>
      </c>
      <c r="T210">
        <v>1.5035005833291399E-5</v>
      </c>
      <c r="U210">
        <v>3.3821274335855298E-6</v>
      </c>
      <c r="V210">
        <v>1.16285802303702E-5</v>
      </c>
      <c r="W210">
        <v>1.0566988885737099E-7</v>
      </c>
      <c r="X210">
        <v>2.6152641639093499E-7</v>
      </c>
      <c r="Y210">
        <v>1.73861994147692E-6</v>
      </c>
      <c r="Z210">
        <v>1.1453137901910501E-15</v>
      </c>
      <c r="AA210">
        <v>1.1619991411080899E-5</v>
      </c>
      <c r="AB210">
        <v>4.3280190487597103E-5</v>
      </c>
      <c r="AC210">
        <v>6.3770587092588894E-5</v>
      </c>
      <c r="AD210">
        <v>4.3530633970809001E-7</v>
      </c>
      <c r="AE210">
        <v>2.51819200901289E-7</v>
      </c>
      <c r="AF210">
        <f t="shared" si="3"/>
        <v>5.1776628442810392E-4</v>
      </c>
    </row>
    <row r="211" spans="1:32" x14ac:dyDescent="0.3">
      <c r="A211" t="str">
        <v>Sous-ensemble</v>
      </c>
      <c r="B211" t="str">
        <v>Structure ottoman horizontale</v>
      </c>
      <c r="C211" t="str">
        <v>A5086</v>
      </c>
      <c r="D211">
        <v>1.5499999999999999E-3</v>
      </c>
      <c r="E211">
        <v>2.4099999999999998E-3</v>
      </c>
      <c r="F211">
        <v>2.8499999999999998E-6</v>
      </c>
      <c r="G211">
        <v>2.3999999999999998E-3</v>
      </c>
      <c r="H211">
        <v>9.3200000000000003E-7</v>
      </c>
      <c r="I211">
        <v>1.8400000000000001E-3</v>
      </c>
      <c r="J211">
        <v>1.2800000000000001E-3</v>
      </c>
      <c r="K211">
        <v>5.0100000000000003E-4</v>
      </c>
      <c r="L211">
        <v>6.2299999999999996E-5</v>
      </c>
      <c r="M211">
        <v>5.13E-6</v>
      </c>
      <c r="N211">
        <v>6.3299999999999999E-4</v>
      </c>
      <c r="O211">
        <v>7.6300000000000001E-4</v>
      </c>
      <c r="P211">
        <v>5.6099999999999998E-4</v>
      </c>
      <c r="Q211">
        <v>3.0600000000000001E-13</v>
      </c>
      <c r="R211">
        <v>1.29650386229991E-4</v>
      </c>
      <c r="S211">
        <v>4.31140036912427E-4</v>
      </c>
      <c r="T211">
        <v>8.9420359264403605E-4</v>
      </c>
      <c r="U211">
        <v>1.23672014862329E-4</v>
      </c>
      <c r="V211">
        <v>7.6867772107707397E-4</v>
      </c>
      <c r="W211">
        <v>8.7695421654699898E-6</v>
      </c>
      <c r="X211">
        <v>6.4669983676411702E-4</v>
      </c>
      <c r="Y211">
        <v>2.3491608143059801E-5</v>
      </c>
      <c r="Z211">
        <v>1.13871174878991E-11</v>
      </c>
      <c r="AA211">
        <v>1.6504530545962601E-3</v>
      </c>
      <c r="AB211">
        <v>9.4030510946214096E-4</v>
      </c>
      <c r="AC211">
        <v>3.6929882914704202E-3</v>
      </c>
      <c r="AD211">
        <v>4.7578389978754902E-4</v>
      </c>
      <c r="AE211">
        <v>2.5260442186847399E-4</v>
      </c>
      <c r="AF211">
        <f t="shared" si="3"/>
        <v>2.204765152767646E-2</v>
      </c>
    </row>
    <row r="212" spans="1:32" x14ac:dyDescent="0.3">
      <c r="A212" t="str">
        <v>Sous-ensemble</v>
      </c>
      <c r="B212" t="str">
        <v>Structure ottoman horizontale</v>
      </c>
      <c r="C212" t="str">
        <v>acier</v>
      </c>
      <c r="D212">
        <v>9.3999999999999998E-6</v>
      </c>
      <c r="E212">
        <v>2.44E-5</v>
      </c>
      <c r="F212">
        <v>9.9300000000000002E-9</v>
      </c>
      <c r="G212">
        <v>2.44E-5</v>
      </c>
      <c r="H212">
        <v>6.9500000000000002E-9</v>
      </c>
      <c r="I212">
        <v>7.8699999999999992E-6</v>
      </c>
      <c r="J212">
        <v>5.7799999999999997E-6</v>
      </c>
      <c r="K212">
        <v>2.0499999999999999E-6</v>
      </c>
      <c r="L212">
        <v>4.0299999999999997E-8</v>
      </c>
      <c r="M212">
        <v>5.0699999999999997E-8</v>
      </c>
      <c r="N212">
        <v>6.1199999999999999E-6</v>
      </c>
      <c r="O212">
        <v>7.1300000000000003E-6</v>
      </c>
      <c r="P212">
        <v>1.0100000000000001E-6</v>
      </c>
      <c r="Q212">
        <v>7.7200000000000002E-16</v>
      </c>
      <c r="R212">
        <v>3.6010861130394401E-7</v>
      </c>
      <c r="S212">
        <v>6.4750821489338501E-7</v>
      </c>
      <c r="T212">
        <v>9.2036627875064997E-6</v>
      </c>
      <c r="U212">
        <v>7.4729571413448497E-6</v>
      </c>
      <c r="V212">
        <v>1.7253952366461899E-6</v>
      </c>
      <c r="W212">
        <v>9.4933969105698504E-8</v>
      </c>
      <c r="X212">
        <v>1.5521410309300201E-6</v>
      </c>
      <c r="Y212">
        <v>1.2979341287292501E-7</v>
      </c>
      <c r="Z212">
        <v>3.09320877112052E-15</v>
      </c>
      <c r="AA212">
        <v>1.07177956146685E-5</v>
      </c>
      <c r="AB212">
        <v>9.8596366427865507E-6</v>
      </c>
      <c r="AC212">
        <v>3.3347821086198203E-5</v>
      </c>
      <c r="AD212">
        <v>1.05076529000659E-6</v>
      </c>
      <c r="AE212">
        <v>5.8277046799137299E-6</v>
      </c>
      <c r="AF212">
        <f t="shared" si="3"/>
        <v>1.702581037220423E-4</v>
      </c>
    </row>
    <row r="213" spans="1:32" x14ac:dyDescent="0.3">
      <c r="A213" t="str">
        <v>Sous-ensemble</v>
      </c>
      <c r="B213" t="str">
        <v>Structure ottoman horizontale</v>
      </c>
      <c r="C213" t="str">
        <v>Ertalon</v>
      </c>
      <c r="D213">
        <v>7.9300000000000002E-8</v>
      </c>
      <c r="E213">
        <v>2.4600000000000001E-7</v>
      </c>
      <c r="F213">
        <v>3.1699999999999998E-11</v>
      </c>
      <c r="G213">
        <v>2.4600000000000001E-7</v>
      </c>
      <c r="H213">
        <v>6.59E-12</v>
      </c>
      <c r="I213">
        <v>1.17E-6</v>
      </c>
      <c r="J213">
        <v>2.3800000000000001E-8</v>
      </c>
      <c r="K213">
        <v>1.1400000000000001E-6</v>
      </c>
      <c r="L213">
        <v>6.3899999999999996E-9</v>
      </c>
      <c r="M213">
        <v>3.7499999999999998E-8</v>
      </c>
      <c r="N213">
        <v>6.6500000000000007E-8</v>
      </c>
      <c r="O213">
        <v>7.8199999999999999E-8</v>
      </c>
      <c r="P213">
        <v>3.5199999999999998E-8</v>
      </c>
      <c r="Q213">
        <v>5.2499999999999997E-14</v>
      </c>
      <c r="R213">
        <v>3.3312854071520102E-8</v>
      </c>
      <c r="S213">
        <v>1.84407100417118E-9</v>
      </c>
      <c r="T213">
        <v>2.1440428657857599E-7</v>
      </c>
      <c r="U213">
        <v>7.1620921413335099E-9</v>
      </c>
      <c r="V213">
        <v>2.0671924257497501E-7</v>
      </c>
      <c r="W213">
        <v>1.67812714149296E-9</v>
      </c>
      <c r="X213">
        <v>6.9746762551454295E-8</v>
      </c>
      <c r="Y213">
        <v>2.9312305247718901E-10</v>
      </c>
      <c r="Z213">
        <v>4.7942415311620898E-16</v>
      </c>
      <c r="AA213">
        <v>4.0930500297174697E-8</v>
      </c>
      <c r="AB213">
        <v>8.6764612232763402E-8</v>
      </c>
      <c r="AC213">
        <v>5.1241384115791095E-7</v>
      </c>
      <c r="AD213">
        <v>-5.9919868130741197E-10</v>
      </c>
      <c r="AE213">
        <v>-8.9014504830227593E-9</v>
      </c>
      <c r="AF213">
        <f t="shared" si="3"/>
        <v>4.2946972066189439E-6</v>
      </c>
    </row>
    <row r="214" spans="1:32" x14ac:dyDescent="0.3">
      <c r="A214" t="str">
        <v>Sous-ensemble</v>
      </c>
      <c r="B214" t="str">
        <v>Structure ottoman horizontale</v>
      </c>
      <c r="C214" t="str">
        <v>packaging</v>
      </c>
      <c r="D214">
        <v>1.31E-6</v>
      </c>
      <c r="E214">
        <v>1.48E-6</v>
      </c>
      <c r="F214">
        <v>1.28E-6</v>
      </c>
      <c r="G214">
        <v>-3.77E-8</v>
      </c>
      <c r="H214">
        <v>4.97E-9</v>
      </c>
      <c r="I214">
        <v>1.2300000000000001E-6</v>
      </c>
      <c r="J214">
        <v>1.5799999999999999E-6</v>
      </c>
      <c r="K214">
        <v>-8.9999999999999996E-7</v>
      </c>
      <c r="L214">
        <v>2.3899999999999999E-8</v>
      </c>
      <c r="M214">
        <v>6.6199999999999997E-7</v>
      </c>
      <c r="N214">
        <v>1.3599999999999999E-6</v>
      </c>
      <c r="O214">
        <v>1.5099999999999999E-6</v>
      </c>
      <c r="P214">
        <v>2.91E-7</v>
      </c>
      <c r="Q214">
        <v>-1.49E-15</v>
      </c>
      <c r="R214">
        <v>1.4023870214625101E-7</v>
      </c>
      <c r="S214">
        <v>1.0616160712794601E-7</v>
      </c>
      <c r="T214">
        <v>1.5338133656750699E-6</v>
      </c>
      <c r="U214">
        <v>4.90505019363798E-7</v>
      </c>
      <c r="V214">
        <v>8.8101206221592504E-7</v>
      </c>
      <c r="W214">
        <v>6.8266326107915096E-8</v>
      </c>
      <c r="X214">
        <v>-2.2973716007205702E-6</v>
      </c>
      <c r="Y214">
        <v>1.87880993765909E-5</v>
      </c>
      <c r="Z214">
        <v>3.6144004937904102E-9</v>
      </c>
      <c r="AA214">
        <v>1.5512034222574099E-6</v>
      </c>
      <c r="AB214">
        <v>1.84781917602487E-6</v>
      </c>
      <c r="AC214">
        <v>-7.3818617932599104E-7</v>
      </c>
      <c r="AD214">
        <v>4.47531498692985E-8</v>
      </c>
      <c r="AE214">
        <v>3.35287726192167E-5</v>
      </c>
      <c r="AF214">
        <f t="shared" si="3"/>
        <v>6.5742871445553314E-5</v>
      </c>
    </row>
    <row r="215" spans="1:32" x14ac:dyDescent="0.3">
      <c r="A215" t="str">
        <v>Sous-ensemble</v>
      </c>
      <c r="B215" t="str">
        <v>Structure ottoman horizontale</v>
      </c>
      <c r="C215" t="str">
        <v>Transport</v>
      </c>
      <c r="D215">
        <v>6.3400000000000003E-6</v>
      </c>
      <c r="E215">
        <v>7.2799999999999998E-6</v>
      </c>
      <c r="F215">
        <v>2.18E-8</v>
      </c>
      <c r="G215">
        <v>7.1999999999999997E-6</v>
      </c>
      <c r="H215">
        <v>5.9400000000000003E-8</v>
      </c>
      <c r="I215">
        <v>1.36E-5</v>
      </c>
      <c r="J215">
        <v>1.3200000000000001E-5</v>
      </c>
      <c r="K215">
        <v>2.7099999999999998E-7</v>
      </c>
      <c r="L215">
        <v>1.6199999999999999E-7</v>
      </c>
      <c r="M215">
        <v>1.09E-7</v>
      </c>
      <c r="N215">
        <v>8.8100000000000004E-6</v>
      </c>
      <c r="O215">
        <v>1.08E-5</v>
      </c>
      <c r="P215">
        <v>6.9599999999999999E-7</v>
      </c>
      <c r="Q215">
        <v>1.8100000000000001E-17</v>
      </c>
      <c r="R215">
        <v>6.7770060696395702E-7</v>
      </c>
      <c r="S215">
        <v>1.8362257899083501E-8</v>
      </c>
      <c r="T215">
        <v>2.8416254770550902E-6</v>
      </c>
      <c r="U215">
        <v>6.39224193757406E-7</v>
      </c>
      <c r="V215">
        <v>2.1978089141429498E-6</v>
      </c>
      <c r="W215">
        <v>1.9971674880883799E-8</v>
      </c>
      <c r="X215">
        <v>4.9428655763727698E-8</v>
      </c>
      <c r="Y215">
        <v>3.28600252996067E-7</v>
      </c>
      <c r="Z215">
        <v>2.16465020467302E-16</v>
      </c>
      <c r="AA215">
        <v>2.19618562194201E-6</v>
      </c>
      <c r="AB215">
        <v>8.1799829880365098E-6</v>
      </c>
      <c r="AC215">
        <v>1.20526807224651E-5</v>
      </c>
      <c r="AD215">
        <v>8.2273169625190296E-8</v>
      </c>
      <c r="AE215">
        <v>4.75939859835826E-8</v>
      </c>
      <c r="AF215">
        <f t="shared" si="3"/>
        <v>9.7880638521746129E-5</v>
      </c>
    </row>
    <row r="216" spans="1:32" x14ac:dyDescent="0.3">
      <c r="A216" t="str">
        <v>Sous-ensemble</v>
      </c>
      <c r="B216" t="str">
        <v>Support écran</v>
      </c>
      <c r="C216" t="str">
        <v>A2017</v>
      </c>
      <c r="D216">
        <v>1.8084672803348001E-3</v>
      </c>
      <c r="E216">
        <v>2.89948301390327E-3</v>
      </c>
      <c r="F216">
        <v>3.4113802717297398E-6</v>
      </c>
      <c r="G216">
        <v>2.6550797431612598E-3</v>
      </c>
      <c r="H216">
        <v>1.21245716156406E-6</v>
      </c>
      <c r="I216">
        <v>2.6079665697598198E-3</v>
      </c>
      <c r="J216">
        <v>1.3568137669829801E-3</v>
      </c>
      <c r="K216">
        <v>6.6023094021355603E-4</v>
      </c>
      <c r="L216">
        <v>5.7532578247648898E-5</v>
      </c>
      <c r="M216">
        <v>9.5306980985787094E-5</v>
      </c>
      <c r="N216">
        <v>8.7190950011598305E-4</v>
      </c>
      <c r="O216">
        <v>1.0496640622557E-3</v>
      </c>
      <c r="P216">
        <v>5.9411842892046201E-4</v>
      </c>
      <c r="Q216">
        <v>3.6967541773958598E-13</v>
      </c>
      <c r="R216">
        <v>1.2999806795375101E-4</v>
      </c>
      <c r="S216">
        <v>4.0359497686562101E-4</v>
      </c>
      <c r="T216">
        <v>1.0445051086071099E-3</v>
      </c>
      <c r="U216">
        <v>1.5070594073515601E-4</v>
      </c>
      <c r="V216">
        <v>7.9178818114305799E-4</v>
      </c>
      <c r="W216">
        <v>1.03000319421963E-5</v>
      </c>
      <c r="X216">
        <v>9.2387573167723898E-4</v>
      </c>
      <c r="Y216">
        <v>6.3622179750164103E-5</v>
      </c>
      <c r="Z216">
        <v>7.98390172830444E-6</v>
      </c>
      <c r="AA216">
        <v>1.77445389309429E-3</v>
      </c>
      <c r="AB216">
        <v>1.29350601865394E-3</v>
      </c>
      <c r="AC216">
        <v>5.0350972684402202E-3</v>
      </c>
      <c r="AD216">
        <v>4.8389001283111301E-3</v>
      </c>
      <c r="AE216">
        <v>1.0491178729242999E-3</v>
      </c>
      <c r="AF216">
        <f t="shared" si="3"/>
        <v>3.2178646004510716E-2</v>
      </c>
    </row>
    <row r="217" spans="1:32" x14ac:dyDescent="0.3">
      <c r="A217" t="str">
        <v>Sous-ensemble</v>
      </c>
      <c r="B217" t="str">
        <v>Support écran</v>
      </c>
      <c r="C217" t="str">
        <v>A5086</v>
      </c>
      <c r="D217">
        <v>4.08E-4</v>
      </c>
      <c r="E217">
        <v>6.4300000000000002E-4</v>
      </c>
      <c r="F217">
        <v>7.5300000000000003E-7</v>
      </c>
      <c r="G217">
        <v>6.4199999999999999E-4</v>
      </c>
      <c r="H217">
        <v>2.3999999999999998E-7</v>
      </c>
      <c r="I217">
        <v>4.8999999999999998E-4</v>
      </c>
      <c r="J217">
        <v>3.4200000000000002E-4</v>
      </c>
      <c r="K217">
        <v>1.3200000000000001E-4</v>
      </c>
      <c r="L217">
        <v>1.6399999999999999E-5</v>
      </c>
      <c r="M217">
        <v>1.35E-6</v>
      </c>
      <c r="N217">
        <v>1.6799999999999999E-4</v>
      </c>
      <c r="O217">
        <v>2.03E-4</v>
      </c>
      <c r="P217">
        <v>1.4799999999999999E-4</v>
      </c>
      <c r="Q217">
        <v>8.0600000000000005E-14</v>
      </c>
      <c r="R217">
        <v>3.4055256892085802E-5</v>
      </c>
      <c r="S217">
        <v>1.13998447740243E-4</v>
      </c>
      <c r="T217">
        <v>2.3417609431969301E-4</v>
      </c>
      <c r="U217">
        <v>3.3570434501611203E-5</v>
      </c>
      <c r="V217">
        <v>2.00109034480343E-4</v>
      </c>
      <c r="W217">
        <v>2.3529260870037801E-6</v>
      </c>
      <c r="X217">
        <v>1.7049876702681101E-4</v>
      </c>
      <c r="Y217">
        <v>5.8632861737144697E-6</v>
      </c>
      <c r="Z217">
        <v>2.9922044476461702E-12</v>
      </c>
      <c r="AA217">
        <v>4.3813714406834098E-4</v>
      </c>
      <c r="AB217">
        <v>2.5033560171599801E-4</v>
      </c>
      <c r="AC217">
        <v>9.8484360676178904E-4</v>
      </c>
      <c r="AD217">
        <v>-5.5600685339126801E-5</v>
      </c>
      <c r="AE217">
        <v>6.6848587909951198E-5</v>
      </c>
      <c r="AF217">
        <f t="shared" si="3"/>
        <v>5.6739315054112633E-3</v>
      </c>
    </row>
    <row r="218" spans="1:32" x14ac:dyDescent="0.3">
      <c r="A218" t="str">
        <v>Sous-ensemble</v>
      </c>
      <c r="B218" t="str">
        <v>Support écran</v>
      </c>
      <c r="C218" t="str">
        <v>acier</v>
      </c>
      <c r="D218">
        <v>8.0900000000000005E-6</v>
      </c>
      <c r="E218">
        <v>2.0999999999999999E-5</v>
      </c>
      <c r="F218">
        <v>8.5500000000000005E-9</v>
      </c>
      <c r="G218">
        <v>2.0999999999999999E-5</v>
      </c>
      <c r="H218">
        <v>5.9799999999999996E-9</v>
      </c>
      <c r="I218">
        <v>6.7700000000000004E-6</v>
      </c>
      <c r="J218">
        <v>4.9799999999999998E-6</v>
      </c>
      <c r="K218">
        <v>1.7600000000000001E-6</v>
      </c>
      <c r="L218">
        <v>3.47E-8</v>
      </c>
      <c r="M218">
        <v>4.36E-8</v>
      </c>
      <c r="N218">
        <v>5.2700000000000004E-6</v>
      </c>
      <c r="O218">
        <v>6.1299999999999998E-6</v>
      </c>
      <c r="P218">
        <v>8.6700000000000002E-7</v>
      </c>
      <c r="Q218">
        <v>6.6499999999999996E-16</v>
      </c>
      <c r="R218">
        <v>3.0994143451719402E-7</v>
      </c>
      <c r="S218">
        <v>5.5730304326528497E-7</v>
      </c>
      <c r="T218">
        <v>7.9214891219710099E-6</v>
      </c>
      <c r="U218">
        <v>6.4318902235831203E-6</v>
      </c>
      <c r="V218">
        <v>1.4850282886012101E-6</v>
      </c>
      <c r="W218">
        <v>8.1708600253928194E-8</v>
      </c>
      <c r="X218">
        <v>1.33591034093157E-6</v>
      </c>
      <c r="Y218">
        <v>1.11711731721858E-7</v>
      </c>
      <c r="Z218">
        <v>2.6622900249754701E-15</v>
      </c>
      <c r="AA218">
        <v>9.2246862290906603E-6</v>
      </c>
      <c r="AB218">
        <v>8.4860784467724406E-6</v>
      </c>
      <c r="AC218">
        <v>2.8702094815375499E-5</v>
      </c>
      <c r="AD218">
        <v>9.0438187564094504E-7</v>
      </c>
      <c r="AE218">
        <v>5.0158399208912297E-6</v>
      </c>
      <c r="AF218">
        <f t="shared" si="3"/>
        <v>1.4652789407594322E-4</v>
      </c>
    </row>
    <row r="219" spans="1:32" x14ac:dyDescent="0.3">
      <c r="A219" t="str">
        <v>Sous-ensemble</v>
      </c>
      <c r="B219" t="str">
        <v>Support écran</v>
      </c>
      <c r="C219" t="str">
        <v>inox</v>
      </c>
      <c r="D219">
        <v>7.1899999999999998E-6</v>
      </c>
      <c r="E219">
        <v>7.5399999999999998E-6</v>
      </c>
      <c r="F219">
        <v>6.3700000000000001E-9</v>
      </c>
      <c r="G219">
        <v>7.52E-6</v>
      </c>
      <c r="H219">
        <v>1.44E-8</v>
      </c>
      <c r="I219">
        <v>8.8200000000000003E-6</v>
      </c>
      <c r="J219">
        <v>5.9800000000000003E-6</v>
      </c>
      <c r="K219">
        <v>2.8100000000000002E-6</v>
      </c>
      <c r="L219">
        <v>3.2299999999999998E-8</v>
      </c>
      <c r="M219">
        <v>5.03E-8</v>
      </c>
      <c r="N219">
        <v>3.5599999999999998E-6</v>
      </c>
      <c r="O219">
        <v>4.2699999999999998E-6</v>
      </c>
      <c r="P219">
        <v>2.6699999999999998E-4</v>
      </c>
      <c r="Q219">
        <v>9.7100000000000003E-17</v>
      </c>
      <c r="R219">
        <v>4.3820508106882897E-6</v>
      </c>
      <c r="S219">
        <v>2.62945183311967E-4</v>
      </c>
      <c r="T219">
        <v>4.2755627092431301E-6</v>
      </c>
      <c r="U219">
        <v>1.2459081702876501E-6</v>
      </c>
      <c r="V219">
        <v>3.02764216175988E-6</v>
      </c>
      <c r="W219">
        <v>2.8670379916042902E-8</v>
      </c>
      <c r="X219">
        <v>8.8646644014363299E-7</v>
      </c>
      <c r="Y219">
        <v>2.4485078010211098E-7</v>
      </c>
      <c r="Z219">
        <v>3.9596604600642898E-15</v>
      </c>
      <c r="AA219">
        <v>1.16590454194203E-5</v>
      </c>
      <c r="AB219">
        <v>5.1221521837233498E-6</v>
      </c>
      <c r="AC219">
        <v>1.21743866424926E-5</v>
      </c>
      <c r="AD219">
        <v>1.6509396978646601E-5</v>
      </c>
      <c r="AE219">
        <v>4.4327469315806199E-6</v>
      </c>
      <c r="AF219">
        <f t="shared" si="3"/>
        <v>6.4172743292402815E-4</v>
      </c>
    </row>
    <row r="220" spans="1:32" x14ac:dyDescent="0.3">
      <c r="A220" t="str">
        <v>Sous-ensemble</v>
      </c>
      <c r="B220" t="str">
        <v>Support écran</v>
      </c>
      <c r="C220" t="str">
        <v>packaging</v>
      </c>
      <c r="D220">
        <v>7.8800000000000002E-7</v>
      </c>
      <c r="E220">
        <v>8.8599999999999997E-7</v>
      </c>
      <c r="F220">
        <v>7.6599999999999995E-7</v>
      </c>
      <c r="G220">
        <v>-2.2600000000000001E-8</v>
      </c>
      <c r="H220">
        <v>2.98E-9</v>
      </c>
      <c r="I220">
        <v>7.3799999999999996E-7</v>
      </c>
      <c r="J220">
        <v>9.5000000000000001E-7</v>
      </c>
      <c r="K220">
        <v>-5.4000000000000002E-7</v>
      </c>
      <c r="L220">
        <v>1.44E-8</v>
      </c>
      <c r="M220">
        <v>3.9799999999999999E-7</v>
      </c>
      <c r="N220">
        <v>8.1399999999999996E-7</v>
      </c>
      <c r="O220">
        <v>9.0500000000000002E-7</v>
      </c>
      <c r="P220">
        <v>1.7499999999999999E-7</v>
      </c>
      <c r="Q220">
        <v>-8.9599999999999997E-16</v>
      </c>
      <c r="R220">
        <v>8.4154398957900204E-8</v>
      </c>
      <c r="S220">
        <v>6.3704264498866795E-8</v>
      </c>
      <c r="T220">
        <v>9.20545650123362E-7</v>
      </c>
      <c r="U220">
        <v>2.9434308057550301E-7</v>
      </c>
      <c r="V220">
        <v>5.2868182698280804E-7</v>
      </c>
      <c r="W220">
        <v>4.0968026021706498E-8</v>
      </c>
      <c r="X220">
        <v>-1.37845861128197E-6</v>
      </c>
      <c r="Y220">
        <v>1.12747555140652E-5</v>
      </c>
      <c r="Z220">
        <v>2.1737853516951201E-9</v>
      </c>
      <c r="AA220">
        <v>9.3137207151520599E-7</v>
      </c>
      <c r="AB220">
        <v>1.1090760891127201E-6</v>
      </c>
      <c r="AC220">
        <v>-4.42436254798261E-7</v>
      </c>
      <c r="AD220">
        <v>2.68961268861091E-8</v>
      </c>
      <c r="AE220">
        <v>2.01643320612622E-5</v>
      </c>
      <c r="AF220">
        <f t="shared" si="3"/>
        <v>3.9494888028377041E-5</v>
      </c>
    </row>
    <row r="221" spans="1:32" x14ac:dyDescent="0.3">
      <c r="A221" t="str">
        <v>Sous-ensemble</v>
      </c>
      <c r="B221" t="str">
        <v>Support écran</v>
      </c>
      <c r="C221" t="str">
        <v>Transport</v>
      </c>
      <c r="D221">
        <v>1.2E-5</v>
      </c>
      <c r="E221">
        <v>1.38E-5</v>
      </c>
      <c r="F221">
        <v>4.1199999999999998E-8</v>
      </c>
      <c r="G221">
        <v>1.36E-5</v>
      </c>
      <c r="H221">
        <v>1.12E-7</v>
      </c>
      <c r="I221">
        <v>2.58E-5</v>
      </c>
      <c r="J221">
        <v>2.4899999999999999E-5</v>
      </c>
      <c r="K221">
        <v>5.13E-7</v>
      </c>
      <c r="L221">
        <v>3.0699999999999998E-7</v>
      </c>
      <c r="M221">
        <v>2.0599999999999999E-7</v>
      </c>
      <c r="N221">
        <v>1.6699999999999999E-5</v>
      </c>
      <c r="O221">
        <v>2.0400000000000001E-5</v>
      </c>
      <c r="P221">
        <v>1.3200000000000001E-6</v>
      </c>
      <c r="Q221">
        <v>3.42E-17</v>
      </c>
      <c r="R221">
        <v>1.2820071257694399E-6</v>
      </c>
      <c r="S221">
        <v>3.4735907316508102E-8</v>
      </c>
      <c r="T221">
        <v>5.3755066365852697E-6</v>
      </c>
      <c r="U221">
        <v>1.2092212445145501E-6</v>
      </c>
      <c r="V221">
        <v>4.1575980013261497E-6</v>
      </c>
      <c r="W221">
        <v>3.7780443528812301E-8</v>
      </c>
      <c r="X221">
        <v>9.3504252844315297E-8</v>
      </c>
      <c r="Y221">
        <v>6.21613528956157E-7</v>
      </c>
      <c r="Z221">
        <v>4.0948716271943501E-16</v>
      </c>
      <c r="AA221">
        <v>4.15452721734363E-6</v>
      </c>
      <c r="AB221">
        <v>1.5474084531686699E-5</v>
      </c>
      <c r="AC221">
        <v>2.2800071907927301E-5</v>
      </c>
      <c r="AD221">
        <v>1.5563626273207901E-7</v>
      </c>
      <c r="AE221">
        <v>9.0033605618367702E-8</v>
      </c>
      <c r="AF221">
        <f t="shared" si="3"/>
        <v>1.8518552066659291E-4</v>
      </c>
    </row>
    <row r="222" spans="1:32" x14ac:dyDescent="0.3">
      <c r="A222" t="str">
        <v>Sous-ensemble</v>
      </c>
      <c r="B222" t="str">
        <v>Support équipé</v>
      </c>
      <c r="C222" t="str">
        <v>A5086</v>
      </c>
      <c r="D222">
        <v>7.9699999999999999E-5</v>
      </c>
      <c r="E222">
        <v>1.2400000000000001E-4</v>
      </c>
      <c r="F222">
        <v>1.4600000000000001E-7</v>
      </c>
      <c r="G222">
        <v>1.2300000000000001E-4</v>
      </c>
      <c r="H222">
        <v>4.7899999999999999E-8</v>
      </c>
      <c r="I222">
        <v>9.4599999999999996E-5</v>
      </c>
      <c r="J222">
        <v>6.5699999999999998E-5</v>
      </c>
      <c r="K222">
        <v>2.5700000000000001E-5</v>
      </c>
      <c r="L222">
        <v>3.1999999999999999E-6</v>
      </c>
      <c r="M222">
        <v>2.6300000000000001E-7</v>
      </c>
      <c r="N222">
        <v>3.2499999999999997E-5</v>
      </c>
      <c r="O222">
        <v>3.9199999999999997E-5</v>
      </c>
      <c r="P222">
        <v>2.8799999999999999E-5</v>
      </c>
      <c r="Q222">
        <v>1.5699999999999999E-14</v>
      </c>
      <c r="R222">
        <v>6.6599999999999998E-6</v>
      </c>
      <c r="S222">
        <v>2.2138414758470099E-5</v>
      </c>
      <c r="T222">
        <v>4.5916055846348303E-5</v>
      </c>
      <c r="U222">
        <v>6.3503783565200097E-6</v>
      </c>
      <c r="V222">
        <v>3.9470484640368398E-5</v>
      </c>
      <c r="W222">
        <v>4.5030325434726599E-7</v>
      </c>
      <c r="X222">
        <v>3.3207097427203101E-5</v>
      </c>
      <c r="Y222">
        <v>1.2062599617027499E-6</v>
      </c>
      <c r="Z222">
        <v>5.8471194569606704E-13</v>
      </c>
      <c r="AA222">
        <v>8.4748367429994398E-5</v>
      </c>
      <c r="AB222">
        <v>4.8283301782547701E-5</v>
      </c>
      <c r="AC222">
        <v>1.89629585506002E-4</v>
      </c>
      <c r="AD222">
        <v>2.44308122816221E-5</v>
      </c>
      <c r="AE222">
        <v>1.2970870210054401E-5</v>
      </c>
      <c r="AF222">
        <f t="shared" si="3"/>
        <v>1.1323188320555924E-3</v>
      </c>
    </row>
    <row r="223" spans="1:32" x14ac:dyDescent="0.3">
      <c r="A223" t="str">
        <v>Sous-ensemble</v>
      </c>
      <c r="B223" t="str">
        <v>Support équipé</v>
      </c>
      <c r="C223" t="str">
        <v>acier</v>
      </c>
      <c r="D223">
        <v>4.2300000000000002E-7</v>
      </c>
      <c r="E223">
        <v>1.1000000000000001E-6</v>
      </c>
      <c r="F223">
        <v>4.4700000000000001E-10</v>
      </c>
      <c r="G223">
        <v>1.1000000000000001E-6</v>
      </c>
      <c r="H223">
        <v>3.13E-10</v>
      </c>
      <c r="I223">
        <v>3.5400000000000002E-7</v>
      </c>
      <c r="J223">
        <v>2.6E-7</v>
      </c>
      <c r="K223">
        <v>9.2099999999999998E-8</v>
      </c>
      <c r="L223">
        <v>1.81E-9</v>
      </c>
      <c r="M223">
        <v>2.28E-9</v>
      </c>
      <c r="N223">
        <v>2.7599999999999998E-7</v>
      </c>
      <c r="O223">
        <v>3.2099999999999998E-7</v>
      </c>
      <c r="P223">
        <v>4.5400000000000003E-8</v>
      </c>
      <c r="Q223">
        <v>3.48E-17</v>
      </c>
      <c r="R223">
        <v>1.6199999999999999E-8</v>
      </c>
      <c r="S223">
        <v>2.91476487063433E-8</v>
      </c>
      <c r="T223">
        <v>4.1430382437086898E-7</v>
      </c>
      <c r="U223">
        <v>3.3639593219577E-7</v>
      </c>
      <c r="V223">
        <v>7.7668843546088102E-8</v>
      </c>
      <c r="W223">
        <v>4.2734623563769998E-9</v>
      </c>
      <c r="X223">
        <v>6.9869787705625903E-8</v>
      </c>
      <c r="Y223">
        <v>5.8426637929841702E-9</v>
      </c>
      <c r="Z223">
        <v>1.39241110092859E-16</v>
      </c>
      <c r="AA223">
        <v>4.8246266888549495E-7</v>
      </c>
      <c r="AB223">
        <v>4.43832554747512E-7</v>
      </c>
      <c r="AC223">
        <v>1.50115558657822E-6</v>
      </c>
      <c r="AD223">
        <v>4.7300307303396702E-8</v>
      </c>
      <c r="AE223">
        <v>2.6233472389598502E-7</v>
      </c>
      <c r="AF223">
        <f t="shared" si="3"/>
        <v>7.6671380042587076E-6</v>
      </c>
    </row>
    <row r="224" spans="1:32" x14ac:dyDescent="0.3">
      <c r="A224" t="str">
        <v>Sous-ensemble</v>
      </c>
      <c r="B224" t="str">
        <v>Support équipé</v>
      </c>
      <c r="C224" t="str">
        <v>packaging</v>
      </c>
      <c r="D224">
        <v>9.1700000000000003E-6</v>
      </c>
      <c r="E224">
        <v>1.08E-5</v>
      </c>
      <c r="F224">
        <v>1.7099999999999999E-6</v>
      </c>
      <c r="G224">
        <v>-6.4600000000000004E-7</v>
      </c>
      <c r="H224">
        <v>-8.1899999999999996E-11</v>
      </c>
      <c r="I224">
        <v>2.1699999999999999E-5</v>
      </c>
      <c r="J224">
        <v>1.6400000000000001E-7</v>
      </c>
      <c r="K224">
        <v>-9.9999999999999995E-7</v>
      </c>
      <c r="L224">
        <v>2.7999999999999999E-8</v>
      </c>
      <c r="M224">
        <v>2.5599999999999999E-5</v>
      </c>
      <c r="N224">
        <v>5.9399999999999999E-6</v>
      </c>
      <c r="O224">
        <v>6.1399999999999997E-6</v>
      </c>
      <c r="P224">
        <v>1.9599999999999999E-6</v>
      </c>
      <c r="Q224">
        <v>-1.1700000000000001E-15</v>
      </c>
      <c r="R224">
        <v>2.6400000000000001E-8</v>
      </c>
      <c r="S224">
        <v>-4.0272525605813201E-8</v>
      </c>
      <c r="T224">
        <v>4.3418542894465003E-6</v>
      </c>
      <c r="U224">
        <v>4.0135266573710298E-8</v>
      </c>
      <c r="V224">
        <v>1.8248926087706101E-7</v>
      </c>
      <c r="W224">
        <v>8.6733521801876599E-8</v>
      </c>
      <c r="X224">
        <v>4.5491250475297396E-6</v>
      </c>
      <c r="Y224">
        <v>1.9129084228466699E-5</v>
      </c>
      <c r="Z224">
        <v>1.5256474293810901E-7</v>
      </c>
      <c r="AA224">
        <v>1.61201002578609E-5</v>
      </c>
      <c r="AB224">
        <v>7.7172604303990792E-6</v>
      </c>
      <c r="AC224">
        <v>1.70309623513629E-5</v>
      </c>
      <c r="AD224">
        <v>1.63582489385836E-6</v>
      </c>
      <c r="AE224">
        <v>1.32286681147992E-3</v>
      </c>
      <c r="AF224">
        <f t="shared" si="3"/>
        <v>1.4754049913442591E-3</v>
      </c>
    </row>
    <row r="225" spans="1:32" x14ac:dyDescent="0.3">
      <c r="A225" t="str">
        <v>Sous-ensemble</v>
      </c>
      <c r="B225" t="str">
        <v>Support équipé</v>
      </c>
      <c r="C225" t="str">
        <v>Transport</v>
      </c>
      <c r="D225">
        <v>5.0900000000000002E-7</v>
      </c>
      <c r="E225">
        <v>5.8400000000000004E-7</v>
      </c>
      <c r="F225">
        <v>1.75E-9</v>
      </c>
      <c r="G225">
        <v>5.7800000000000001E-7</v>
      </c>
      <c r="H225">
        <v>4.7699999999999999E-9</v>
      </c>
      <c r="I225">
        <v>1.0899999999999999E-6</v>
      </c>
      <c r="J225">
        <v>1.06E-6</v>
      </c>
      <c r="K225">
        <v>2.18E-8</v>
      </c>
      <c r="L225">
        <v>1.3000000000000001E-8</v>
      </c>
      <c r="M225">
        <v>8.7299999999999994E-9</v>
      </c>
      <c r="N225">
        <v>7.0699999999999996E-7</v>
      </c>
      <c r="O225">
        <v>8.6499999999999998E-7</v>
      </c>
      <c r="P225">
        <v>5.5899999999999998E-8</v>
      </c>
      <c r="Q225">
        <v>1.45E-18</v>
      </c>
      <c r="R225">
        <v>5.4399999999999997E-8</v>
      </c>
      <c r="S225">
        <v>1.47388831858948E-9</v>
      </c>
      <c r="T225">
        <v>2.2808952033326999E-7</v>
      </c>
      <c r="U225">
        <v>5.1308781159524103E-8</v>
      </c>
      <c r="V225">
        <v>1.7641212223736399E-7</v>
      </c>
      <c r="W225">
        <v>1.6030718265356001E-9</v>
      </c>
      <c r="X225">
        <v>3.9675032740595002E-9</v>
      </c>
      <c r="Y225">
        <v>2.6375845336570501E-8</v>
      </c>
      <c r="Z225">
        <v>1.73750563140666E-17</v>
      </c>
      <c r="AA225">
        <v>1.76281825003453E-7</v>
      </c>
      <c r="AB225">
        <v>6.5658490576637802E-7</v>
      </c>
      <c r="AC225">
        <v>9.6743578170833398E-7</v>
      </c>
      <c r="AD225">
        <v>6.6038427469179096E-9</v>
      </c>
      <c r="AE225">
        <v>3.8202393388566503E-9</v>
      </c>
      <c r="AF225">
        <f t="shared" si="3"/>
        <v>7.8533073270686798E-6</v>
      </c>
    </row>
    <row r="226" spans="1:32" x14ac:dyDescent="0.3">
      <c r="A226" t="str">
        <v>Sous-ensemble</v>
      </c>
      <c r="B226" t="str">
        <v>Support manchette équipée</v>
      </c>
      <c r="C226" t="str">
        <v>A5086</v>
      </c>
      <c r="D226">
        <v>9.4199999999999999E-5</v>
      </c>
      <c r="E226">
        <v>1.46E-4</v>
      </c>
      <c r="F226">
        <v>1.73E-7</v>
      </c>
      <c r="G226">
        <v>1.46E-4</v>
      </c>
      <c r="H226">
        <v>5.6599999999999997E-8</v>
      </c>
      <c r="I226">
        <v>1.12E-4</v>
      </c>
      <c r="J226">
        <v>7.7600000000000002E-5</v>
      </c>
      <c r="K226">
        <v>3.04E-5</v>
      </c>
      <c r="L226">
        <v>3.7799999999999998E-6</v>
      </c>
      <c r="M226">
        <v>3.1100000000000002E-7</v>
      </c>
      <c r="N226">
        <v>3.8399999999999998E-5</v>
      </c>
      <c r="O226">
        <v>4.6300000000000001E-5</v>
      </c>
      <c r="P226">
        <v>3.4E-5</v>
      </c>
      <c r="Q226">
        <v>1.8600000000000001E-14</v>
      </c>
      <c r="R226">
        <v>7.8699999999999992E-6</v>
      </c>
      <c r="S226">
        <v>2.6163581078191901E-5</v>
      </c>
      <c r="T226">
        <v>5.4264429636593501E-5</v>
      </c>
      <c r="U226">
        <v>7.5049926031600203E-6</v>
      </c>
      <c r="V226">
        <v>4.6646936393162703E-5</v>
      </c>
      <c r="W226">
        <v>5.3217657331949702E-7</v>
      </c>
      <c r="X226">
        <v>3.9244751504876401E-5</v>
      </c>
      <c r="Y226">
        <v>1.4255799547396199E-6</v>
      </c>
      <c r="Z226">
        <v>6.9102320854989396E-13</v>
      </c>
      <c r="AA226">
        <v>1.0015716150817499E-4</v>
      </c>
      <c r="AB226">
        <v>5.70620839248292E-5</v>
      </c>
      <c r="AC226">
        <v>2.24107691961639E-4</v>
      </c>
      <c r="AD226">
        <v>2.8872778151007901E-5</v>
      </c>
      <c r="AE226">
        <v>1.53292102482491E-5</v>
      </c>
      <c r="AF226">
        <f t="shared" si="3"/>
        <v>1.3384019742475669E-3</v>
      </c>
    </row>
    <row r="227" spans="1:32" x14ac:dyDescent="0.3">
      <c r="A227" t="str">
        <v>Sous-ensemble</v>
      </c>
      <c r="B227" t="str">
        <v>Support manchette équipée</v>
      </c>
      <c r="C227" t="str">
        <v>acier</v>
      </c>
      <c r="D227">
        <v>8.2399999999999997E-7</v>
      </c>
      <c r="E227">
        <v>2.0999999999999998E-6</v>
      </c>
      <c r="F227">
        <v>9.7100000000000006E-10</v>
      </c>
      <c r="G227">
        <v>2.0999999999999998E-6</v>
      </c>
      <c r="H227">
        <v>6.3199999999999999E-10</v>
      </c>
      <c r="I227">
        <v>7.0500000000000003E-7</v>
      </c>
      <c r="J227">
        <v>5.1799999999999995E-7</v>
      </c>
      <c r="K227">
        <v>1.8400000000000001E-7</v>
      </c>
      <c r="L227">
        <v>3.5600000000000001E-9</v>
      </c>
      <c r="M227">
        <v>4.5200000000000001E-9</v>
      </c>
      <c r="N227">
        <v>5.4199999999999996E-7</v>
      </c>
      <c r="O227">
        <v>6.3200000000000005E-7</v>
      </c>
      <c r="P227">
        <v>5.9499999999999997E-8</v>
      </c>
      <c r="Q227">
        <v>7.1200000000000003E-17</v>
      </c>
      <c r="R227">
        <v>3.2999999999999998E-8</v>
      </c>
      <c r="S227">
        <v>2.6492265339830801E-8</v>
      </c>
      <c r="T227">
        <v>7.7945752515038899E-7</v>
      </c>
      <c r="U227">
        <v>6.1339693421923502E-7</v>
      </c>
      <c r="V227">
        <v>1.6562419452199699E-7</v>
      </c>
      <c r="W227">
        <v>8.1671944516867697E-9</v>
      </c>
      <c r="X227">
        <v>1.4913877828488001E-7</v>
      </c>
      <c r="Y227">
        <v>1.2226210946711701E-8</v>
      </c>
      <c r="Z227">
        <v>2.1138711270449101E-14</v>
      </c>
      <c r="AA227">
        <v>9.1433068552586305E-7</v>
      </c>
      <c r="AB227">
        <v>8.6189446655825697E-7</v>
      </c>
      <c r="AC227">
        <v>2.90473527448684E-6</v>
      </c>
      <c r="AD227">
        <v>5.5723621813722501E-8</v>
      </c>
      <c r="AE227">
        <v>2.8584057218070901E-7</v>
      </c>
      <c r="AF227">
        <f t="shared" si="3"/>
        <v>1.4484210744690034E-5</v>
      </c>
    </row>
    <row r="228" spans="1:32" x14ac:dyDescent="0.3">
      <c r="A228" t="str">
        <v>Sous-ensemble</v>
      </c>
      <c r="B228" t="str">
        <v>Support manchette équipée</v>
      </c>
      <c r="C228" t="str">
        <v>packaging</v>
      </c>
      <c r="D228">
        <v>9.1700000000000003E-6</v>
      </c>
      <c r="E228">
        <v>1.08E-5</v>
      </c>
      <c r="F228">
        <v>1.7099999999999999E-6</v>
      </c>
      <c r="G228">
        <v>-6.4600000000000004E-7</v>
      </c>
      <c r="H228">
        <v>-8.1899999999999996E-11</v>
      </c>
      <c r="I228">
        <v>2.1699999999999999E-5</v>
      </c>
      <c r="J228">
        <v>1.6400000000000001E-7</v>
      </c>
      <c r="K228">
        <v>-9.9999999999999995E-7</v>
      </c>
      <c r="L228">
        <v>2.7999999999999999E-8</v>
      </c>
      <c r="M228">
        <v>2.5599999999999999E-5</v>
      </c>
      <c r="N228">
        <v>5.9399999999999999E-6</v>
      </c>
      <c r="O228">
        <v>6.1399999999999997E-6</v>
      </c>
      <c r="P228">
        <v>1.9599999999999999E-6</v>
      </c>
      <c r="Q228">
        <v>-1.1700000000000001E-15</v>
      </c>
      <c r="R228">
        <v>2.6400000000000001E-8</v>
      </c>
      <c r="S228">
        <v>-4.0272525605813201E-8</v>
      </c>
      <c r="T228">
        <v>4.3418542894465003E-6</v>
      </c>
      <c r="U228">
        <v>4.0135266573710298E-8</v>
      </c>
      <c r="V228">
        <v>1.8248926087706101E-7</v>
      </c>
      <c r="W228">
        <v>8.6733521801876599E-8</v>
      </c>
      <c r="X228">
        <v>4.5491250475297396E-6</v>
      </c>
      <c r="Y228">
        <v>1.9129084228466699E-5</v>
      </c>
      <c r="Z228">
        <v>1.5256474293810901E-7</v>
      </c>
      <c r="AA228">
        <v>1.61201002578609E-5</v>
      </c>
      <c r="AB228">
        <v>7.7172604303990792E-6</v>
      </c>
      <c r="AC228">
        <v>1.70309623513629E-5</v>
      </c>
      <c r="AD228">
        <v>1.63582489385836E-6</v>
      </c>
      <c r="AE228">
        <v>1.32286681147992E-3</v>
      </c>
      <c r="AF228">
        <f t="shared" si="3"/>
        <v>1.4754049913442591E-3</v>
      </c>
    </row>
    <row r="229" spans="1:32" x14ac:dyDescent="0.3">
      <c r="A229" t="str">
        <v>Sous-ensemble</v>
      </c>
      <c r="B229" t="str">
        <v>Support manchette équipée</v>
      </c>
      <c r="C229" t="str">
        <v>Transport</v>
      </c>
      <c r="D229">
        <v>5.5599999999999995E-7</v>
      </c>
      <c r="E229">
        <v>6.3799999999999997E-7</v>
      </c>
      <c r="F229">
        <v>1.9099999999999998E-9</v>
      </c>
      <c r="G229">
        <v>6.3099999999999997E-7</v>
      </c>
      <c r="H229">
        <v>5.21E-9</v>
      </c>
      <c r="I229">
        <v>1.19E-6</v>
      </c>
      <c r="J229">
        <v>1.1599999999999999E-6</v>
      </c>
      <c r="K229">
        <v>2.3800000000000001E-8</v>
      </c>
      <c r="L229">
        <v>1.42E-8</v>
      </c>
      <c r="M229">
        <v>9.5399999999999997E-9</v>
      </c>
      <c r="N229">
        <v>7.7199999999999998E-7</v>
      </c>
      <c r="O229">
        <v>9.4499999999999995E-7</v>
      </c>
      <c r="P229">
        <v>6.1000000000000004E-8</v>
      </c>
      <c r="Q229">
        <v>1.5800000000000001E-18</v>
      </c>
      <c r="R229">
        <v>5.9400000000000003E-8</v>
      </c>
      <c r="S229">
        <v>1.6102392203092101E-9</v>
      </c>
      <c r="T229">
        <v>2.4919031296322002E-7</v>
      </c>
      <c r="U229">
        <v>5.6055408491462398E-8</v>
      </c>
      <c r="V229">
        <v>1.9273218640910201E-7</v>
      </c>
      <c r="W229">
        <v>1.7513736254662001E-9</v>
      </c>
      <c r="X229">
        <v>4.3345410218799898E-9</v>
      </c>
      <c r="Y229">
        <v>2.8815901513081499E-8</v>
      </c>
      <c r="Z229">
        <v>1.8982440378363501E-17</v>
      </c>
      <c r="AA229">
        <v>1.9258983524606301E-7</v>
      </c>
      <c r="AB229">
        <v>7.1732624066106496E-7</v>
      </c>
      <c r="AC229">
        <v>1.0569342460954499E-6</v>
      </c>
      <c r="AD229">
        <v>7.2147709305534902E-9</v>
      </c>
      <c r="AE229">
        <v>4.1736535508216396E-9</v>
      </c>
      <c r="AF229">
        <f t="shared" si="3"/>
        <v>8.5797887097490363E-6</v>
      </c>
    </row>
    <row r="230" spans="1:32" x14ac:dyDescent="0.3">
      <c r="A230" t="str">
        <v>Sous-ensemble</v>
      </c>
      <c r="B230" t="str">
        <v>Support NFC</v>
      </c>
      <c r="C230" t="str">
        <v>A5086</v>
      </c>
      <c r="D230">
        <v>8.0499999999999992E-6</v>
      </c>
      <c r="E230">
        <v>1.2500000000000001E-5</v>
      </c>
      <c r="F230">
        <v>1.48E-8</v>
      </c>
      <c r="G230">
        <v>1.2500000000000001E-5</v>
      </c>
      <c r="H230">
        <v>4.8300000000000001E-9</v>
      </c>
      <c r="I230">
        <v>9.5599999999999999E-6</v>
      </c>
      <c r="J230">
        <v>6.64E-6</v>
      </c>
      <c r="K230">
        <v>2.6000000000000001E-6</v>
      </c>
      <c r="L230">
        <v>3.2300000000000002E-7</v>
      </c>
      <c r="M230">
        <v>2.66E-8</v>
      </c>
      <c r="N230">
        <v>3.2799999999999999E-6</v>
      </c>
      <c r="O230">
        <v>3.9600000000000002E-6</v>
      </c>
      <c r="P230">
        <v>2.9100000000000001E-6</v>
      </c>
      <c r="Q230">
        <v>1.59E-15</v>
      </c>
      <c r="R230">
        <v>6.7199999999999998E-7</v>
      </c>
      <c r="S230">
        <v>2.2362035109565701E-6</v>
      </c>
      <c r="T230">
        <v>4.6379854390250803E-6</v>
      </c>
      <c r="U230">
        <v>6.4145235924444598E-7</v>
      </c>
      <c r="V230">
        <v>3.9869176404412503E-6</v>
      </c>
      <c r="W230">
        <v>4.5485177206794597E-8</v>
      </c>
      <c r="X230">
        <v>3.3542522653740499E-6</v>
      </c>
      <c r="Y230">
        <v>1.21844440576036E-7</v>
      </c>
      <c r="Z230">
        <v>5.9061812696572401E-14</v>
      </c>
      <c r="AA230">
        <v>8.5604411545448906E-6</v>
      </c>
      <c r="AB230">
        <v>4.87710119015634E-6</v>
      </c>
      <c r="AC230">
        <v>1.9154503586464799E-5</v>
      </c>
      <c r="AD230">
        <v>2.4677588163254601E-6</v>
      </c>
      <c r="AE230">
        <v>1.31018891010525E-6</v>
      </c>
      <c r="AF230">
        <f t="shared" si="3"/>
        <v>1.1443536455107274E-4</v>
      </c>
    </row>
    <row r="231" spans="1:32" x14ac:dyDescent="0.3">
      <c r="A231" t="str">
        <v>Sous-ensemble</v>
      </c>
      <c r="B231" t="str">
        <v>Support NFC</v>
      </c>
      <c r="C231" t="str">
        <v>packaging</v>
      </c>
      <c r="D231">
        <v>9.1700000000000003E-6</v>
      </c>
      <c r="E231">
        <v>1.08E-5</v>
      </c>
      <c r="F231">
        <v>1.7099999999999999E-6</v>
      </c>
      <c r="G231">
        <v>-6.4600000000000004E-7</v>
      </c>
      <c r="H231">
        <v>-8.1899999999999996E-11</v>
      </c>
      <c r="I231">
        <v>2.1699999999999999E-5</v>
      </c>
      <c r="J231">
        <v>1.6400000000000001E-7</v>
      </c>
      <c r="K231">
        <v>-9.9999999999999995E-7</v>
      </c>
      <c r="L231">
        <v>2.7999999999999999E-8</v>
      </c>
      <c r="M231">
        <v>2.5599999999999999E-5</v>
      </c>
      <c r="N231">
        <v>5.9399999999999999E-6</v>
      </c>
      <c r="O231">
        <v>6.1399999999999997E-6</v>
      </c>
      <c r="P231">
        <v>1.9599999999999999E-6</v>
      </c>
      <c r="Q231">
        <v>-1.1700000000000001E-15</v>
      </c>
      <c r="R231">
        <v>2.6400000000000001E-8</v>
      </c>
      <c r="S231">
        <v>-4.0272525605813201E-8</v>
      </c>
      <c r="T231">
        <v>4.3418542894465003E-6</v>
      </c>
      <c r="U231">
        <v>4.0135266573710298E-8</v>
      </c>
      <c r="V231">
        <v>1.8248926087706101E-7</v>
      </c>
      <c r="W231">
        <v>8.6733521801876599E-8</v>
      </c>
      <c r="X231">
        <v>4.5491250475297396E-6</v>
      </c>
      <c r="Y231">
        <v>1.9129084228466699E-5</v>
      </c>
      <c r="Z231">
        <v>1.5256474293810901E-7</v>
      </c>
      <c r="AA231">
        <v>1.61201002578609E-5</v>
      </c>
      <c r="AB231">
        <v>7.7172604303990792E-6</v>
      </c>
      <c r="AC231">
        <v>1.70309623513629E-5</v>
      </c>
      <c r="AD231">
        <v>1.63582489385836E-6</v>
      </c>
      <c r="AE231">
        <v>1.32286681147992E-3</v>
      </c>
      <c r="AF231">
        <f t="shared" si="3"/>
        <v>1.4754049913442591E-3</v>
      </c>
    </row>
    <row r="232" spans="1:32" x14ac:dyDescent="0.3">
      <c r="A232" t="str">
        <v>Sous-ensemble</v>
      </c>
      <c r="B232" t="str">
        <v>Support NFC</v>
      </c>
      <c r="C232" t="str">
        <v>Transport</v>
      </c>
      <c r="D232">
        <v>3.03E-7</v>
      </c>
      <c r="E232">
        <v>3.4700000000000002E-7</v>
      </c>
      <c r="F232">
        <v>1.0399999999999999E-9</v>
      </c>
      <c r="G232">
        <v>3.4400000000000001E-7</v>
      </c>
      <c r="H232">
        <v>2.8400000000000001E-9</v>
      </c>
      <c r="I232">
        <v>6.5000000000000002E-7</v>
      </c>
      <c r="J232">
        <v>6.3E-7</v>
      </c>
      <c r="K232">
        <v>1.29E-8</v>
      </c>
      <c r="L232">
        <v>7.7599999999999997E-9</v>
      </c>
      <c r="M232">
        <v>5.1899999999999997E-9</v>
      </c>
      <c r="N232">
        <v>4.2E-7</v>
      </c>
      <c r="O232">
        <v>5.1399999999999997E-7</v>
      </c>
      <c r="P232">
        <v>3.32E-8</v>
      </c>
      <c r="Q232">
        <v>8.6299999999999995E-19</v>
      </c>
      <c r="R232">
        <v>3.2399999999999999E-8</v>
      </c>
      <c r="S232">
        <v>8.76541511055418E-10</v>
      </c>
      <c r="T232">
        <v>1.3564795262110799E-7</v>
      </c>
      <c r="U232">
        <v>3.05140328481751E-8</v>
      </c>
      <c r="V232">
        <v>1.0491469824689E-7</v>
      </c>
      <c r="W232">
        <v>9.5336870741103804E-10</v>
      </c>
      <c r="X232">
        <v>2.35952837884596E-9</v>
      </c>
      <c r="Y232">
        <v>1.56860754204274E-8</v>
      </c>
      <c r="Z232">
        <v>1.0333183270480099E-17</v>
      </c>
      <c r="AA232">
        <v>1.04837208702494E-7</v>
      </c>
      <c r="AB232">
        <v>3.9048001003727302E-7</v>
      </c>
      <c r="AC232">
        <v>5.75347271060022E-7</v>
      </c>
      <c r="AD232">
        <v>3.9273954662287101E-9</v>
      </c>
      <c r="AE232">
        <v>2.2719485054875399E-9</v>
      </c>
      <c r="AF232">
        <f t="shared" si="3"/>
        <v>4.6711460315166146E-6</v>
      </c>
    </row>
    <row r="233" spans="1:32" x14ac:dyDescent="0.3">
      <c r="A233" t="str">
        <v>Livraison</v>
      </c>
      <c r="B233" t="str">
        <v>Livraison à Hambourg</v>
      </c>
      <c r="C233" t="str">
        <v>packaging</v>
      </c>
      <c r="D233">
        <v>1.4514848173658001E-3</v>
      </c>
      <c r="E233">
        <v>2.39470609212099E-3</v>
      </c>
      <c r="F233">
        <v>1.0066226917835801E-3</v>
      </c>
      <c r="G233">
        <v>5.57158292890304E-4</v>
      </c>
      <c r="H233">
        <v>3.7267914508565699E-6</v>
      </c>
      <c r="I233">
        <v>4.2796098176475202E-3</v>
      </c>
      <c r="J233">
        <v>3.1419085619543798E-3</v>
      </c>
      <c r="K233">
        <v>-7.5310292532673197E-4</v>
      </c>
      <c r="L233">
        <v>3.2413675654510499E-5</v>
      </c>
      <c r="M233">
        <v>1.9492218365760601E-3</v>
      </c>
      <c r="N233">
        <v>1.3098192786805999E-3</v>
      </c>
      <c r="O233">
        <v>1.42383843842543E-3</v>
      </c>
      <c r="P233">
        <v>4.63626353459799E-4</v>
      </c>
      <c r="Q233">
        <v>-1.23275801059059E-12</v>
      </c>
      <c r="R233">
        <v>2.2155266324759299E-4</v>
      </c>
      <c r="S233">
        <v>8.2246023754211595E-5</v>
      </c>
      <c r="T233">
        <v>1.83449649473853E-3</v>
      </c>
      <c r="U233">
        <v>3.8157424622437002E-4</v>
      </c>
      <c r="V233">
        <v>1.06220528899076E-3</v>
      </c>
      <c r="W233">
        <v>5.3699999999999997E-5</v>
      </c>
      <c r="X233">
        <v>-1.48E-3</v>
      </c>
      <c r="Y233">
        <v>1.34E-2</v>
      </c>
      <c r="Z233">
        <v>1.29E-5</v>
      </c>
      <c r="AA233">
        <v>2.0699999999999998E-3</v>
      </c>
      <c r="AB233">
        <v>1.82E-3</v>
      </c>
      <c r="AC233">
        <v>1.9400000000000001E-3</v>
      </c>
      <c r="AD233">
        <v>1.3100000000000001E-4</v>
      </c>
      <c r="AE233">
        <v>0.11799999999999999</v>
      </c>
      <c r="AF233">
        <f t="shared" si="3"/>
        <v>0.15679070843840581</v>
      </c>
    </row>
    <row r="234" spans="1:32" x14ac:dyDescent="0.3">
      <c r="A234" t="str">
        <v>Livraison</v>
      </c>
      <c r="B234" t="str">
        <v>Livraison à Hambourg</v>
      </c>
      <c r="C234" t="str">
        <v>Transport</v>
      </c>
      <c r="D234">
        <v>2.1078160836920001E-3</v>
      </c>
      <c r="E234">
        <v>2.4202481897135399E-3</v>
      </c>
      <c r="F234">
        <v>7.2370695673431703E-6</v>
      </c>
      <c r="G234">
        <v>2.3932613902247599E-3</v>
      </c>
      <c r="H234">
        <v>1.9749729921439799E-5</v>
      </c>
      <c r="I234">
        <v>4.5296966655507202E-3</v>
      </c>
      <c r="J234">
        <v>4.3855175037005199E-3</v>
      </c>
      <c r="K234">
        <v>9.0147652642435106E-5</v>
      </c>
      <c r="L234">
        <v>5.4031509207761201E-5</v>
      </c>
      <c r="M234">
        <v>3.6165342157901699E-5</v>
      </c>
      <c r="N234">
        <v>2.92837861855839E-3</v>
      </c>
      <c r="O234">
        <v>3.5835799481722902E-3</v>
      </c>
      <c r="P234">
        <v>2.3147214514141501E-4</v>
      </c>
      <c r="Q234">
        <v>6.0087644032966997E-15</v>
      </c>
      <c r="R234">
        <v>2.2536587019964099E-4</v>
      </c>
      <c r="S234">
        <v>6.1062749357656497E-6</v>
      </c>
      <c r="T234">
        <v>9.4496801660980199E-4</v>
      </c>
      <c r="U234">
        <v>2.1257073580644299E-4</v>
      </c>
      <c r="V234">
        <v>7.3087011193232701E-4</v>
      </c>
      <c r="W234">
        <v>6.64E-6</v>
      </c>
      <c r="X234">
        <v>1.6399999999999999E-5</v>
      </c>
      <c r="Y234">
        <v>1.0900000000000001E-4</v>
      </c>
      <c r="Z234">
        <v>7.1999999999999996E-14</v>
      </c>
      <c r="AA234">
        <v>7.2999999999999996E-4</v>
      </c>
      <c r="AB234">
        <v>2.7200000000000002E-3</v>
      </c>
      <c r="AC234">
        <v>4.0099999999999997E-3</v>
      </c>
      <c r="AD234">
        <v>2.7399999999999999E-5</v>
      </c>
      <c r="AE234">
        <v>1.5800000000000001E-5</v>
      </c>
      <c r="AF234">
        <f t="shared" si="3"/>
        <v>3.254242285781251E-2</v>
      </c>
    </row>
    <row r="235" spans="1:32" x14ac:dyDescent="0.3">
      <c r="A235" t="str">
        <v>Utilisation</v>
      </c>
      <c r="B235" t="str">
        <v>Consommation passive</v>
      </c>
      <c r="C235" t="str">
        <v>EU-28: Kerosene / Jet A1 at refinery Sphera</v>
      </c>
      <c r="D235">
        <v>0.50600000000000001</v>
      </c>
      <c r="E235">
        <v>1.02</v>
      </c>
      <c r="F235">
        <v>9.9900000000000006E-3</v>
      </c>
      <c r="G235">
        <v>1.01</v>
      </c>
      <c r="H235">
        <v>1.7000000000000001E-4</v>
      </c>
      <c r="I235">
        <v>15.2</v>
      </c>
      <c r="J235">
        <v>14.8</v>
      </c>
      <c r="K235">
        <v>0.23499999999999999</v>
      </c>
      <c r="L235">
        <v>0.11700000000000001</v>
      </c>
      <c r="M235">
        <v>6.6299999999999996E-3</v>
      </c>
      <c r="N235">
        <v>0.26800000000000002</v>
      </c>
      <c r="O235">
        <v>0.32500000000000001</v>
      </c>
      <c r="P235">
        <v>0.71</v>
      </c>
      <c r="Q235">
        <v>8.01E-12</v>
      </c>
      <c r="R235">
        <v>0.69599999999999995</v>
      </c>
      <c r="S235">
        <v>1.42270499885844E-2</v>
      </c>
      <c r="T235">
        <v>2.1443774134964402</v>
      </c>
      <c r="U235">
        <v>0.457530233478605</v>
      </c>
      <c r="V235">
        <v>1.68414745560857</v>
      </c>
      <c r="W235">
        <v>2.0600184584041201E-2</v>
      </c>
      <c r="X235">
        <v>2.34304819846919E-2</v>
      </c>
      <c r="Y235">
        <v>2.20676007283707E-3</v>
      </c>
      <c r="Z235">
        <v>9.7044399187507403E-11</v>
      </c>
      <c r="AA235">
        <v>0.30570194305952902</v>
      </c>
      <c r="AB235">
        <v>0.64049770223886504</v>
      </c>
      <c r="AC235">
        <v>13.702124053918901</v>
      </c>
      <c r="AD235">
        <v>3.4183322523815902E-2</v>
      </c>
      <c r="AE235">
        <v>7.4921584983720403E-3</v>
      </c>
      <c r="AF235">
        <f t="shared" si="3"/>
        <v>53.940308759558313</v>
      </c>
    </row>
    <row r="236" spans="1:32" x14ac:dyDescent="0.3">
      <c r="A236" t="str">
        <v>Utilisation</v>
      </c>
      <c r="B236" t="str">
        <v>Consommation passive</v>
      </c>
      <c r="C236" t="str">
        <v>GLO: Cargo plane, 65 t payload Sphera &lt;u-so&gt;</v>
      </c>
      <c r="D236">
        <v>4.2300000000000004</v>
      </c>
      <c r="E236">
        <v>7.11</v>
      </c>
      <c r="F236">
        <v>0</v>
      </c>
      <c r="G236">
        <v>7.11</v>
      </c>
      <c r="H236">
        <v>0</v>
      </c>
      <c r="I236">
        <v>3.5100000000000001E-3</v>
      </c>
      <c r="J236">
        <v>2.5199999999999999E-5</v>
      </c>
      <c r="K236">
        <v>0</v>
      </c>
      <c r="L236">
        <v>3.48E-3</v>
      </c>
      <c r="M236">
        <v>0</v>
      </c>
      <c r="N236">
        <v>5.82</v>
      </c>
      <c r="O236">
        <v>7.05</v>
      </c>
      <c r="P236">
        <v>0</v>
      </c>
      <c r="Q236">
        <v>0</v>
      </c>
      <c r="R236">
        <v>0</v>
      </c>
      <c r="S236">
        <v>0</v>
      </c>
      <c r="T236">
        <v>0.226228279402898</v>
      </c>
      <c r="U236">
        <v>0.22137052299340701</v>
      </c>
      <c r="V236">
        <v>0</v>
      </c>
      <c r="W236">
        <v>5.0098950191908498E-3</v>
      </c>
      <c r="X236">
        <v>0</v>
      </c>
      <c r="Y236">
        <v>0</v>
      </c>
      <c r="Z236">
        <v>0</v>
      </c>
      <c r="AA236">
        <v>1.1056676537673</v>
      </c>
      <c r="AB236">
        <v>7.7115302790850899</v>
      </c>
      <c r="AC236">
        <v>0</v>
      </c>
      <c r="AD236">
        <v>0</v>
      </c>
      <c r="AE236">
        <v>0</v>
      </c>
      <c r="AF236">
        <f t="shared" si="3"/>
        <v>40.596821830267885</v>
      </c>
    </row>
    <row r="237" spans="1:32" x14ac:dyDescent="0.3">
      <c r="A237" t="str">
        <v>Utilisation</v>
      </c>
      <c r="B237" t="str">
        <v>Entretien</v>
      </c>
      <c r="C237" t="str">
        <v>Nettoyage et désinfection</v>
      </c>
      <c r="D237">
        <v>1.17E-3</v>
      </c>
      <c r="E237">
        <v>1.4300000000000001E-3</v>
      </c>
      <c r="F237">
        <v>0</v>
      </c>
      <c r="G237">
        <v>0</v>
      </c>
      <c r="H237">
        <v>0</v>
      </c>
      <c r="I237">
        <v>5.47E-3</v>
      </c>
      <c r="J237">
        <v>0</v>
      </c>
      <c r="K237">
        <v>0</v>
      </c>
      <c r="L237">
        <v>0</v>
      </c>
      <c r="M237">
        <v>6.1599999999999997E-3</v>
      </c>
      <c r="N237">
        <v>6.8499999999999995E-4</v>
      </c>
      <c r="O237">
        <v>6.3100000000000005E-4</v>
      </c>
      <c r="P237">
        <v>3.4099999999999999E-4</v>
      </c>
      <c r="Q237">
        <v>0</v>
      </c>
      <c r="R237">
        <v>0</v>
      </c>
      <c r="S237">
        <v>0</v>
      </c>
      <c r="T237">
        <v>6.6299999999999996E-4</v>
      </c>
      <c r="U237">
        <v>0</v>
      </c>
      <c r="V237">
        <v>0</v>
      </c>
      <c r="W237">
        <v>0</v>
      </c>
      <c r="X237">
        <v>1.2199999999999999E-3</v>
      </c>
      <c r="Y237">
        <v>1.9900000000000001E-4</v>
      </c>
      <c r="Z237">
        <v>1.6900000000000001E-5</v>
      </c>
      <c r="AA237">
        <v>5.3899999999999998E-4</v>
      </c>
      <c r="AB237">
        <v>7.3700000000000002E-4</v>
      </c>
      <c r="AC237">
        <v>3.48E-3</v>
      </c>
      <c r="AD237">
        <v>1.81E-3</v>
      </c>
      <c r="AE237">
        <v>1.5399999999999999E-3</v>
      </c>
      <c r="AF237">
        <f t="shared" si="3"/>
        <v>2.6091900000000001E-2</v>
      </c>
    </row>
    <row r="238" spans="1:32" x14ac:dyDescent="0.3">
      <c r="A238" t="str">
        <v>Utilisation 7 ans</v>
      </c>
      <c r="B238" t="str">
        <v>Consommation passive</v>
      </c>
      <c r="C238" t="str">
        <v>EU-28: Kerosene / Jet A1 at refinery Sphera</v>
      </c>
      <c r="D238">
        <v>3.5419999999999998</v>
      </c>
      <c r="E238">
        <v>7.1400000000000006</v>
      </c>
      <c r="F238">
        <v>6.9930000000000006E-2</v>
      </c>
      <c r="G238">
        <v>7.07</v>
      </c>
      <c r="H238">
        <v>1.1900000000000001E-3</v>
      </c>
      <c r="I238">
        <v>106.39999999999999</v>
      </c>
      <c r="J238">
        <v>103.60000000000001</v>
      </c>
      <c r="K238">
        <v>1.645</v>
      </c>
      <c r="L238">
        <v>0.81900000000000006</v>
      </c>
      <c r="M238">
        <v>4.641E-2</v>
      </c>
      <c r="N238">
        <v>1.8760000000000001</v>
      </c>
      <c r="O238">
        <v>2.2749999999999999</v>
      </c>
      <c r="P238">
        <v>4.97</v>
      </c>
      <c r="Q238">
        <v>5.607E-11</v>
      </c>
      <c r="R238">
        <v>4.8719999999999999</v>
      </c>
      <c r="S238">
        <v>9.9589349920090803E-2</v>
      </c>
      <c r="T238">
        <v>15.010641894475082</v>
      </c>
      <c r="U238">
        <v>3.2027116343502349</v>
      </c>
      <c r="V238">
        <v>11.78903218925999</v>
      </c>
      <c r="W238">
        <v>0.14420129208828841</v>
      </c>
      <c r="X238">
        <v>0.16401337389284332</v>
      </c>
      <c r="Y238">
        <v>1.544732050985949E-2</v>
      </c>
      <c r="Z238">
        <v>6.7931079431255183E-10</v>
      </c>
      <c r="AA238">
        <v>2.1399136014167031</v>
      </c>
      <c r="AB238">
        <v>4.4834839156720552</v>
      </c>
      <c r="AC238">
        <v>95.914868377432299</v>
      </c>
      <c r="AD238">
        <v>0.23928325766671132</v>
      </c>
      <c r="AE238">
        <v>5.2445109488604286E-2</v>
      </c>
      <c r="AF238">
        <f t="shared" si="3"/>
        <v>377.58216131690818</v>
      </c>
    </row>
    <row r="239" spans="1:32" x14ac:dyDescent="0.3">
      <c r="A239" t="str">
        <v>Utilisation 7 ans</v>
      </c>
      <c r="B239" t="str">
        <v>Consommation passive</v>
      </c>
      <c r="C239" t="str">
        <v>GLO: Cargo plane, 65 t payload Sphera &lt;u-so&gt;</v>
      </c>
      <c r="D239">
        <v>29.610000000000003</v>
      </c>
      <c r="E239">
        <v>49.77</v>
      </c>
      <c r="F239">
        <v>0</v>
      </c>
      <c r="G239">
        <v>49.77</v>
      </c>
      <c r="H239">
        <v>0</v>
      </c>
      <c r="I239">
        <v>2.4570000000000002E-2</v>
      </c>
      <c r="J239">
        <v>1.7640000000000001E-4</v>
      </c>
      <c r="K239">
        <v>0</v>
      </c>
      <c r="L239">
        <v>2.436E-2</v>
      </c>
      <c r="M239">
        <v>0</v>
      </c>
      <c r="N239">
        <v>40.74</v>
      </c>
      <c r="O239">
        <v>49.35</v>
      </c>
      <c r="P239">
        <v>0</v>
      </c>
      <c r="Q239">
        <v>0</v>
      </c>
      <c r="R239">
        <v>0</v>
      </c>
      <c r="S239">
        <v>0</v>
      </c>
      <c r="T239">
        <v>1.583597955820286</v>
      </c>
      <c r="U239">
        <v>1.549593660953849</v>
      </c>
      <c r="V239">
        <v>0</v>
      </c>
      <c r="W239">
        <v>3.5069265134335947E-2</v>
      </c>
      <c r="X239">
        <v>0</v>
      </c>
      <c r="Y239">
        <v>0</v>
      </c>
      <c r="Z239">
        <v>0</v>
      </c>
      <c r="AA239">
        <v>7.7396735763711</v>
      </c>
      <c r="AB239">
        <v>53.98071195359563</v>
      </c>
      <c r="AC239">
        <v>0</v>
      </c>
      <c r="AD239">
        <v>0</v>
      </c>
      <c r="AE239">
        <v>0</v>
      </c>
      <c r="AF239">
        <f t="shared" si="3"/>
        <v>284.17775281187522</v>
      </c>
    </row>
    <row r="240" spans="1:32" x14ac:dyDescent="0.3">
      <c r="A240" t="str">
        <v>Utilisation 7 ans</v>
      </c>
      <c r="B240" t="str">
        <v>Entretien</v>
      </c>
      <c r="C240" t="str">
        <v>Nettoyage et désinfection</v>
      </c>
      <c r="D240">
        <v>8.1899999999999994E-3</v>
      </c>
      <c r="E240">
        <v>1.001E-2</v>
      </c>
      <c r="F240">
        <v>0</v>
      </c>
      <c r="G240">
        <v>0</v>
      </c>
      <c r="H240">
        <v>0</v>
      </c>
      <c r="I240">
        <v>3.8289999999999998E-2</v>
      </c>
      <c r="J240">
        <v>0</v>
      </c>
      <c r="K240">
        <v>0</v>
      </c>
      <c r="L240">
        <v>0</v>
      </c>
      <c r="M240">
        <v>4.3119999999999999E-2</v>
      </c>
      <c r="N240">
        <v>4.7949999999999998E-3</v>
      </c>
      <c r="O240">
        <v>4.4170000000000008E-3</v>
      </c>
      <c r="P240">
        <v>2.3869999999999998E-3</v>
      </c>
      <c r="Q240">
        <v>0</v>
      </c>
      <c r="R240">
        <v>0</v>
      </c>
      <c r="S240">
        <v>0</v>
      </c>
      <c r="T240">
        <v>4.6409999999999993E-3</v>
      </c>
      <c r="U240">
        <v>0</v>
      </c>
      <c r="V240">
        <v>0</v>
      </c>
      <c r="W240">
        <v>0</v>
      </c>
      <c r="X240">
        <v>8.539999999999999E-3</v>
      </c>
      <c r="Y240">
        <v>1.3930000000000001E-3</v>
      </c>
      <c r="Z240">
        <v>1.183E-4</v>
      </c>
      <c r="AA240">
        <v>3.7729999999999999E-3</v>
      </c>
      <c r="AB240">
        <v>5.1590000000000004E-3</v>
      </c>
      <c r="AC240">
        <v>2.436E-2</v>
      </c>
      <c r="AD240">
        <v>1.2670000000000001E-2</v>
      </c>
      <c r="AE240">
        <v>1.078E-2</v>
      </c>
      <c r="AF240">
        <f t="shared" si="3"/>
        <v>0.18264330000000001</v>
      </c>
    </row>
    <row r="241" spans="1:32" x14ac:dyDescent="0.3">
      <c r="A241" t="str">
        <v>Fin de vie</v>
      </c>
      <c r="B241" t="str">
        <v>Enfouissement</v>
      </c>
      <c r="C241" t="str">
        <v>Landfill Acier (11,54 kg)</v>
      </c>
      <c r="D241">
        <v>2.2399999999999999E-5</v>
      </c>
      <c r="E241">
        <v>2.1699999999999999E-5</v>
      </c>
      <c r="F241">
        <v>7.0200000000000007E-8</v>
      </c>
      <c r="G241">
        <v>2.16E-5</v>
      </c>
      <c r="H241">
        <v>6.3300000000000004E-8</v>
      </c>
      <c r="I241">
        <v>3.1199999999999999E-5</v>
      </c>
      <c r="J241">
        <v>2.9E-5</v>
      </c>
      <c r="K241">
        <v>1.9700000000000002E-6</v>
      </c>
      <c r="L241">
        <v>2.35E-7</v>
      </c>
      <c r="M241">
        <v>1.8199999999999999E-7</v>
      </c>
      <c r="N241">
        <v>1.6500000000000001E-5</v>
      </c>
      <c r="O241">
        <v>2.0100000000000001E-5</v>
      </c>
      <c r="P241">
        <v>1.15E-5</v>
      </c>
      <c r="Q241">
        <v>1.2500000000000001E-16</v>
      </c>
      <c r="R241">
        <v>1.1199999999999999E-5</v>
      </c>
      <c r="S241">
        <v>3.3599999999999999E-7</v>
      </c>
      <c r="T241">
        <v>9.3499999999999996E-5</v>
      </c>
      <c r="U241">
        <v>3.89E-6</v>
      </c>
      <c r="V241">
        <v>8.9599999999999996E-5</v>
      </c>
      <c r="W241">
        <v>7.7599999999999993E-8</v>
      </c>
      <c r="X241">
        <v>6.0399999999999996E-7</v>
      </c>
      <c r="Y241">
        <v>5.7000000000000005E-7</v>
      </c>
      <c r="Z241">
        <v>1.26E-14</v>
      </c>
      <c r="AA241">
        <v>2.5899999999999999E-5</v>
      </c>
      <c r="AB241">
        <v>2.41E-5</v>
      </c>
      <c r="AC241">
        <v>3.5599999999999998E-5</v>
      </c>
      <c r="AD241">
        <v>2.5899999999999998E-7</v>
      </c>
      <c r="AE241">
        <v>1.6300000000000001E-6</v>
      </c>
      <c r="AF241">
        <f t="shared" si="3"/>
        <v>4.6378710001272505E-4</v>
      </c>
    </row>
    <row r="242" spans="1:32" x14ac:dyDescent="0.3">
      <c r="A242" t="str">
        <v>Fin de vie</v>
      </c>
      <c r="B242" t="str">
        <v>Enfouissement</v>
      </c>
      <c r="C242" t="str">
        <v>Landfill Aluminium (69,53 kg)</v>
      </c>
      <c r="D242">
        <v>1.35E-4</v>
      </c>
      <c r="E242">
        <v>1.3100000000000001E-4</v>
      </c>
      <c r="F242">
        <v>4.2300000000000002E-7</v>
      </c>
      <c r="G242">
        <v>1.2999999999999999E-4</v>
      </c>
      <c r="H242">
        <v>3.8200000000000001E-7</v>
      </c>
      <c r="I242">
        <v>5.8100000000000001E-3</v>
      </c>
      <c r="J242">
        <v>1.75E-4</v>
      </c>
      <c r="K242">
        <v>5.6299999999999996E-3</v>
      </c>
      <c r="L242">
        <v>1.42E-6</v>
      </c>
      <c r="M242">
        <v>1.1000000000000001E-6</v>
      </c>
      <c r="N242">
        <v>9.9500000000000006E-5</v>
      </c>
      <c r="O242">
        <v>1.21E-4</v>
      </c>
      <c r="P242">
        <v>6.9400000000000006E-5</v>
      </c>
      <c r="Q242">
        <v>7.6700000000000004E-16</v>
      </c>
      <c r="R242">
        <v>6.7299999999999996E-5</v>
      </c>
      <c r="S242">
        <v>2.03E-6</v>
      </c>
      <c r="T242">
        <v>5.6300000000000002E-4</v>
      </c>
      <c r="U242">
        <v>2.34E-5</v>
      </c>
      <c r="V242">
        <v>5.4000000000000001E-4</v>
      </c>
      <c r="W242">
        <v>4.6800000000000001E-7</v>
      </c>
      <c r="X242">
        <v>3.67E-6</v>
      </c>
      <c r="Y242">
        <v>3.4400000000000001E-6</v>
      </c>
      <c r="Z242">
        <v>7.6200000000000006E-14</v>
      </c>
      <c r="AA242">
        <v>1.56E-4</v>
      </c>
      <c r="AB242">
        <v>1.45E-4</v>
      </c>
      <c r="AC242">
        <v>2.1499999999999999E-4</v>
      </c>
      <c r="AD242">
        <v>1.5600000000000001E-6</v>
      </c>
      <c r="AE242">
        <v>9.8400000000000007E-6</v>
      </c>
      <c r="AF242">
        <f t="shared" si="3"/>
        <v>1.4034933000076967E-2</v>
      </c>
    </row>
    <row r="243" spans="1:32" x14ac:dyDescent="0.3">
      <c r="A243" t="str">
        <v>Fin de vie</v>
      </c>
      <c r="B243" t="str">
        <v>Enfouissement</v>
      </c>
      <c r="C243" t="str">
        <v>Landfill DEEE (9,55 kg)</v>
      </c>
      <c r="D243">
        <v>2.9100000000000003E-4</v>
      </c>
      <c r="E243">
        <v>3.8099999999999999E-4</v>
      </c>
      <c r="F243">
        <v>1.8700000000000001E-6</v>
      </c>
      <c r="G243">
        <v>3.79E-4</v>
      </c>
      <c r="H243">
        <v>4.8699999999999995E-7</v>
      </c>
      <c r="I243">
        <v>4.5899999999999999E-4</v>
      </c>
      <c r="J243">
        <v>3.5500000000000001E-4</v>
      </c>
      <c r="K243">
        <v>1.02E-4</v>
      </c>
      <c r="L243">
        <v>2.4899999999999999E-6</v>
      </c>
      <c r="M243">
        <v>3.4300000000000002E-6</v>
      </c>
      <c r="N243">
        <v>3.3E-4</v>
      </c>
      <c r="O243">
        <v>3.9899999999999999E-4</v>
      </c>
      <c r="P243">
        <v>1.7100000000000001E-2</v>
      </c>
      <c r="Q243">
        <v>3.13E-15</v>
      </c>
      <c r="R243">
        <v>1.7000000000000001E-2</v>
      </c>
      <c r="S243">
        <v>4.6E-5</v>
      </c>
      <c r="T243">
        <v>0.14799999999999999</v>
      </c>
      <c r="U243">
        <v>4.07E-5</v>
      </c>
      <c r="V243">
        <v>0.14799999999999999</v>
      </c>
      <c r="W243">
        <v>2.3800000000000001E-6</v>
      </c>
      <c r="X243">
        <v>2.3300000000000001E-5</v>
      </c>
      <c r="Y243">
        <v>9.0999999999999993E-6</v>
      </c>
      <c r="Z243">
        <v>6.4399999999999998E-13</v>
      </c>
      <c r="AA243">
        <v>1.7200000000000001E-4</v>
      </c>
      <c r="AB243">
        <v>4.2299999999999998E-4</v>
      </c>
      <c r="AC243">
        <v>4.9899999999999999E-4</v>
      </c>
      <c r="AD243">
        <v>7.7600000000000002E-6</v>
      </c>
      <c r="AE243">
        <v>1.1399999999999999E-5</v>
      </c>
      <c r="AF243">
        <f t="shared" si="3"/>
        <v>0.3340389170006472</v>
      </c>
    </row>
    <row r="244" spans="1:32" x14ac:dyDescent="0.3">
      <c r="A244" t="str">
        <v>Fin de vie</v>
      </c>
      <c r="B244" t="str">
        <v>Enfouissement</v>
      </c>
      <c r="C244" t="str">
        <v>landfill plastique (21,36 kg)</v>
      </c>
      <c r="D244">
        <v>8.25E-5</v>
      </c>
      <c r="E244">
        <v>1.9000000000000001E-4</v>
      </c>
      <c r="F244">
        <v>3.8099999999999998E-7</v>
      </c>
      <c r="G244">
        <v>1.8900000000000001E-4</v>
      </c>
      <c r="H244">
        <v>1.5800000000000001E-7</v>
      </c>
      <c r="I244">
        <v>4.9700000000000005E-4</v>
      </c>
      <c r="J244">
        <v>1.47E-4</v>
      </c>
      <c r="K244">
        <v>6.2000000000000003E-5</v>
      </c>
      <c r="L244">
        <v>2.8800000000000001E-4</v>
      </c>
      <c r="M244">
        <v>1.76E-4</v>
      </c>
      <c r="N244">
        <v>5.3199999999999999E-5</v>
      </c>
      <c r="O244">
        <v>6.4499999999999996E-5</v>
      </c>
      <c r="P244">
        <v>5.6199999999999997E-5</v>
      </c>
      <c r="Q244">
        <v>2.33E-15</v>
      </c>
      <c r="R244">
        <v>5.1799999999999999E-5</v>
      </c>
      <c r="S244">
        <v>4.4399999999999998E-6</v>
      </c>
      <c r="T244">
        <v>3.4699999999999998E-4</v>
      </c>
      <c r="U244">
        <v>1.6500000000000001E-5</v>
      </c>
      <c r="V244">
        <v>3.2400000000000001E-4</v>
      </c>
      <c r="W244">
        <v>7.9500000000000001E-6</v>
      </c>
      <c r="X244">
        <v>8.8100000000000004E-6</v>
      </c>
      <c r="Y244">
        <v>1.8500000000000001E-6</v>
      </c>
      <c r="Z244">
        <v>6.8799999999999995E-14</v>
      </c>
      <c r="AA244">
        <v>7.5500000000000006E-5</v>
      </c>
      <c r="AB244">
        <v>8.1899999999999999E-5</v>
      </c>
      <c r="AC244">
        <v>3.4299999999999999E-4</v>
      </c>
      <c r="AD244">
        <v>1.66E-6</v>
      </c>
      <c r="AE244">
        <v>-1.64E-6</v>
      </c>
      <c r="AF244">
        <f t="shared" si="3"/>
        <v>3.0687090000711308E-3</v>
      </c>
    </row>
    <row r="245" spans="1:32" x14ac:dyDescent="0.3">
      <c r="A245" t="str">
        <v>Fin de vie</v>
      </c>
      <c r="B245" t="str">
        <v>Enfouissement</v>
      </c>
      <c r="C245" t="str">
        <v>landfill textile (2,34 kg)</v>
      </c>
      <c r="D245">
        <v>1.5400000000000002E-5</v>
      </c>
      <c r="E245">
        <v>3.6699999999999998E-4</v>
      </c>
      <c r="F245">
        <v>3.28E-4</v>
      </c>
      <c r="G245">
        <v>3.8699999999999999E-5</v>
      </c>
      <c r="H245">
        <v>1.7299999999999999E-8</v>
      </c>
      <c r="I245">
        <v>1.34E-4</v>
      </c>
      <c r="J245">
        <v>1.26E-4</v>
      </c>
      <c r="K245">
        <v>3.7000000000000002E-6</v>
      </c>
      <c r="L245">
        <v>4.7099999999999998E-6</v>
      </c>
      <c r="M245">
        <v>1.9700000000000001E-5</v>
      </c>
      <c r="N245">
        <v>8.4699999999999999E-5</v>
      </c>
      <c r="O245">
        <v>1.7499999999999998E-5</v>
      </c>
      <c r="P245">
        <v>6.72E-6</v>
      </c>
      <c r="Q245">
        <v>2.55E-16</v>
      </c>
      <c r="R245">
        <v>5.4700000000000001E-6</v>
      </c>
      <c r="S245">
        <v>1.2500000000000001E-6</v>
      </c>
      <c r="T245">
        <v>7.1199999999999996E-5</v>
      </c>
      <c r="U245">
        <v>1.9199999999999999E-5</v>
      </c>
      <c r="V245">
        <v>3.5299999999999997E-5</v>
      </c>
      <c r="W245">
        <v>1.6900000000000001E-5</v>
      </c>
      <c r="X245">
        <v>9.6299999999999993E-7</v>
      </c>
      <c r="Y245">
        <v>2.0200000000000001E-7</v>
      </c>
      <c r="Z245">
        <v>7.5200000000000007E-15</v>
      </c>
      <c r="AA245">
        <v>1.38E-5</v>
      </c>
      <c r="AB245">
        <v>4.49E-5</v>
      </c>
      <c r="AC245">
        <v>3.7499999999999997E-5</v>
      </c>
      <c r="AD245">
        <v>1.8099999999999999E-7</v>
      </c>
      <c r="AE245">
        <v>1.0499999999999999E-6</v>
      </c>
      <c r="AF245">
        <f t="shared" si="3"/>
        <v>1.3940633000077752E-3</v>
      </c>
    </row>
    <row r="246" spans="1:32" x14ac:dyDescent="0.3">
      <c r="A246" t="str">
        <v>Fin de vie</v>
      </c>
      <c r="B246" t="str">
        <v>Recyclage</v>
      </c>
      <c r="C246" t="str">
        <v>Credit Recyclage Acier</v>
      </c>
      <c r="D246">
        <v>-4.6499999999999996E-3</v>
      </c>
      <c r="E246">
        <v>-4.9199999999999999E-3</v>
      </c>
      <c r="F246">
        <v>-4.1899999999999997E-6</v>
      </c>
      <c r="G246">
        <v>-4.8999999999999998E-3</v>
      </c>
      <c r="H246">
        <v>-9.2199999999999998E-6</v>
      </c>
      <c r="I246">
        <v>-6.1500000000000001E-3</v>
      </c>
      <c r="J246">
        <v>-3.8600000000000001E-3</v>
      </c>
      <c r="K246">
        <v>-2.2699999999999999E-3</v>
      </c>
      <c r="L246">
        <v>-2.3600000000000001E-5</v>
      </c>
      <c r="M246">
        <v>-3.2400000000000001E-5</v>
      </c>
      <c r="N246">
        <v>-2.32E-3</v>
      </c>
      <c r="O246">
        <v>-2.7799999999999999E-3</v>
      </c>
      <c r="P246">
        <v>-0.17199999999999999</v>
      </c>
      <c r="Q246">
        <v>-8.01E-12</v>
      </c>
      <c r="R246">
        <v>-4.91270005509367E-3</v>
      </c>
      <c r="S246">
        <v>-0.167487247212357</v>
      </c>
      <c r="T246">
        <v>-2.27075371790346E-2</v>
      </c>
      <c r="U246">
        <v>-7.8668728530836905E-4</v>
      </c>
      <c r="V246">
        <v>-2.1919586686059998E-2</v>
      </c>
      <c r="W246">
        <v>-1.8658594134913E-5</v>
      </c>
      <c r="X246">
        <v>-4.5958982757435301E-4</v>
      </c>
      <c r="Y246">
        <v>-1.5725501719914201E-4</v>
      </c>
      <c r="Z246">
        <v>-1.1556490832854301E-11</v>
      </c>
      <c r="AA246">
        <v>-7.4794035436953404E-3</v>
      </c>
      <c r="AB246">
        <v>-3.3291487899406598E-3</v>
      </c>
      <c r="AC246">
        <v>-7.8501168292902605E-3</v>
      </c>
      <c r="AD246">
        <v>-1.05714869532337E-2</v>
      </c>
      <c r="AE246">
        <v>-2.50865245610114E-3</v>
      </c>
      <c r="AF246">
        <f t="shared" si="3"/>
        <v>-0.45410748044858967</v>
      </c>
    </row>
    <row r="247" spans="1:32" x14ac:dyDescent="0.3">
      <c r="A247" t="str">
        <v>Fin de vie</v>
      </c>
      <c r="B247" t="str">
        <v>Recyclage</v>
      </c>
      <c r="C247" t="str">
        <v>Credit Recyclage Aluminium</v>
      </c>
      <c r="D247">
        <v>-4.7100000000000003E-2</v>
      </c>
      <c r="E247">
        <v>-6.6799999999999998E-2</v>
      </c>
      <c r="F247">
        <v>-8.5799999999999998E-5</v>
      </c>
      <c r="G247">
        <v>-6.6600000000000006E-2</v>
      </c>
      <c r="H247">
        <v>-3.1399999999999998E-5</v>
      </c>
      <c r="I247">
        <v>-5.4800000000000001E-2</v>
      </c>
      <c r="J247">
        <v>-3.85E-2</v>
      </c>
      <c r="K247">
        <v>-1.4500000000000001E-2</v>
      </c>
      <c r="L247">
        <v>-1.8600000000000001E-3</v>
      </c>
      <c r="M247">
        <v>-1.56E-4</v>
      </c>
      <c r="N247">
        <v>-1.7999999999999999E-2</v>
      </c>
      <c r="O247">
        <v>-2.1700000000000001E-2</v>
      </c>
      <c r="P247">
        <v>-1.67E-2</v>
      </c>
      <c r="Q247">
        <v>-8.4799999999999994E-12</v>
      </c>
      <c r="R247">
        <v>-4.0624376914808703E-3</v>
      </c>
      <c r="S247">
        <v>-1.26034422574474E-2</v>
      </c>
      <c r="T247">
        <v>-2.85102999827349E-2</v>
      </c>
      <c r="U247">
        <v>-3.5362358384236001E-3</v>
      </c>
      <c r="V247">
        <v>-2.4920037219776099E-2</v>
      </c>
      <c r="W247">
        <v>-2.4111420937652199E-4</v>
      </c>
      <c r="X247">
        <v>-1.7963837802626101E-2</v>
      </c>
      <c r="Y247">
        <v>-9.09070342160841E-4</v>
      </c>
      <c r="Z247">
        <v>-2.8445369475092101E-11</v>
      </c>
      <c r="AA247">
        <v>-4.7267739581747202E-2</v>
      </c>
      <c r="AB247">
        <v>-2.6976623264084901E-2</v>
      </c>
      <c r="AC247">
        <v>-0.104252253476809</v>
      </c>
      <c r="AD247">
        <v>-0.13026022188247999</v>
      </c>
      <c r="AE247">
        <v>-7.3987800868282596E-3</v>
      </c>
      <c r="AF247">
        <f t="shared" si="3"/>
        <v>-0.75573529367290104</v>
      </c>
    </row>
    <row r="248" spans="1:32" x14ac:dyDescent="0.3">
      <c r="A248" t="str">
        <v>Fin de vie</v>
      </c>
      <c r="B248" t="str">
        <v>Recyclage</v>
      </c>
      <c r="C248" t="str">
        <v>Credit Recyclage DEEE</v>
      </c>
      <c r="D248">
        <v>-4.1200000000000001E-2</v>
      </c>
      <c r="E248">
        <v>-5.8500000000000003E-2</v>
      </c>
      <c r="F248">
        <v>-7.5700000000000004E-6</v>
      </c>
      <c r="G248">
        <v>-8.2799999999999996E-4</v>
      </c>
      <c r="H248">
        <v>-4.7700000000000005E-7</v>
      </c>
      <c r="I248">
        <v>-1.84</v>
      </c>
      <c r="J248">
        <v>-4.9799999999999996E-4</v>
      </c>
      <c r="K248">
        <v>-9.2299999999999999E-4</v>
      </c>
      <c r="L248">
        <v>-6.7800000000000003E-6</v>
      </c>
      <c r="M248">
        <v>-0.497</v>
      </c>
      <c r="N248">
        <v>-4.6300000000000001E-2</v>
      </c>
      <c r="O248">
        <v>-4.48E-2</v>
      </c>
      <c r="P248">
        <v>-3.3799999999999997E-2</v>
      </c>
      <c r="Q248">
        <v>-1.15E-15</v>
      </c>
      <c r="R248">
        <v>-7.0692272584824904E-5</v>
      </c>
      <c r="S248">
        <v>-2.6588271950269599E-5</v>
      </c>
      <c r="T248">
        <v>-0.120699183305071</v>
      </c>
      <c r="U248">
        <v>-5.3835737224761498E-5</v>
      </c>
      <c r="V248">
        <v>-3.8801783677801601E-4</v>
      </c>
      <c r="W248">
        <v>-2.78241517913662E-6</v>
      </c>
      <c r="X248">
        <v>-1.7097296133687E-2</v>
      </c>
      <c r="Y248">
        <v>-3.0206100929360902E-3</v>
      </c>
      <c r="Z248">
        <v>-8.5297192775399798E-4</v>
      </c>
      <c r="AA248">
        <v>-4.2108022516914999E-2</v>
      </c>
      <c r="AB248">
        <v>-4.8577016681915101E-2</v>
      </c>
      <c r="AC248">
        <v>-9.3918820014787796E-2</v>
      </c>
      <c r="AD248">
        <v>-3.63138380591537</v>
      </c>
      <c r="AE248">
        <v>-1.1707123048216399</v>
      </c>
      <c r="AF248">
        <f t="shared" si="3"/>
        <v>-7.6927757749437937</v>
      </c>
    </row>
    <row r="249" spans="1:32" x14ac:dyDescent="0.3">
      <c r="A249" t="str">
        <v>Fin de vie</v>
      </c>
      <c r="B249" t="str">
        <v>Recyclage</v>
      </c>
      <c r="C249" t="str">
        <v>Credit Recyclage plastiques</v>
      </c>
      <c r="D249">
        <v>-9.0399999999999996E-4</v>
      </c>
      <c r="E249">
        <v>-2.4499999999999999E-3</v>
      </c>
      <c r="F249">
        <v>-4.3699999999999997E-6</v>
      </c>
      <c r="G249">
        <v>-2.4099999999999998E-3</v>
      </c>
      <c r="H249">
        <v>-2.22E-7</v>
      </c>
      <c r="I249">
        <v>-2.2200000000000001E-2</v>
      </c>
      <c r="J249">
        <v>-5.5100000000000001E-3</v>
      </c>
      <c r="K249">
        <v>-8.4100000000000008E-3</v>
      </c>
      <c r="L249">
        <v>-8.1700000000000002E-3</v>
      </c>
      <c r="M249">
        <v>-6.1200000000000002E-4</v>
      </c>
      <c r="N249">
        <v>-7.2400000000000003E-4</v>
      </c>
      <c r="O249">
        <v>-7.6499999999999995E-4</v>
      </c>
      <c r="P249">
        <v>-7.3999999999999999E-4</v>
      </c>
      <c r="Q249">
        <v>-3.29E-10</v>
      </c>
      <c r="R249">
        <v>-6.6343373515629299E-4</v>
      </c>
      <c r="S249">
        <v>-6.2321757603290502E-5</v>
      </c>
      <c r="T249">
        <v>-5.1618939662660098E-3</v>
      </c>
      <c r="U249">
        <v>-4.1569077297283897E-4</v>
      </c>
      <c r="V249">
        <v>-4.6328856379084498E-3</v>
      </c>
      <c r="W249">
        <v>-1.13138562791754E-4</v>
      </c>
      <c r="X249">
        <v>-9.6891811571459604E-4</v>
      </c>
      <c r="Y249">
        <v>-7.0319148685238201E-4</v>
      </c>
      <c r="Z249">
        <v>-5.0251979072164397E-6</v>
      </c>
      <c r="AA249">
        <v>-1.00168321493811E-3</v>
      </c>
      <c r="AB249">
        <v>-1.07249148526111E-3</v>
      </c>
      <c r="AC249">
        <v>-6.0908779633005597E-3</v>
      </c>
      <c r="AD249">
        <v>5.9639738205503499E-4</v>
      </c>
      <c r="AE249">
        <v>-4.5286042350865504E-3</v>
      </c>
      <c r="AF249">
        <f t="shared" si="3"/>
        <v>-7.7723351078704123E-2</v>
      </c>
    </row>
    <row r="250" spans="1:32" x14ac:dyDescent="0.3">
      <c r="A250" t="str">
        <v>Fin de vie</v>
      </c>
      <c r="B250" t="str">
        <v>Recyclage</v>
      </c>
      <c r="C250" t="str">
        <v>incinération Covers</v>
      </c>
      <c r="D250">
        <v>1.5E-5</v>
      </c>
      <c r="E250">
        <v>-5.02E-5</v>
      </c>
      <c r="F250">
        <v>-6.1500000000000004E-7</v>
      </c>
      <c r="G250">
        <v>-4.9499999999999997E-5</v>
      </c>
      <c r="H250">
        <v>-9.5999999999999999E-8</v>
      </c>
      <c r="I250">
        <v>-9.1000000000000003E-5</v>
      </c>
      <c r="J250">
        <v>-4.49E-5</v>
      </c>
      <c r="K250">
        <v>-4.6699999999999997E-5</v>
      </c>
      <c r="L250">
        <v>5.6400000000000002E-7</v>
      </c>
      <c r="M250">
        <v>-9.09E-7</v>
      </c>
      <c r="N250">
        <v>3.2400000000000001E-5</v>
      </c>
      <c r="O250">
        <v>4.2200000000000003E-5</v>
      </c>
      <c r="P250">
        <v>-5.8100000000000003E-6</v>
      </c>
      <c r="Q250">
        <v>-2.2899999999999999E-14</v>
      </c>
      <c r="R250">
        <v>1.4350544600528801E-6</v>
      </c>
      <c r="S250">
        <v>-7.2406436493093297E-6</v>
      </c>
      <c r="T250">
        <v>8.7496290405060907E-6</v>
      </c>
      <c r="U250">
        <v>-6.3320362258131204E-6</v>
      </c>
      <c r="V250">
        <v>1.51132006011616E-5</v>
      </c>
      <c r="W250">
        <v>-3.6309597931875701E-7</v>
      </c>
      <c r="X250">
        <v>-5.65304141500419E-5</v>
      </c>
      <c r="Y250">
        <v>-3.6333478253306801E-6</v>
      </c>
      <c r="Z250">
        <v>-2.4264860602357201E-13</v>
      </c>
      <c r="AA250">
        <v>-1.06151133618118E-5</v>
      </c>
      <c r="AB250">
        <v>3.7722439117116301E-5</v>
      </c>
      <c r="AC250">
        <v>-3.01935722069938E-4</v>
      </c>
      <c r="AD250">
        <v>-2.7556719793478898E-6</v>
      </c>
      <c r="AE250">
        <v>2.1872588157292699E-5</v>
      </c>
      <c r="AF250">
        <f t="shared" si="3"/>
        <v>-5.0407913413033059E-4</v>
      </c>
    </row>
    <row r="251" spans="1:32" x14ac:dyDescent="0.3">
      <c r="A251" t="str">
        <v>Fin de vie</v>
      </c>
      <c r="B251" t="str">
        <v>Recyclage</v>
      </c>
      <c r="C251" t="str">
        <v>Incineration plastiques</v>
      </c>
      <c r="D251">
        <v>-1.9587827311364099E-4</v>
      </c>
      <c r="E251">
        <v>1.2241468164508099E-3</v>
      </c>
      <c r="F251">
        <v>-5.0929154017994003E-6</v>
      </c>
      <c r="G251">
        <v>1.22999345234261E-3</v>
      </c>
      <c r="H251">
        <v>-7.53720489996312E-7</v>
      </c>
      <c r="I251">
        <v>-7.08870746806876E-4</v>
      </c>
      <c r="J251">
        <v>-3.7723669677796202E-4</v>
      </c>
      <c r="K251">
        <v>-3.92895799606613E-4</v>
      </c>
      <c r="L251">
        <v>6.1261749577699507E-5</v>
      </c>
      <c r="M251">
        <v>-7.4615432684834198E-6</v>
      </c>
      <c r="N251">
        <v>-1.6835589028455899E-4</v>
      </c>
      <c r="O251">
        <v>-1.7604811670322301E-4</v>
      </c>
      <c r="P251">
        <v>-7.3590263043250096E-5</v>
      </c>
      <c r="Q251">
        <v>-1.93734725988418E-13</v>
      </c>
      <c r="R251">
        <v>-1.15900980321272E-5</v>
      </c>
      <c r="S251">
        <v>-6.2000164817388107E-5</v>
      </c>
      <c r="T251">
        <v>-9.3044844095100795E-5</v>
      </c>
      <c r="U251">
        <v>-4.8970017444399997E-5</v>
      </c>
      <c r="V251">
        <v>-4.5063989749223299E-5</v>
      </c>
      <c r="W251">
        <v>-1.1275821937431099E-6</v>
      </c>
      <c r="X251">
        <v>-4.7686543433377E-4</v>
      </c>
      <c r="Y251">
        <v>-3.02828059564827E-5</v>
      </c>
      <c r="Z251">
        <v>-2.0017867381290602E-12</v>
      </c>
      <c r="AA251">
        <v>-1.3525324056221701E-4</v>
      </c>
      <c r="AB251">
        <v>-2.2331603857034699E-4</v>
      </c>
      <c r="AC251">
        <v>-2.56503059681244E-3</v>
      </c>
      <c r="AD251">
        <v>-2.2922147620764101E-5</v>
      </c>
      <c r="AE251">
        <v>1.1688553392832599E-4</v>
      </c>
      <c r="AF251">
        <f t="shared" si="3"/>
        <v>-3.1893633755804823E-3</v>
      </c>
    </row>
    <row r="252" spans="1:32" x14ac:dyDescent="0.3">
      <c r="A252" t="str">
        <v>Fin de vie</v>
      </c>
      <c r="B252" t="str">
        <v>Recyclage</v>
      </c>
      <c r="C252" t="str">
        <v>Mise en décharche Acier</v>
      </c>
      <c r="D252">
        <v>3.35332568156702E-6</v>
      </c>
      <c r="E252">
        <v>3.2515608053504098E-6</v>
      </c>
      <c r="F252">
        <v>1.0521046072020399E-8</v>
      </c>
      <c r="G252">
        <v>3.23154470900027E-6</v>
      </c>
      <c r="H252">
        <v>9.4950502781126698E-9</v>
      </c>
      <c r="I252">
        <v>4.6799048450369497E-6</v>
      </c>
      <c r="J252">
        <v>4.3499274872429298E-6</v>
      </c>
      <c r="K252">
        <v>2.94719591399744E-7</v>
      </c>
      <c r="L252">
        <v>3.5257766394274701E-8</v>
      </c>
      <c r="M252">
        <v>2.7328403665339401E-8</v>
      </c>
      <c r="N252">
        <v>2.4746888102680801E-6</v>
      </c>
      <c r="O252">
        <v>3.0064919168317701E-6</v>
      </c>
      <c r="P252">
        <v>1.7261588414662399E-6</v>
      </c>
      <c r="Q252">
        <v>1.8786779871807601E-17</v>
      </c>
      <c r="R252">
        <v>1.6757155235165399E-6</v>
      </c>
      <c r="S252">
        <v>5.0443317930915899E-8</v>
      </c>
      <c r="T252">
        <v>1.40185041404875E-5</v>
      </c>
      <c r="U252">
        <v>5.8288527129232102E-7</v>
      </c>
      <c r="V252">
        <v>1.34314079782726E-5</v>
      </c>
      <c r="W252">
        <v>1.16328790701018E-8</v>
      </c>
      <c r="X252">
        <v>9.05719272808847E-8</v>
      </c>
      <c r="Y252">
        <v>8.5507789967622304E-8</v>
      </c>
      <c r="Z252">
        <v>1.8938631624940498E-15</v>
      </c>
      <c r="AA252">
        <v>3.8865781004460797E-6</v>
      </c>
      <c r="AB252">
        <v>3.6099588655712699E-6</v>
      </c>
      <c r="AC252">
        <v>5.3387722355786597E-6</v>
      </c>
      <c r="AD252">
        <v>3.8864953433284602E-8</v>
      </c>
      <c r="AE252">
        <v>2.4479202339970102E-7</v>
      </c>
      <c r="AF252">
        <f t="shared" si="3"/>
        <v>6.951655996273329E-5</v>
      </c>
    </row>
    <row r="253" spans="1:32" x14ac:dyDescent="0.3">
      <c r="A253" t="str">
        <v>Fin de vie</v>
      </c>
      <c r="B253" t="str">
        <v>Recyclage</v>
      </c>
      <c r="C253" t="str">
        <v>Mise en décharge Aluminium</v>
      </c>
      <c r="D253">
        <v>2.0218546613354499E-5</v>
      </c>
      <c r="E253">
        <v>1.9608921938779601E-5</v>
      </c>
      <c r="F253">
        <v>6.3476760876449405E-8</v>
      </c>
      <c r="G253">
        <v>1.94881926271698E-5</v>
      </c>
      <c r="H253">
        <v>5.7252550733301601E-8</v>
      </c>
      <c r="I253">
        <v>8.7169733200129196E-4</v>
      </c>
      <c r="J253">
        <v>2.6229273181279199E-5</v>
      </c>
      <c r="K253">
        <v>8.4525547384443596E-4</v>
      </c>
      <c r="L253">
        <v>2.1258497557655501E-7</v>
      </c>
      <c r="M253">
        <v>1.6483496236239701E-7</v>
      </c>
      <c r="N253">
        <v>1.49207873190646E-5</v>
      </c>
      <c r="O253">
        <v>1.8127158115203301E-5</v>
      </c>
      <c r="P253">
        <v>1.04074030458629E-5</v>
      </c>
      <c r="Q253">
        <v>1.1512937867536599E-16</v>
      </c>
      <c r="R253">
        <v>1.01028674950482E-5</v>
      </c>
      <c r="S253">
        <v>3.0453555069954498E-7</v>
      </c>
      <c r="T253">
        <v>8.4517946436757799E-5</v>
      </c>
      <c r="U253">
        <v>3.5147074221098602E-6</v>
      </c>
      <c r="V253">
        <v>8.0977848354280902E-5</v>
      </c>
      <c r="W253">
        <v>7.0151192175883201E-8</v>
      </c>
      <c r="X253">
        <v>5.5065976790934295E-7</v>
      </c>
      <c r="Y253">
        <v>5.1582454910902204E-7</v>
      </c>
      <c r="Z253">
        <v>1.14378830724595E-14</v>
      </c>
      <c r="AA253">
        <v>2.3433116200910701E-5</v>
      </c>
      <c r="AB253">
        <v>2.1765565486572399E-5</v>
      </c>
      <c r="AC253">
        <v>3.2199178320118797E-5</v>
      </c>
      <c r="AD253">
        <v>2.34520115241684E-7</v>
      </c>
      <c r="AE253">
        <v>1.4764531443925401E-6</v>
      </c>
      <c r="AF253">
        <f t="shared" si="3"/>
        <v>2.1061146119828707E-3</v>
      </c>
    </row>
    <row r="254" spans="1:32" x14ac:dyDescent="0.3">
      <c r="A254" t="str">
        <v>Fin de vie</v>
      </c>
      <c r="B254" t="str">
        <v>Recyclage</v>
      </c>
      <c r="C254" t="str">
        <v>Mise en décharge DEEE</v>
      </c>
      <c r="D254">
        <v>2.0949662598326299E-4</v>
      </c>
      <c r="E254">
        <v>2.7405295001974402E-4</v>
      </c>
      <c r="F254">
        <v>1.3457552647619801E-6</v>
      </c>
      <c r="G254">
        <v>2.7235684290850902E-4</v>
      </c>
      <c r="H254">
        <v>3.5035184647383E-7</v>
      </c>
      <c r="I254">
        <v>3.30532132684922E-4</v>
      </c>
      <c r="J254">
        <v>2.5513033266319501E-4</v>
      </c>
      <c r="K254">
        <v>7.3612405776138899E-5</v>
      </c>
      <c r="L254">
        <v>1.78939424558828E-6</v>
      </c>
      <c r="M254">
        <v>2.4688874826003599E-6</v>
      </c>
      <c r="N254">
        <v>2.37571717304523E-4</v>
      </c>
      <c r="O254">
        <v>2.8692651155531299E-4</v>
      </c>
      <c r="P254">
        <v>1.2265644286186801E-2</v>
      </c>
      <c r="Q254">
        <v>2.2545732080825802E-15</v>
      </c>
      <c r="R254">
        <v>1.22325843643261E-2</v>
      </c>
      <c r="S254">
        <v>3.3059921858469602E-5</v>
      </c>
      <c r="T254">
        <v>0.10659225640506501</v>
      </c>
      <c r="U254">
        <v>2.9267802671348499E-5</v>
      </c>
      <c r="V254">
        <v>0.10656281477834501</v>
      </c>
      <c r="W254">
        <v>1.71031416256537E-6</v>
      </c>
      <c r="X254">
        <v>1.6730444149127E-5</v>
      </c>
      <c r="Y254">
        <v>6.5472228396187797E-6</v>
      </c>
      <c r="Z254">
        <v>4.6351792423691098E-13</v>
      </c>
      <c r="AA254">
        <v>1.2368401063968099E-4</v>
      </c>
      <c r="AB254">
        <v>3.0427625701990002E-4</v>
      </c>
      <c r="AC254">
        <v>3.5873705071109697E-4</v>
      </c>
      <c r="AD254">
        <v>5.5849104146357596E-6</v>
      </c>
      <c r="AE254">
        <v>8.2123952535354798E-6</v>
      </c>
      <c r="AF254">
        <f t="shared" si="3"/>
        <v>0.2404867440718437</v>
      </c>
    </row>
    <row r="255" spans="1:32" x14ac:dyDescent="0.3">
      <c r="A255" t="str">
        <v>Fin de vie</v>
      </c>
      <c r="B255" t="str">
        <v>Recyclage</v>
      </c>
      <c r="C255" t="str">
        <v>Mise en décharge Plastiques</v>
      </c>
      <c r="D255">
        <v>2.1286616728948099E-5</v>
      </c>
      <c r="E255">
        <v>4.8910141068267301E-5</v>
      </c>
      <c r="F255">
        <v>9.8205877676751297E-8</v>
      </c>
      <c r="G255">
        <v>4.8771159957943197E-5</v>
      </c>
      <c r="H255">
        <v>4.0775232647286002E-8</v>
      </c>
      <c r="I255">
        <v>1.28127627783338E-4</v>
      </c>
      <c r="J255">
        <v>3.7975267147792198E-5</v>
      </c>
      <c r="K255">
        <v>1.5984130803902101E-5</v>
      </c>
      <c r="L255">
        <v>7.4168229831644193E-5</v>
      </c>
      <c r="M255">
        <v>4.5367569080369601E-5</v>
      </c>
      <c r="N255">
        <v>1.3724507255589999E-5</v>
      </c>
      <c r="O255">
        <v>1.6642696480811E-5</v>
      </c>
      <c r="P255">
        <v>1.45000915330046E-5</v>
      </c>
      <c r="Q255">
        <v>6.02017498054926E-16</v>
      </c>
      <c r="R255">
        <v>1.3353920351738901E-5</v>
      </c>
      <c r="S255">
        <v>1.14617118066366E-6</v>
      </c>
      <c r="T255">
        <v>8.9396171278004999E-5</v>
      </c>
      <c r="U255">
        <v>4.2527911713601699E-6</v>
      </c>
      <c r="V255">
        <v>8.3456676620263705E-5</v>
      </c>
      <c r="W255">
        <v>2.0509661329128498E-6</v>
      </c>
      <c r="X255">
        <v>2.27167361795193E-6</v>
      </c>
      <c r="Y255">
        <v>4.7773778671316802E-7</v>
      </c>
      <c r="Z255">
        <v>1.7750913190094901E-14</v>
      </c>
      <c r="AA255">
        <v>1.94685206257477E-5</v>
      </c>
      <c r="AB255">
        <v>2.1133932845067701E-5</v>
      </c>
      <c r="AC255">
        <v>8.8561264033138894E-5</v>
      </c>
      <c r="AD255">
        <v>4.2730621244668701E-7</v>
      </c>
      <c r="AE255">
        <v>-4.2392875343846098E-7</v>
      </c>
      <c r="AF255">
        <f t="shared" si="3"/>
        <v>7.9117022190285915E-4</v>
      </c>
    </row>
    <row r="256" spans="1:32" x14ac:dyDescent="0.3">
      <c r="A256" t="str">
        <v>Fin de vie</v>
      </c>
      <c r="B256" t="str">
        <v>Recyclage</v>
      </c>
      <c r="C256" t="str">
        <v>Mise en décharge Textile</v>
      </c>
      <c r="D256">
        <v>1.3758574746871501E-5</v>
      </c>
      <c r="E256">
        <v>3.2836706310556199E-4</v>
      </c>
      <c r="F256">
        <v>2.93679930713236E-4</v>
      </c>
      <c r="G256">
        <v>3.4671665875630297E-5</v>
      </c>
      <c r="H256">
        <v>1.5466516695690199E-8</v>
      </c>
      <c r="I256">
        <v>1.2014008240243E-4</v>
      </c>
      <c r="J256">
        <v>1.1260405789330799E-4</v>
      </c>
      <c r="K256">
        <v>3.3161923593645698E-6</v>
      </c>
      <c r="L256">
        <v>4.2198321497575501E-6</v>
      </c>
      <c r="M256">
        <v>1.7618707110731601E-5</v>
      </c>
      <c r="N256">
        <v>7.5844952550451102E-5</v>
      </c>
      <c r="O256">
        <v>1.5636303817300701E-5</v>
      </c>
      <c r="P256">
        <v>6.0111637887869E-6</v>
      </c>
      <c r="Q256">
        <v>2.2835188594995302E-16</v>
      </c>
      <c r="R256">
        <v>4.8932042628418902E-6</v>
      </c>
      <c r="S256">
        <v>1.1179595257166599E-6</v>
      </c>
      <c r="T256">
        <v>6.3715312790782501E-5</v>
      </c>
      <c r="U256">
        <v>1.71423527813863E-5</v>
      </c>
      <c r="V256">
        <v>3.1618707114922498E-5</v>
      </c>
      <c r="W256">
        <v>1.5092421531653599E-5</v>
      </c>
      <c r="X256">
        <v>8.6167232230862399E-7</v>
      </c>
      <c r="Y256">
        <v>1.8121195203544601E-7</v>
      </c>
      <c r="Z256">
        <v>6.7331883190733499E-15</v>
      </c>
      <c r="AA256">
        <v>1.2386803943453701E-5</v>
      </c>
      <c r="AB256">
        <v>4.0164889016322998E-5</v>
      </c>
      <c r="AC256">
        <v>3.3592242904988698E-5</v>
      </c>
      <c r="AD256">
        <v>1.62082565905012E-7</v>
      </c>
      <c r="AE256">
        <v>9.3709595091067701E-7</v>
      </c>
      <c r="AF256">
        <f t="shared" si="3"/>
        <v>1.2477499497003163E-3</v>
      </c>
    </row>
    <row r="257" spans="1:32" x14ac:dyDescent="0.3">
      <c r="A257" t="str">
        <v>Fin de vie</v>
      </c>
      <c r="B257" t="str">
        <v>Recyclage</v>
      </c>
      <c r="C257" t="str">
        <v>Process recyclage Acier</v>
      </c>
      <c r="D257">
        <v>1.47632039862964E-4</v>
      </c>
      <c r="E257">
        <v>4.12171982566745E-4</v>
      </c>
      <c r="F257">
        <v>4.2007513660037602E-7</v>
      </c>
      <c r="G257">
        <v>4.1162052253780401E-4</v>
      </c>
      <c r="H257">
        <v>1.3138489234069501E-7</v>
      </c>
      <c r="I257">
        <v>1.8269995300583799E-4</v>
      </c>
      <c r="J257">
        <v>1.10888219591816E-4</v>
      </c>
      <c r="K257">
        <v>7.1083810716482997E-5</v>
      </c>
      <c r="L257">
        <v>7.2792269753977303E-7</v>
      </c>
      <c r="M257">
        <v>1.4343631491682599E-6</v>
      </c>
      <c r="N257">
        <v>1.29353996630767E-4</v>
      </c>
      <c r="O257">
        <v>1.5615881436129199E-4</v>
      </c>
      <c r="P257">
        <v>1.7099359806396002E-5</v>
      </c>
      <c r="Q257">
        <v>0</v>
      </c>
      <c r="R257">
        <v>3.4561920297337201E-6</v>
      </c>
      <c r="S257">
        <v>1.36431677766623E-5</v>
      </c>
      <c r="T257">
        <v>3.7708590858356402E-5</v>
      </c>
      <c r="U257">
        <v>2.3055289084024898E-5</v>
      </c>
      <c r="V257">
        <v>1.4522563818318501E-5</v>
      </c>
      <c r="W257">
        <v>1.9326353866804501E-6</v>
      </c>
      <c r="X257">
        <v>8.1913910180321005E-5</v>
      </c>
      <c r="Y257">
        <v>5.6763015472808702E-6</v>
      </c>
      <c r="Z257">
        <v>3.5268790938006302E-10</v>
      </c>
      <c r="AA257">
        <v>8.17222916283457E-5</v>
      </c>
      <c r="AB257">
        <v>1.78776183046837E-4</v>
      </c>
      <c r="AC257">
        <v>8.1807012749732905E-4</v>
      </c>
      <c r="AD257">
        <v>5.9867764478373596E-6</v>
      </c>
      <c r="AE257">
        <v>5.1416687431669198E-6</v>
      </c>
      <c r="AF257">
        <f t="shared" si="3"/>
        <v>2.9130284956885581E-3</v>
      </c>
    </row>
    <row r="258" spans="1:32" x14ac:dyDescent="0.3">
      <c r="A258" t="str">
        <v>Fin de vie</v>
      </c>
      <c r="B258" t="str">
        <v>Recyclage</v>
      </c>
      <c r="C258" t="str">
        <v>Process recyclage Alu</v>
      </c>
      <c r="D258">
        <v>8.8925354082594903E-4</v>
      </c>
      <c r="E258">
        <v>2.4826954587022399E-3</v>
      </c>
      <c r="F258">
        <v>2.5302996760159198E-6</v>
      </c>
      <c r="G258">
        <v>2.4793737692924401E-3</v>
      </c>
      <c r="H258">
        <v>7.9138973378304499E-7</v>
      </c>
      <c r="I258">
        <v>1.10048320317176E-3</v>
      </c>
      <c r="J258">
        <v>6.6792914329055796E-4</v>
      </c>
      <c r="K258">
        <v>4.2816945721070099E-4</v>
      </c>
      <c r="L258">
        <v>4.3846026705020602E-6</v>
      </c>
      <c r="M258">
        <v>8.6398082043172506E-6</v>
      </c>
      <c r="N258">
        <v>7.7915674423160097E-4</v>
      </c>
      <c r="O258">
        <v>9.4061410199885195E-4</v>
      </c>
      <c r="P258">
        <v>1.02997061259933E-4</v>
      </c>
      <c r="Q258">
        <v>0</v>
      </c>
      <c r="R258">
        <v>2.0818184203564301E-5</v>
      </c>
      <c r="S258">
        <v>8.2178877056368298E-5</v>
      </c>
      <c r="T258">
        <v>2.2713564055252601E-4</v>
      </c>
      <c r="U258">
        <v>1.3887227645005399E-4</v>
      </c>
      <c r="V258">
        <v>8.7475871154377001E-5</v>
      </c>
      <c r="W258">
        <v>1.1641123853103801E-5</v>
      </c>
      <c r="X258">
        <v>4.9340397069879403E-4</v>
      </c>
      <c r="Y258">
        <v>3.4190892806200697E-5</v>
      </c>
      <c r="Z258">
        <v>2.12439638789684E-9</v>
      </c>
      <c r="AA258">
        <v>4.9224976680111603E-4</v>
      </c>
      <c r="AB258">
        <v>1.07684858881117E-3</v>
      </c>
      <c r="AC258">
        <v>4.9276007985542504E-3</v>
      </c>
      <c r="AD258">
        <v>3.6061021437585098E-5</v>
      </c>
      <c r="AE258">
        <v>3.0970561267419602E-5</v>
      </c>
      <c r="AF258">
        <f t="shared" si="3"/>
        <v>1.7546468278311571E-2</v>
      </c>
    </row>
    <row r="259" spans="1:32" x14ac:dyDescent="0.3">
      <c r="A259" t="str">
        <v>Fin de vie</v>
      </c>
      <c r="B259" t="str">
        <v>Recyclage</v>
      </c>
      <c r="C259" t="str">
        <v>Process recyclage DEEE</v>
      </c>
      <c r="D259">
        <v>1.2744363337934101E-4</v>
      </c>
      <c r="E259">
        <v>3.6082430147857999E-4</v>
      </c>
      <c r="F259">
        <v>4.5268511835294501E-7</v>
      </c>
      <c r="G259">
        <v>3.6024505502005202E-4</v>
      </c>
      <c r="H259">
        <v>1.2656134017567501E-7</v>
      </c>
      <c r="I259">
        <v>1.6936872927442799E-4</v>
      </c>
      <c r="J259">
        <v>1.01211219640267E-4</v>
      </c>
      <c r="K259">
        <v>6.7505729007315897E-5</v>
      </c>
      <c r="L259">
        <v>6.5178062684501296E-7</v>
      </c>
      <c r="M259">
        <v>1.3585483320227299E-6</v>
      </c>
      <c r="N259">
        <v>1.11135637287335E-4</v>
      </c>
      <c r="O259">
        <v>1.34063155753278E-4</v>
      </c>
      <c r="P259">
        <v>1.56894391601212E-5</v>
      </c>
      <c r="Q259">
        <v>3.8943272736435497E-15</v>
      </c>
      <c r="R259">
        <v>3.2388482685357699E-6</v>
      </c>
      <c r="S259">
        <v>1.24505908876911E-5</v>
      </c>
      <c r="T259">
        <v>3.5275731674875002E-5</v>
      </c>
      <c r="U259">
        <v>2.05105046096016E-5</v>
      </c>
      <c r="V259">
        <v>1.4647511965059701E-5</v>
      </c>
      <c r="W259">
        <v>1.6647931309344899E-6</v>
      </c>
      <c r="X259">
        <v>7.8170357259995898E-5</v>
      </c>
      <c r="Y259">
        <v>5.3955554434884296E-6</v>
      </c>
      <c r="Z259">
        <v>2.95117066571379E-10</v>
      </c>
      <c r="AA259">
        <v>7.1500550871190003E-5</v>
      </c>
      <c r="AB259">
        <v>1.5341608098732001E-4</v>
      </c>
      <c r="AC259">
        <v>7.1894026176879495E-4</v>
      </c>
      <c r="AD259">
        <v>5.4598625337026498E-6</v>
      </c>
      <c r="AE259">
        <v>5.6037225061315996E-6</v>
      </c>
      <c r="AF259">
        <f t="shared" ref="AF259:AF260" si="4">SUM(D259:AE259)</f>
        <v>2.5763511424463964E-3</v>
      </c>
    </row>
    <row r="260" spans="1:32" x14ac:dyDescent="0.3">
      <c r="A260" t="str">
        <v>Fin de vie</v>
      </c>
      <c r="B260" t="str">
        <v>Recyclage</v>
      </c>
      <c r="C260" t="str">
        <v>Process recyclage Plastiques</v>
      </c>
      <c r="D260">
        <v>2.2036615117162701E-5</v>
      </c>
      <c r="E260">
        <v>1.2381899032247099E-4</v>
      </c>
      <c r="F260">
        <v>4.7750896234831804E-7</v>
      </c>
      <c r="G260">
        <v>1.2327049959143599E-4</v>
      </c>
      <c r="H260">
        <v>7.0981768687545404E-8</v>
      </c>
      <c r="I260">
        <v>7.20734987484758E-5</v>
      </c>
      <c r="J260">
        <v>3.7651866489505299E-5</v>
      </c>
      <c r="K260">
        <v>3.4210716381175599E-5</v>
      </c>
      <c r="L260">
        <v>2.1091587779485801E-7</v>
      </c>
      <c r="M260">
        <v>8.0427240430487704E-7</v>
      </c>
      <c r="N260">
        <v>1.9430155820051E-5</v>
      </c>
      <c r="O260">
        <v>2.30909529954314E-5</v>
      </c>
      <c r="P260">
        <v>8.6080757462671005E-6</v>
      </c>
      <c r="Q260">
        <v>1.6339222873663201E-14</v>
      </c>
      <c r="R260">
        <v>2.1471065043908299E-6</v>
      </c>
      <c r="S260">
        <v>6.4609692255370504E-6</v>
      </c>
      <c r="T260">
        <v>2.2277051950689902E-5</v>
      </c>
      <c r="U260">
        <v>6.1548094165976802E-6</v>
      </c>
      <c r="V260">
        <v>1.6077090374787198E-5</v>
      </c>
      <c r="W260">
        <v>3.4421727986640499E-7</v>
      </c>
      <c r="X260">
        <v>4.0380517492897299E-5</v>
      </c>
      <c r="Y260">
        <v>2.71034031631204E-6</v>
      </c>
      <c r="Z260">
        <v>1.75748368699435E-13</v>
      </c>
      <c r="AA260">
        <v>1.80667237926448E-5</v>
      </c>
      <c r="AB260">
        <v>2.6056811374114999E-5</v>
      </c>
      <c r="AC260">
        <v>2.62635356964247E-4</v>
      </c>
      <c r="AD260">
        <v>2.0882032495275601E-6</v>
      </c>
      <c r="AE260">
        <v>7.4459942150947793E-5</v>
      </c>
      <c r="AF260">
        <f t="shared" si="4"/>
        <v>9.4561419050975966E-4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83"/>
  <sheetViews>
    <sheetView topLeftCell="A265" workbookViewId="0">
      <selection activeCell="A236" sqref="A236:XFD236"/>
    </sheetView>
  </sheetViews>
  <sheetFormatPr baseColWidth="10" defaultColWidth="11.44140625" defaultRowHeight="14.4" x14ac:dyDescent="0.3"/>
  <cols>
    <col min="1" max="1" width="18.109375" customWidth="1"/>
    <col min="2" max="2" width="24.21875" customWidth="1"/>
    <col min="3" max="3" width="47.21875" customWidth="1"/>
    <col min="4" max="4" width="16.5546875" bestFit="1" customWidth="1"/>
    <col min="5" max="5" width="24.6640625" bestFit="1" customWidth="1"/>
    <col min="7" max="7" width="30.33203125" customWidth="1"/>
    <col min="8" max="8" width="25.109375" bestFit="1" customWidth="1"/>
    <col min="9" max="9" width="27.5546875" bestFit="1" customWidth="1"/>
    <col min="10" max="10" width="30.6640625" bestFit="1" customWidth="1"/>
    <col min="11" max="11" width="34.5546875" bestFit="1" customWidth="1"/>
    <col min="12" max="14" width="12" bestFit="1" customWidth="1"/>
    <col min="17" max="17" width="23.5546875" customWidth="1"/>
  </cols>
  <sheetData>
    <row r="1" spans="1:20" x14ac:dyDescent="0.3">
      <c r="A1" t="s">
        <v>0</v>
      </c>
      <c r="B1" t="s">
        <v>8</v>
      </c>
      <c r="C1" t="s">
        <v>54</v>
      </c>
      <c r="D1" t="s">
        <v>148</v>
      </c>
      <c r="E1" t="s">
        <v>149</v>
      </c>
      <c r="F1" t="s">
        <v>153</v>
      </c>
      <c r="G1" t="s">
        <v>157</v>
      </c>
      <c r="H1" t="s">
        <v>158</v>
      </c>
      <c r="I1" t="s">
        <v>159</v>
      </c>
      <c r="J1" t="s">
        <v>160</v>
      </c>
      <c r="K1" t="s">
        <v>164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</row>
    <row r="2" spans="1:20" x14ac:dyDescent="0.3">
      <c r="A2" t="s">
        <v>1</v>
      </c>
      <c r="B2" t="s">
        <v>9</v>
      </c>
      <c r="C2" t="s">
        <v>55</v>
      </c>
      <c r="D2">
        <f>'Transpo perseq'!D2*Pondération!$D$17</f>
        <v>9.3148799999999996E-4</v>
      </c>
      <c r="E2">
        <f>'Transpo perseq'!E2*Pondération!$D$2</f>
        <v>7.9522560000000013E-3</v>
      </c>
      <c r="F2">
        <f>'Transpo perseq'!I2*Pondération!$D$12</f>
        <v>1.2595200000000001E-3</v>
      </c>
      <c r="G2">
        <f>'Transpo perseq'!M2*Pondération!$D$15</f>
        <v>8.6912000000000007E-6</v>
      </c>
      <c r="H2">
        <f>'Transpo perseq'!N2*Pondération!$D$14</f>
        <v>1.908608E-4</v>
      </c>
      <c r="I2">
        <f>'Transpo perseq'!O2*Pondération!$D$16</f>
        <v>2.902704E-4</v>
      </c>
      <c r="J2">
        <f>'Transpo perseq'!P2*Pondération!$D$4</f>
        <v>9.4742399999999996E-5</v>
      </c>
      <c r="K2">
        <f>'Transpo perseq'!T2*Pondération!$D$5</f>
        <v>3.7208576576574885E-4</v>
      </c>
      <c r="L2">
        <f>'Transpo perseq'!X2*Pondération!$D$7</f>
        <v>1.0602293555737581E-4</v>
      </c>
      <c r="M2">
        <f>'Transpo perseq'!Y2*Pondération!$D$13</f>
        <v>3.8195245703479612E-5</v>
      </c>
      <c r="N2">
        <f>'Transpo perseq'!Z2*Pondération!$D$3</f>
        <v>2.0526784482998984E-6</v>
      </c>
      <c r="O2">
        <f>'Transpo perseq'!AA2*Pondération!$D$6</f>
        <v>1.479097369508606E-3</v>
      </c>
      <c r="P2">
        <f>'Transpo perseq'!AB2*Pondération!$D$8</f>
        <v>4.8378031977281235E-4</v>
      </c>
      <c r="Q2">
        <f>'Transpo perseq'!AC2*Pondération!$D$10</f>
        <v>4.9534736535504628E-3</v>
      </c>
      <c r="R2">
        <f>'Transpo perseq'!AD2*Pondération!$D$9</f>
        <v>3.605941954246672E-2</v>
      </c>
      <c r="S2">
        <f>'Transpo perseq'!AE2*Pondération!$D$11</f>
        <v>2.4482045686865606E-4</v>
      </c>
      <c r="T2">
        <f>SUM(D2:S2)</f>
        <v>5.446677676764216E-2</v>
      </c>
    </row>
    <row r="3" spans="1:20" x14ac:dyDescent="0.3">
      <c r="A3" t="s">
        <v>1</v>
      </c>
      <c r="B3" t="s">
        <v>9</v>
      </c>
      <c r="C3" t="s">
        <v>56</v>
      </c>
      <c r="D3">
        <f>'Transpo perseq'!D3*Pondération!$D$17</f>
        <v>1.8352E-5</v>
      </c>
      <c r="E3">
        <f>'Transpo perseq'!E3*Pondération!$D$2</f>
        <v>1.0951199999999999E-4</v>
      </c>
      <c r="F3">
        <f>'Transpo perseq'!I3*Pondération!$D$12</f>
        <v>-1.5790079999999998E-6</v>
      </c>
      <c r="G3">
        <f>'Transpo perseq'!M3*Pondération!$D$15</f>
        <v>9.2735999999999991E-8</v>
      </c>
      <c r="H3">
        <f>'Transpo perseq'!N3*Pondération!$D$14</f>
        <v>3.1636480000000001E-6</v>
      </c>
      <c r="I3">
        <f>'Transpo perseq'!O3*Pondération!$D$16</f>
        <v>4.825968E-6</v>
      </c>
      <c r="J3">
        <f>'Transpo perseq'!P3*Pondération!$D$4</f>
        <v>1.8505440000000001E-7</v>
      </c>
      <c r="K3">
        <f>'Transpo perseq'!T3*Pondération!$D$5</f>
        <v>2.9789575322581219E-7</v>
      </c>
      <c r="L3">
        <f>'Transpo perseq'!X3*Pondération!$D$7</f>
        <v>-8.0891446311601045E-6</v>
      </c>
      <c r="M3">
        <f>'Transpo perseq'!Y3*Pondération!$D$13</f>
        <v>-7.0835263905190507E-8</v>
      </c>
      <c r="N3">
        <f>'Transpo perseq'!Z3*Pondération!$D$3</f>
        <v>-5.5412275323132462E-15</v>
      </c>
      <c r="O3">
        <f>'Transpo perseq'!AA3*Pondération!$D$6</f>
        <v>1.8118302173766286E-5</v>
      </c>
      <c r="P3">
        <f>'Transpo perseq'!AB3*Pondération!$D$8</f>
        <v>8.5510419884842735E-6</v>
      </c>
      <c r="Q3">
        <f>'Transpo perseq'!AC3*Pondération!$D$10</f>
        <v>7.7630764211000024E-5</v>
      </c>
      <c r="R3">
        <f>'Transpo perseq'!AD3*Pondération!$D$9</f>
        <v>2.5324723094760019E-7</v>
      </c>
      <c r="S3">
        <f>'Transpo perseq'!AE3*Pondération!$D$11</f>
        <v>1.3410621856786486E-6</v>
      </c>
      <c r="T3">
        <f t="shared" ref="T3:T66" si="0">SUM(D3:S3)</f>
        <v>2.3258473204249613E-4</v>
      </c>
    </row>
    <row r="4" spans="1:20" x14ac:dyDescent="0.3">
      <c r="A4" t="s">
        <v>1</v>
      </c>
      <c r="B4" t="s">
        <v>9</v>
      </c>
      <c r="C4" t="s">
        <v>57</v>
      </c>
      <c r="D4">
        <f>'Transpo perseq'!D4*Pondération!$D$17</f>
        <v>5.6543999999999996E-6</v>
      </c>
      <c r="E4">
        <f>'Transpo perseq'!E4*Pondération!$D$2</f>
        <v>2.2037184000000003E-5</v>
      </c>
      <c r="F4">
        <f>'Transpo perseq'!I4*Pondération!$D$12</f>
        <v>3.7478399999999998E-6</v>
      </c>
      <c r="G4">
        <f>'Transpo perseq'!M4*Pondération!$D$15</f>
        <v>4.3769599999999999E-8</v>
      </c>
      <c r="H4">
        <f>'Transpo perseq'!N4*Pondération!$D$14</f>
        <v>3.7461760000000004E-6</v>
      </c>
      <c r="I4">
        <f>'Transpo perseq'!O4*Pondération!$D$16</f>
        <v>5.7460480000000002E-6</v>
      </c>
      <c r="J4">
        <f>'Transpo perseq'!P4*Pondération!$D$4</f>
        <v>2.1300000000000001E-7</v>
      </c>
      <c r="K4">
        <f>'Transpo perseq'!T4*Pondération!$D$5</f>
        <v>7.516608753811338E-7</v>
      </c>
      <c r="L4">
        <f>'Transpo perseq'!X4*Pondération!$D$7</f>
        <v>3.5600312497000765E-8</v>
      </c>
      <c r="M4">
        <f>'Transpo perseq'!Y4*Pondération!$D$13</f>
        <v>3.7508153136337834E-7</v>
      </c>
      <c r="N4">
        <f>'Transpo perseq'!Z4*Pondération!$D$3</f>
        <v>1.963606091090133E-16</v>
      </c>
      <c r="O4">
        <f>'Transpo perseq'!AA4*Pondération!$D$6</f>
        <v>2.8288787815405181E-6</v>
      </c>
      <c r="P4">
        <f>'Transpo perseq'!AB4*Pondération!$D$8</f>
        <v>5.621051724222253E-6</v>
      </c>
      <c r="Q4">
        <f>'Transpo perseq'!AC4*Pondération!$D$10</f>
        <v>1.4415983050847405E-5</v>
      </c>
      <c r="R4">
        <f>'Transpo perseq'!AD4*Pondération!$D$9</f>
        <v>8.9298150745645113E-8</v>
      </c>
      <c r="S4">
        <f>'Transpo perseq'!AE4*Pondération!$D$11</f>
        <v>5.8226263712350119E-8</v>
      </c>
      <c r="T4">
        <f t="shared" si="0"/>
        <v>6.5364198290506051E-5</v>
      </c>
    </row>
    <row r="5" spans="1:20" x14ac:dyDescent="0.3">
      <c r="A5" t="s">
        <v>1</v>
      </c>
      <c r="B5" t="s">
        <v>10</v>
      </c>
      <c r="C5" t="s">
        <v>58</v>
      </c>
      <c r="D5">
        <f>'Transpo perseq'!D5*Pondération!$D$17</f>
        <v>1.01184E-4</v>
      </c>
      <c r="E5">
        <f>'Transpo perseq'!E5*Pondération!$D$2</f>
        <v>8.9968320000000004E-4</v>
      </c>
      <c r="F5">
        <f>'Transpo perseq'!I5*Pondération!$D$12</f>
        <v>2.555904E-5</v>
      </c>
      <c r="G5">
        <f>'Transpo perseq'!M5*Pondération!$D$15</f>
        <v>2.4505599999999999E-7</v>
      </c>
      <c r="H5">
        <f>'Transpo perseq'!N5*Pondération!$D$14</f>
        <v>3.1494400000000001E-5</v>
      </c>
      <c r="I5">
        <f>'Transpo perseq'!O5*Pondération!$D$16</f>
        <v>4.6004000000000002E-5</v>
      </c>
      <c r="J5">
        <f>'Transpo perseq'!P5*Pondération!$D$4</f>
        <v>3.7147200000000003E-6</v>
      </c>
      <c r="K5">
        <f>'Transpo perseq'!T5*Pondération!$D$5</f>
        <v>2.929604458954812E-5</v>
      </c>
      <c r="L5">
        <f>'Transpo perseq'!X5*Pondération!$D$7</f>
        <v>6.4217805914927611E-6</v>
      </c>
      <c r="M5">
        <f>'Transpo perseq'!Y5*Pondération!$D$13</f>
        <v>1.7936189794762493E-6</v>
      </c>
      <c r="N5">
        <f>'Transpo perseq'!Z5*Pondération!$D$3</f>
        <v>3.1697074711876566E-14</v>
      </c>
      <c r="O5">
        <f>'Transpo perseq'!AA5*Pondération!$D$6</f>
        <v>1.6689023564806082E-4</v>
      </c>
      <c r="P5">
        <f>'Transpo perseq'!AB5*Pondération!$D$8</f>
        <v>8.1901843959456344E-5</v>
      </c>
      <c r="Q5">
        <f>'Transpo perseq'!AC5*Pondération!$D$10</f>
        <v>4.8121674907235598E-4</v>
      </c>
      <c r="R5">
        <f>'Transpo perseq'!AD5*Pondération!$D$9</f>
        <v>1.3783906015243715E-5</v>
      </c>
      <c r="S5">
        <f>'Transpo perseq'!AE5*Pondération!$D$11</f>
        <v>8.6394101304967372E-5</v>
      </c>
      <c r="T5">
        <f t="shared" si="0"/>
        <v>1.9755826961922987E-3</v>
      </c>
    </row>
    <row r="6" spans="1:20" x14ac:dyDescent="0.3">
      <c r="A6" t="s">
        <v>1</v>
      </c>
      <c r="B6" t="s">
        <v>10</v>
      </c>
      <c r="C6" t="s">
        <v>59</v>
      </c>
      <c r="D6">
        <f>'Transpo perseq'!D6*Pondération!$D$17</f>
        <v>5.3270399999999997E-5</v>
      </c>
      <c r="E6">
        <f>'Transpo perseq'!E6*Pondération!$D$2</f>
        <v>7.0087679999999996E-4</v>
      </c>
      <c r="F6">
        <f>'Transpo perseq'!I6*Pondération!$D$12</f>
        <v>1.0598399999999998E-4</v>
      </c>
      <c r="G6">
        <f>'Transpo perseq'!M6*Pondération!$D$15</f>
        <v>5.7344000000000003E-7</v>
      </c>
      <c r="H6">
        <f>'Transpo perseq'!N6*Pondération!$D$14</f>
        <v>2.6474240000000001E-5</v>
      </c>
      <c r="I6">
        <f>'Transpo perseq'!O6*Pondération!$D$16</f>
        <v>3.7337440000000002E-5</v>
      </c>
      <c r="J6">
        <f>'Transpo perseq'!P6*Pondération!$D$4</f>
        <v>7.5998399999999999E-6</v>
      </c>
      <c r="K6">
        <f>'Transpo perseq'!T6*Pondération!$D$5</f>
        <v>2.0324934281600209E-5</v>
      </c>
      <c r="L6">
        <f>'Transpo perseq'!X6*Pondération!$D$7</f>
        <v>1.4997520803257186E-5</v>
      </c>
      <c r="M6">
        <f>'Transpo perseq'!Y6*Pondération!$D$13</f>
        <v>1.6846329350406018E-6</v>
      </c>
      <c r="N6">
        <f>'Transpo perseq'!Z6*Pondération!$D$3</f>
        <v>8.7143007523853109E-14</v>
      </c>
      <c r="O6">
        <f>'Transpo perseq'!AA6*Pondération!$D$6</f>
        <v>4.1263214894970018E-5</v>
      </c>
      <c r="P6">
        <f>'Transpo perseq'!AB6*Pondération!$D$8</f>
        <v>6.9930181608654333E-5</v>
      </c>
      <c r="Q6">
        <f>'Transpo perseq'!AC6*Pondération!$D$10</f>
        <v>6.2096046937116904E-4</v>
      </c>
      <c r="R6">
        <f>'Transpo perseq'!AD6*Pondération!$D$9</f>
        <v>2.3628859065742314E-6</v>
      </c>
      <c r="S6">
        <f>'Transpo perseq'!AE6*Pondération!$D$11</f>
        <v>2.5088821040931183E-5</v>
      </c>
      <c r="T6">
        <f t="shared" si="0"/>
        <v>1.7287288209293396E-3</v>
      </c>
    </row>
    <row r="7" spans="1:20" x14ac:dyDescent="0.3">
      <c r="A7" t="s">
        <v>1</v>
      </c>
      <c r="B7" t="s">
        <v>10</v>
      </c>
      <c r="C7" t="s">
        <v>56</v>
      </c>
      <c r="D7">
        <f>'Transpo perseq'!D7*Pondération!$D$17</f>
        <v>1.7260799999999999E-5</v>
      </c>
      <c r="E7">
        <f>'Transpo perseq'!E7*Pondération!$D$2</f>
        <v>1.0176192E-4</v>
      </c>
      <c r="F7">
        <f>'Transpo perseq'!I7*Pondération!$D$12</f>
        <v>-8.6937599999999996E-7</v>
      </c>
      <c r="G7">
        <f>'Transpo perseq'!M7*Pondération!$D$15</f>
        <v>9.0944000000000008E-7</v>
      </c>
      <c r="H7">
        <f>'Transpo perseq'!N7*Pondération!$D$14</f>
        <v>3.0736640000000002E-6</v>
      </c>
      <c r="I7">
        <f>'Transpo perseq'!O7*Pondération!$D$16</f>
        <v>4.6360159999999998E-6</v>
      </c>
      <c r="J7">
        <f>'Transpo perseq'!P7*Pondération!$D$4</f>
        <v>2.204976E-7</v>
      </c>
      <c r="K7">
        <f>'Transpo perseq'!T7*Pondération!$D$5</f>
        <v>3.7459889262033229E-7</v>
      </c>
      <c r="L7">
        <f>'Transpo perseq'!X7*Pondération!$D$7</f>
        <v>-6.9531955542885269E-6</v>
      </c>
      <c r="M7">
        <f>'Transpo perseq'!Y7*Pondération!$D$13</f>
        <v>1.089481798858182E-6</v>
      </c>
      <c r="N7">
        <f>'Transpo perseq'!Z7*Pondération!$D$3</f>
        <v>1.2986115127531767E-8</v>
      </c>
      <c r="O7">
        <f>'Transpo perseq'!AA7*Pondération!$D$6</f>
        <v>1.8290020237162457E-5</v>
      </c>
      <c r="P7">
        <f>'Transpo perseq'!AB7*Pondération!$D$8</f>
        <v>8.1705737882144225E-6</v>
      </c>
      <c r="Q7">
        <f>'Transpo perseq'!AC7*Pondération!$D$10</f>
        <v>7.1824337928114767E-5</v>
      </c>
      <c r="R7">
        <f>'Transpo perseq'!AD7*Pondération!$D$9</f>
        <v>3.5835346797370832E-7</v>
      </c>
      <c r="S7">
        <f>'Transpo perseq'!AE7*Pondération!$D$11</f>
        <v>1.6128059245831773E-4</v>
      </c>
      <c r="T7">
        <f t="shared" si="0"/>
        <v>3.8144071073210059E-4</v>
      </c>
    </row>
    <row r="8" spans="1:20" x14ac:dyDescent="0.3">
      <c r="A8" t="s">
        <v>1</v>
      </c>
      <c r="B8" t="s">
        <v>10</v>
      </c>
      <c r="C8" t="s">
        <v>57</v>
      </c>
      <c r="D8">
        <f>'Transpo perseq'!D8*Pondération!$D$17</f>
        <v>3.8390399999999996E-4</v>
      </c>
      <c r="E8">
        <f>'Transpo perseq'!E8*Pondération!$D$2</f>
        <v>2.2374144000000002E-3</v>
      </c>
      <c r="F8">
        <f>'Transpo perseq'!I8*Pondération!$D$12</f>
        <v>3.8092799999999994E-4</v>
      </c>
      <c r="G8">
        <f>'Transpo perseq'!M8*Pondération!$D$15</f>
        <v>2.4236800000000002E-7</v>
      </c>
      <c r="H8">
        <f>'Transpo perseq'!N8*Pondération!$D$14</f>
        <v>2.3537920000000004E-4</v>
      </c>
      <c r="I8">
        <f>'Transpo perseq'!O8*Pondération!$D$16</f>
        <v>3.5734720000000001E-4</v>
      </c>
      <c r="J8">
        <f>'Transpo perseq'!P8*Pondération!$D$4</f>
        <v>1.9766400000000001E-5</v>
      </c>
      <c r="K8">
        <f>'Transpo perseq'!T8*Pondération!$D$5</f>
        <v>5.6948108786451883E-5</v>
      </c>
      <c r="L8">
        <f>'Transpo perseq'!X8*Pondération!$D$7</f>
        <v>1.5325727819058098E-6</v>
      </c>
      <c r="M8">
        <f>'Transpo perseq'!Y8*Pondération!$D$13</f>
        <v>2.287587843641738E-7</v>
      </c>
      <c r="N8">
        <f>'Transpo perseq'!Z8*Pondération!$D$3</f>
        <v>7.9946967468755595E-15</v>
      </c>
      <c r="O8">
        <f>'Transpo perseq'!AA8*Pondération!$D$6</f>
        <v>1.6510146519530639E-4</v>
      </c>
      <c r="P8">
        <f>'Transpo perseq'!AB8*Pondération!$D$8</f>
        <v>5.2122111055345343E-4</v>
      </c>
      <c r="Q8">
        <f>'Transpo perseq'!AC8*Pondération!$D$10</f>
        <v>1.4883784777358047E-3</v>
      </c>
      <c r="R8">
        <f>'Transpo perseq'!AD8*Pondération!$D$9</f>
        <v>3.36948388974844E-6</v>
      </c>
      <c r="S8">
        <f>'Transpo perseq'!AE8*Pondération!$D$11</f>
        <v>8.3241265956249937E-7</v>
      </c>
      <c r="T8">
        <f t="shared" si="0"/>
        <v>5.8525939583945925E-3</v>
      </c>
    </row>
    <row r="9" spans="1:20" x14ac:dyDescent="0.3">
      <c r="A9" t="s">
        <v>1</v>
      </c>
      <c r="B9" t="s">
        <v>11</v>
      </c>
      <c r="C9" t="s">
        <v>11</v>
      </c>
      <c r="D9">
        <f>'Transpo perseq'!D9*Pondération!$D$17</f>
        <v>3.7993600000000002E-2</v>
      </c>
      <c r="E9">
        <f>'Transpo perseq'!E9*Pondération!$D$2</f>
        <v>0.12096864000000002</v>
      </c>
      <c r="F9">
        <f>'Transpo perseq'!I9*Pondération!$D$12</f>
        <v>0.29552639999999997</v>
      </c>
      <c r="G9">
        <f>'Transpo perseq'!M9*Pondération!$D$15</f>
        <v>0.16844800000000001</v>
      </c>
      <c r="H9">
        <f>'Transpo perseq'!N9*Pondération!$D$14</f>
        <v>1.1982080000000001E-2</v>
      </c>
      <c r="I9">
        <f>'Transpo perseq'!O9*Pondération!$D$16</f>
        <v>1.8104800000000001E-2</v>
      </c>
      <c r="J9">
        <f>'Transpo perseq'!P9*Pondération!$D$4</f>
        <v>8.7244799999999997E-3</v>
      </c>
      <c r="K9">
        <f>'Transpo perseq'!T9*Pondération!$D$5</f>
        <v>1.929399533407233E-2</v>
      </c>
      <c r="L9">
        <f>'Transpo perseq'!X9*Pondération!$D$7</f>
        <v>7.3911966581170314E-3</v>
      </c>
      <c r="M9">
        <f>'Transpo perseq'!Y9*Pondération!$D$13</f>
        <v>2.7120553521089879E-3</v>
      </c>
      <c r="N9">
        <f>'Transpo perseq'!Z9*Pondération!$D$3</f>
        <v>7.0130778808626083E-4</v>
      </c>
      <c r="O9">
        <f>'Transpo perseq'!AA9*Pondération!$D$6</f>
        <v>3.5849213794767847E-2</v>
      </c>
      <c r="P9">
        <f>'Transpo perseq'!AB9*Pondération!$D$8</f>
        <v>2.5015068959580077E-2</v>
      </c>
      <c r="Q9">
        <f>'Transpo perseq'!AC9*Pondération!$D$10</f>
        <v>7.7029674091031494E-2</v>
      </c>
      <c r="R9">
        <f>'Transpo perseq'!AD9*Pondération!$D$9</f>
        <v>3.7171138107237289</v>
      </c>
      <c r="S9">
        <f>'Transpo perseq'!AE9*Pondération!$D$11</f>
        <v>1.5617337430713137E-2</v>
      </c>
      <c r="T9">
        <f t="shared" si="0"/>
        <v>4.5624716601322062</v>
      </c>
    </row>
    <row r="10" spans="1:20" x14ac:dyDescent="0.3">
      <c r="A10" t="s">
        <v>1</v>
      </c>
      <c r="B10" t="s">
        <v>11</v>
      </c>
      <c r="C10" t="s">
        <v>56</v>
      </c>
      <c r="D10">
        <f>'Transpo perseq'!D10*Pondération!$D$17</f>
        <v>8.6799999999999996E-5</v>
      </c>
      <c r="E10">
        <f>'Transpo perseq'!E10*Pondération!$D$2</f>
        <v>3.8750400000000005E-4</v>
      </c>
      <c r="F10">
        <f>'Transpo perseq'!I10*Pondération!$D$12</f>
        <v>4.7923199999999995E-5</v>
      </c>
      <c r="G10">
        <f>'Transpo perseq'!M10*Pondération!$D$15</f>
        <v>7.4368000000000004E-5</v>
      </c>
      <c r="H10">
        <f>'Transpo perseq'!N10*Pondération!$D$14</f>
        <v>2.3585280000000001E-5</v>
      </c>
      <c r="I10">
        <f>'Transpo perseq'!O10*Pondération!$D$16</f>
        <v>3.1164000000000002E-5</v>
      </c>
      <c r="J10">
        <f>'Transpo perseq'!P10*Pondération!$D$4</f>
        <v>5.0438400000000001E-6</v>
      </c>
      <c r="K10">
        <f>'Transpo perseq'!T10*Pondération!$D$5</f>
        <v>9.8822400777650152E-6</v>
      </c>
      <c r="L10">
        <f>'Transpo perseq'!X10*Pondération!$D$7</f>
        <v>2.1343970606843964E-5</v>
      </c>
      <c r="M10">
        <f>'Transpo perseq'!Y10*Pondération!$D$13</f>
        <v>1.0372018300965167E-4</v>
      </c>
      <c r="N10">
        <f>'Transpo perseq'!Z10*Pondération!$D$3</f>
        <v>1.16875080477606E-6</v>
      </c>
      <c r="O10">
        <f>'Transpo perseq'!AA10*Pondération!$D$6</f>
        <v>1.9663764744331654E-4</v>
      </c>
      <c r="P10">
        <f>'Transpo perseq'!AB10*Pondération!$D$8</f>
        <v>5.1268281860554974E-5</v>
      </c>
      <c r="Q10">
        <f>'Transpo perseq'!AC10*Pondération!$D$10</f>
        <v>2.537292766503173E-4</v>
      </c>
      <c r="R10">
        <f>'Transpo perseq'!AD10*Pondération!$D$9</f>
        <v>1.1992033641825741E-5</v>
      </c>
      <c r="S10">
        <f>'Transpo perseq'!AE10*Pondération!$D$11</f>
        <v>1.440796834639437E-2</v>
      </c>
      <c r="T10">
        <f t="shared" si="0"/>
        <v>1.571409905048942E-2</v>
      </c>
    </row>
    <row r="11" spans="1:20" x14ac:dyDescent="0.3">
      <c r="A11" t="s">
        <v>1</v>
      </c>
      <c r="B11" t="s">
        <v>11</v>
      </c>
      <c r="C11" t="s">
        <v>57</v>
      </c>
      <c r="D11">
        <f>'Transpo perseq'!D11*Pondération!$D$17</f>
        <v>5.7833600000000001E-6</v>
      </c>
      <c r="E11">
        <f>'Transpo perseq'!E11*Pondération!$D$2</f>
        <v>2.2576320000000001E-5</v>
      </c>
      <c r="F11">
        <f>'Transpo perseq'!I11*Pondération!$D$12</f>
        <v>3.8399999999999997E-6</v>
      </c>
      <c r="G11">
        <f>'Transpo perseq'!M11*Pondération!$D$15</f>
        <v>4.4799999999999997E-8</v>
      </c>
      <c r="H11">
        <f>'Transpo perseq'!N11*Pondération!$D$14</f>
        <v>3.8408960000000007E-6</v>
      </c>
      <c r="I11">
        <f>'Transpo perseq'!O11*Pondération!$D$16</f>
        <v>5.8885119999999999E-6</v>
      </c>
      <c r="J11">
        <f>'Transpo perseq'!P11*Pondération!$D$4</f>
        <v>2.1845279999999999E-7</v>
      </c>
      <c r="K11">
        <f>'Transpo perseq'!T11*Pondération!$D$5</f>
        <v>7.7003825904231291E-7</v>
      </c>
      <c r="L11">
        <f>'Transpo perseq'!X11*Pondération!$D$7</f>
        <v>3.6470705812182231E-8</v>
      </c>
      <c r="M11">
        <f>'Transpo perseq'!Y11*Pondération!$D$13</f>
        <v>3.8425191315635071E-7</v>
      </c>
      <c r="N11">
        <f>'Transpo perseq'!Z11*Pondération!$D$3</f>
        <v>2.0116143667331734E-16</v>
      </c>
      <c r="O11">
        <f>'Transpo perseq'!AA11*Pondération!$D$6</f>
        <v>2.8980421401801029E-6</v>
      </c>
      <c r="P11">
        <f>'Transpo perseq'!AB11*Pondération!$D$8</f>
        <v>5.758481019132641E-6</v>
      </c>
      <c r="Q11">
        <f>'Transpo perseq'!AC11*Pondération!$D$10</f>
        <v>1.4768439936732384E-5</v>
      </c>
      <c r="R11">
        <f>'Transpo perseq'!AD11*Pondération!$D$9</f>
        <v>9.1481404431230767E-8</v>
      </c>
      <c r="S11">
        <f>'Transpo perseq'!AE11*Pondération!$D$11</f>
        <v>5.9649839719089077E-8</v>
      </c>
      <c r="T11">
        <f t="shared" si="0"/>
        <v>6.6959196018407459E-5</v>
      </c>
    </row>
    <row r="12" spans="1:20" x14ac:dyDescent="0.3">
      <c r="A12" t="s">
        <v>2</v>
      </c>
      <c r="B12" t="s">
        <v>12</v>
      </c>
      <c r="C12" t="s">
        <v>12</v>
      </c>
      <c r="D12">
        <f>'Transpo perseq'!D12*Pondération!$D$17</f>
        <v>2.3708800000000002E-2</v>
      </c>
      <c r="E12">
        <f>'Transpo perseq'!E12*Pondération!$D$2</f>
        <v>7.2446399999999994E-2</v>
      </c>
      <c r="F12">
        <f>'Transpo perseq'!I12*Pondération!$D$12</f>
        <v>4.1472000000000002E-2</v>
      </c>
      <c r="G12">
        <f>'Transpo perseq'!M12*Pondération!$D$15</f>
        <v>6.1376000000000007E-2</v>
      </c>
      <c r="H12">
        <f>'Transpo perseq'!N12*Pondération!$D$14</f>
        <v>1.7760000000000001E-2</v>
      </c>
      <c r="I12">
        <f>'Transpo perseq'!O12*Pondération!$D$16</f>
        <v>9.0820799999999993E-3</v>
      </c>
      <c r="J12">
        <f>'Transpo perseq'!P12*Pondération!$D$4</f>
        <v>2.7093600000000001E-3</v>
      </c>
      <c r="K12">
        <f>'Transpo perseq'!T12*Pondération!$D$5</f>
        <v>3.5242746119653605E-2</v>
      </c>
      <c r="L12">
        <f>'Transpo perseq'!X12*Pondération!$D$7</f>
        <v>8.6734044841147908E-3</v>
      </c>
      <c r="M12">
        <f>'Transpo perseq'!Y12*Pondération!$D$13</f>
        <v>3.6854508827693818E-4</v>
      </c>
      <c r="N12">
        <f>'Transpo perseq'!Z12*Pondération!$D$3</f>
        <v>2.0067892433923808E-4</v>
      </c>
      <c r="O12">
        <f>'Transpo perseq'!AA12*Pondération!$D$6</f>
        <v>2.8937492117105154E-2</v>
      </c>
      <c r="P12">
        <f>'Transpo perseq'!AB12*Pondération!$D$8</f>
        <v>1.2048438506138005E-2</v>
      </c>
      <c r="Q12">
        <f>'Transpo perseq'!AC12*Pondération!$D$10</f>
        <v>4.4670347822947092E-2</v>
      </c>
      <c r="R12">
        <f>'Transpo perseq'!AD12*Pondération!$D$9</f>
        <v>0.51101244995400374</v>
      </c>
      <c r="S12">
        <f>'Transpo perseq'!AE12*Pondération!$D$11</f>
        <v>3.6816006116255422</v>
      </c>
      <c r="T12">
        <f t="shared" si="0"/>
        <v>4.5513093546421208</v>
      </c>
    </row>
    <row r="13" spans="1:20" x14ac:dyDescent="0.3">
      <c r="A13" t="s">
        <v>2</v>
      </c>
      <c r="B13" t="s">
        <v>12</v>
      </c>
      <c r="C13" t="s">
        <v>56</v>
      </c>
      <c r="D13">
        <f>'Transpo perseq'!D13*Pondération!$D$17</f>
        <v>1.2995200000000002E-4</v>
      </c>
      <c r="E13">
        <f>'Transpo perseq'!E13*Pondération!$D$2</f>
        <v>5.7957120000000004E-4</v>
      </c>
      <c r="F13">
        <f>'Transpo perseq'!I13*Pondération!$D$12</f>
        <v>7.1884799999999993E-5</v>
      </c>
      <c r="G13">
        <f>'Transpo perseq'!M13*Pondération!$D$15</f>
        <v>1.1155199999999999E-4</v>
      </c>
      <c r="H13">
        <f>'Transpo perseq'!N13*Pondération!$D$14</f>
        <v>3.5330560000000001E-5</v>
      </c>
      <c r="I13">
        <f>'Transpo perseq'!O13*Pondération!$D$16</f>
        <v>4.671632E-5</v>
      </c>
      <c r="J13">
        <f>'Transpo perseq'!P13*Pondération!$D$4</f>
        <v>7.5657600000000002E-6</v>
      </c>
      <c r="K13">
        <f>'Transpo perseq'!T13*Pondération!$D$5</f>
        <v>1.4823360116647538E-5</v>
      </c>
      <c r="L13">
        <f>'Transpo perseq'!X13*Pondération!$D$7</f>
        <v>3.2015955910265946E-5</v>
      </c>
      <c r="M13">
        <f>'Transpo perseq'!Y13*Pondération!$D$13</f>
        <v>1.5558027451447709E-4</v>
      </c>
      <c r="N13">
        <f>'Transpo perseq'!Z13*Pondération!$D$3</f>
        <v>1.7531262071640899E-6</v>
      </c>
      <c r="O13">
        <f>'Transpo perseq'!AA13*Pondération!$D$6</f>
        <v>2.9495647116497409E-4</v>
      </c>
      <c r="P13">
        <f>'Transpo perseq'!AB13*Pondération!$D$8</f>
        <v>7.6902422790832648E-5</v>
      </c>
      <c r="Q13">
        <f>'Transpo perseq'!AC13*Pondération!$D$10</f>
        <v>3.805939149754766E-4</v>
      </c>
      <c r="R13">
        <f>'Transpo perseq'!AD13*Pondération!$D$9</f>
        <v>1.7988050462738569E-5</v>
      </c>
      <c r="S13">
        <f>'Transpo perseq'!AE13*Pondération!$D$11</f>
        <v>2.1611952519591485E-2</v>
      </c>
      <c r="T13">
        <f t="shared" si="0"/>
        <v>2.356913873573406E-2</v>
      </c>
    </row>
    <row r="14" spans="1:20" x14ac:dyDescent="0.3">
      <c r="A14" t="s">
        <v>2</v>
      </c>
      <c r="B14" t="s">
        <v>12</v>
      </c>
      <c r="C14" t="s">
        <v>57</v>
      </c>
      <c r="D14">
        <f>'Transpo perseq'!D14*Pondération!$D$17</f>
        <v>1.5475199999999999E-3</v>
      </c>
      <c r="E14">
        <f>'Transpo perseq'!E14*Pondération!$D$2</f>
        <v>8.9968320000000015E-3</v>
      </c>
      <c r="F14">
        <f>'Transpo perseq'!I14*Pondération!$D$12</f>
        <v>1.5329279999999998E-3</v>
      </c>
      <c r="G14">
        <f>'Transpo perseq'!M14*Pondération!$D$15</f>
        <v>9.7663999999999994E-7</v>
      </c>
      <c r="H14">
        <f>'Transpo perseq'!N14*Pondération!$D$14</f>
        <v>9.4720000000000004E-4</v>
      </c>
      <c r="I14">
        <f>'Transpo perseq'!O14*Pondération!$D$16</f>
        <v>1.436512E-3</v>
      </c>
      <c r="J14">
        <f>'Transpo perseq'!P14*Pondération!$D$4</f>
        <v>7.9406399999999992E-5</v>
      </c>
      <c r="K14">
        <f>'Transpo perseq'!T14*Pondération!$D$5</f>
        <v>2.2926756452637252E-4</v>
      </c>
      <c r="L14">
        <f>'Transpo perseq'!X14*Pondération!$D$7</f>
        <v>6.1699894281747408E-6</v>
      </c>
      <c r="M14">
        <f>'Transpo perseq'!Y14*Pondération!$D$13</f>
        <v>9.2096068636549393E-7</v>
      </c>
      <c r="N14">
        <f>'Transpo perseq'!Z14*Pondération!$D$3</f>
        <v>3.2185873970921663E-14</v>
      </c>
      <c r="O14">
        <f>'Transpo perseq'!AA14*Pondération!$D$6</f>
        <v>6.6468249133619633E-4</v>
      </c>
      <c r="P14">
        <f>'Transpo perseq'!AB14*Pondération!$D$8</f>
        <v>2.0983856556927652E-3</v>
      </c>
      <c r="Q14">
        <f>'Transpo perseq'!AC14*Pondération!$D$10</f>
        <v>5.9920674444792141E-3</v>
      </c>
      <c r="R14">
        <f>'Transpo perseq'!AD14*Pondération!$D$9</f>
        <v>1.3565215449213596E-5</v>
      </c>
      <c r="S14">
        <f>'Transpo perseq'!AE14*Pondération!$D$11</f>
        <v>3.3512126601856734E-6</v>
      </c>
      <c r="T14">
        <f t="shared" si="0"/>
        <v>2.3549785574290678E-2</v>
      </c>
    </row>
    <row r="15" spans="1:20" x14ac:dyDescent="0.3">
      <c r="A15" t="s">
        <v>1</v>
      </c>
      <c r="B15" t="s">
        <v>13</v>
      </c>
      <c r="C15" t="s">
        <v>13</v>
      </c>
      <c r="D15">
        <f>'Transpo perseq'!D15*Pondération!$D$17</f>
        <v>2.2419199999999997E-2</v>
      </c>
      <c r="E15">
        <f>'Transpo perseq'!E15*Pondération!$D$2</f>
        <v>8.9631359999999993E-2</v>
      </c>
      <c r="F15">
        <f>'Transpo perseq'!I15*Pondération!$D$12</f>
        <v>4.2086400000000003E-2</v>
      </c>
      <c r="G15">
        <f>'Transpo perseq'!M15*Pondération!$D$15</f>
        <v>3.3062400000000006E-2</v>
      </c>
      <c r="H15">
        <f>'Transpo perseq'!N15*Pondération!$D$14</f>
        <v>6.25152E-3</v>
      </c>
      <c r="I15">
        <f>'Transpo perseq'!O15*Pondération!$D$16</f>
        <v>8.4884799999999996E-3</v>
      </c>
      <c r="J15">
        <f>'Transpo perseq'!P15*Pondération!$D$4</f>
        <v>1.9357440000000001E-3</v>
      </c>
      <c r="K15">
        <f>'Transpo perseq'!T15*Pondération!$D$5</f>
        <v>3.7038687111543424E-3</v>
      </c>
      <c r="L15">
        <f>'Transpo perseq'!X15*Pondération!$D$7</f>
        <v>5.0109414875506835E-3</v>
      </c>
      <c r="M15">
        <f>'Transpo perseq'!Y15*Pondération!$D$13</f>
        <v>1.7598897073970081E-3</v>
      </c>
      <c r="N15">
        <f>'Transpo perseq'!Z15*Pondération!$D$3</f>
        <v>4.2108013070269146E-6</v>
      </c>
      <c r="O15">
        <f>'Transpo perseq'!AA15*Pondération!$D$6</f>
        <v>2.5999920109877003E-2</v>
      </c>
      <c r="P15">
        <f>'Transpo perseq'!AB15*Pondération!$D$8</f>
        <v>1.2291920716438398E-2</v>
      </c>
      <c r="Q15">
        <f>'Transpo perseq'!AC15*Pondération!$D$10</f>
        <v>5.5829186662056697E-2</v>
      </c>
      <c r="R15">
        <f>'Transpo perseq'!AD15*Pondération!$D$9</f>
        <v>0.12001383873405133</v>
      </c>
      <c r="S15">
        <f>'Transpo perseq'!AE15*Pondération!$D$11</f>
        <v>7.867440271657913E-3</v>
      </c>
      <c r="T15">
        <f t="shared" si="0"/>
        <v>0.43635632120149043</v>
      </c>
    </row>
    <row r="16" spans="1:20" x14ac:dyDescent="0.3">
      <c r="A16" t="s">
        <v>1</v>
      </c>
      <c r="B16" t="s">
        <v>13</v>
      </c>
      <c r="C16" t="s">
        <v>56</v>
      </c>
      <c r="D16">
        <f>'Transpo perseq'!D16*Pondération!$D$17</f>
        <v>8.6799999999999996E-5</v>
      </c>
      <c r="E16">
        <f>'Transpo perseq'!E16*Pondération!$D$2</f>
        <v>3.8750400000000005E-4</v>
      </c>
      <c r="F16">
        <f>'Transpo perseq'!I16*Pondération!$D$12</f>
        <v>4.7923199999999995E-5</v>
      </c>
      <c r="G16">
        <f>'Transpo perseq'!M16*Pondération!$D$15</f>
        <v>7.4368000000000004E-5</v>
      </c>
      <c r="H16">
        <f>'Transpo perseq'!N16*Pondération!$D$14</f>
        <v>2.3585280000000001E-5</v>
      </c>
      <c r="I16">
        <f>'Transpo perseq'!O16*Pondération!$D$16</f>
        <v>3.1164000000000002E-5</v>
      </c>
      <c r="J16">
        <f>'Transpo perseq'!P16*Pondération!$D$4</f>
        <v>5.0438400000000001E-6</v>
      </c>
      <c r="K16">
        <f>'Transpo perseq'!T16*Pondération!$D$5</f>
        <v>9.8822400777650152E-6</v>
      </c>
      <c r="L16">
        <f>'Transpo perseq'!X16*Pondération!$D$7</f>
        <v>2.1343970606843964E-5</v>
      </c>
      <c r="M16">
        <f>'Transpo perseq'!Y16*Pondération!$D$13</f>
        <v>1.0372018300965167E-4</v>
      </c>
      <c r="N16">
        <f>'Transpo perseq'!Z16*Pondération!$D$3</f>
        <v>1.16875080477606E-6</v>
      </c>
      <c r="O16">
        <f>'Transpo perseq'!AA16*Pondération!$D$6</f>
        <v>1.9663764744331654E-4</v>
      </c>
      <c r="P16">
        <f>'Transpo perseq'!AB16*Pondération!$D$8</f>
        <v>5.1268281860554974E-5</v>
      </c>
      <c r="Q16">
        <f>'Transpo perseq'!AC16*Pondération!$D$10</f>
        <v>2.537292766503173E-4</v>
      </c>
      <c r="R16">
        <f>'Transpo perseq'!AD16*Pondération!$D$9</f>
        <v>1.1992033641825741E-5</v>
      </c>
      <c r="S16">
        <f>'Transpo perseq'!AE16*Pondération!$D$11</f>
        <v>1.440796834639437E-2</v>
      </c>
      <c r="T16">
        <f t="shared" si="0"/>
        <v>1.571409905048942E-2</v>
      </c>
    </row>
    <row r="17" spans="1:20" x14ac:dyDescent="0.3">
      <c r="A17" t="s">
        <v>1</v>
      </c>
      <c r="B17" t="s">
        <v>13</v>
      </c>
      <c r="C17" t="s">
        <v>57</v>
      </c>
      <c r="D17">
        <f>'Transpo perseq'!D17*Pondération!$D$17</f>
        <v>5.9519999999999999E-6</v>
      </c>
      <c r="E17">
        <f>'Transpo perseq'!E17*Pondération!$D$2</f>
        <v>2.3216544000000001E-5</v>
      </c>
      <c r="F17">
        <f>'Transpo perseq'!I17*Pondération!$D$12</f>
        <v>3.9628800000000001E-6</v>
      </c>
      <c r="G17">
        <f>'Transpo perseq'!M17*Pondération!$D$15</f>
        <v>4.6143999999999999E-8</v>
      </c>
      <c r="H17">
        <f>'Transpo perseq'!N17*Pondération!$D$14</f>
        <v>3.9498239999999997E-6</v>
      </c>
      <c r="I17">
        <f>'Transpo perseq'!O17*Pondération!$D$16</f>
        <v>6.0547200000000004E-6</v>
      </c>
      <c r="J17">
        <f>'Transpo perseq'!P17*Pondération!$D$4</f>
        <v>2.2458719999999998E-7</v>
      </c>
      <c r="K17">
        <f>'Transpo perseq'!T17*Pondération!$D$5</f>
        <v>7.9203935215780755E-7</v>
      </c>
      <c r="L17">
        <f>'Transpo perseq'!X17*Pondération!$D$7</f>
        <v>3.7512725978244579E-8</v>
      </c>
      <c r="M17">
        <f>'Transpo perseq'!Y17*Pondération!$D$13</f>
        <v>3.9523053924653494E-7</v>
      </c>
      <c r="N17">
        <f>'Transpo perseq'!Z17*Pondération!$D$3</f>
        <v>2.069089062925544E-16</v>
      </c>
      <c r="O17">
        <f>'Transpo perseq'!AA17*Pondération!$D$6</f>
        <v>2.9808433441852478E-6</v>
      </c>
      <c r="P17">
        <f>'Transpo perseq'!AB17*Pondération!$D$8</f>
        <v>5.9230090482507172E-6</v>
      </c>
      <c r="Q17">
        <f>'Transpo perseq'!AC17*Pondération!$D$10</f>
        <v>1.5190395363496172E-5</v>
      </c>
      <c r="R17">
        <f>'Transpo perseq'!AD17*Pondération!$D$9</f>
        <v>9.4095158843551722E-8</v>
      </c>
      <c r="S17">
        <f>'Transpo perseq'!AE17*Pondération!$D$11</f>
        <v>6.1354120853923924E-8</v>
      </c>
      <c r="T17">
        <f t="shared" si="0"/>
        <v>6.8881178853219093E-5</v>
      </c>
    </row>
    <row r="18" spans="1:20" x14ac:dyDescent="0.3">
      <c r="A18" t="s">
        <v>1</v>
      </c>
      <c r="B18" t="s">
        <v>14</v>
      </c>
      <c r="C18" t="s">
        <v>56</v>
      </c>
      <c r="D18">
        <f>'Transpo perseq'!D18*Pondération!$D$17</f>
        <v>7.5987200000000003E-5</v>
      </c>
      <c r="E18">
        <f>'Transpo perseq'!E18*Pondération!$D$2</f>
        <v>3.0730751999999997E-4</v>
      </c>
      <c r="F18">
        <f>'Transpo perseq'!I18*Pondération!$D$12</f>
        <v>5.4988799999999991E-5</v>
      </c>
      <c r="G18">
        <f>'Transpo perseq'!M18*Pondération!$D$15</f>
        <v>8.2432E-5</v>
      </c>
      <c r="H18">
        <f>'Transpo perseq'!N18*Pondération!$D$14</f>
        <v>2.2685440000000001E-5</v>
      </c>
      <c r="I18">
        <f>'Transpo perseq'!O18*Pondération!$D$16</f>
        <v>2.9264479999999999E-5</v>
      </c>
      <c r="J18">
        <f>'Transpo perseq'!P18*Pondération!$D$4</f>
        <v>5.41872E-6</v>
      </c>
      <c r="K18">
        <f>'Transpo perseq'!T18*Pondération!$D$5</f>
        <v>1.0649271471710247E-5</v>
      </c>
      <c r="L18">
        <f>'Transpo perseq'!X18*Pondération!$D$7</f>
        <v>3.2703461375560134E-5</v>
      </c>
      <c r="M18">
        <f>'Transpo perseq'!Y18*Pondération!$D$13</f>
        <v>1.1532335363728533E-4</v>
      </c>
      <c r="N18">
        <f>'Transpo perseq'!Z18*Pondération!$D$3</f>
        <v>1.2986120114636531E-6</v>
      </c>
      <c r="O18">
        <f>'Transpo perseq'!AA18*Pondération!$D$6</f>
        <v>1.9835482807727822E-4</v>
      </c>
      <c r="P18">
        <f>'Transpo perseq'!AB18*Pondération!$D$8</f>
        <v>4.7463599857856383E-5</v>
      </c>
      <c r="Q18">
        <f>'Transpo perseq'!AC18*Pondération!$D$10</f>
        <v>1.9566501382146467E-4</v>
      </c>
      <c r="R18">
        <f>'Transpo perseq'!AD18*Pondération!$D$9</f>
        <v>1.3043096012086824E-5</v>
      </c>
      <c r="S18">
        <f>'Transpo perseq'!AE18*Pondération!$D$11</f>
        <v>1.600736364912066E-2</v>
      </c>
      <c r="T18">
        <f t="shared" si="0"/>
        <v>1.7199949045385365E-2</v>
      </c>
    </row>
    <row r="19" spans="1:20" x14ac:dyDescent="0.3">
      <c r="A19" t="s">
        <v>1</v>
      </c>
      <c r="B19" t="s">
        <v>14</v>
      </c>
      <c r="C19" t="s">
        <v>14</v>
      </c>
      <c r="D19">
        <f>'Transpo perseq'!D19*Pondération!$D$17</f>
        <v>5.0988800000000001E-4</v>
      </c>
      <c r="E19">
        <f>'Transpo perseq'!E19*Pondération!$D$2</f>
        <v>1.6544736E-3</v>
      </c>
      <c r="F19">
        <f>'Transpo perseq'!I19*Pondération!$D$12</f>
        <v>1.3578239999999998E-4</v>
      </c>
      <c r="G19">
        <f>'Transpo perseq'!M19*Pondération!$D$15</f>
        <v>1.2275199999999999E-5</v>
      </c>
      <c r="H19">
        <f>'Transpo perseq'!N19*Pondération!$D$14</f>
        <v>8.9510400000000016E-5</v>
      </c>
      <c r="I19">
        <f>'Transpo perseq'!O19*Pondération!$D$16</f>
        <v>1.3355999999999999E-4</v>
      </c>
      <c r="J19">
        <f>'Transpo perseq'!P19*Pondération!$D$4</f>
        <v>2.4503520000000001E-2</v>
      </c>
      <c r="K19">
        <f>'Transpo perseq'!T19*Pondération!$D$5</f>
        <v>1.0335256643811535E-4</v>
      </c>
      <c r="L19">
        <f>'Transpo perseq'!X19*Pondération!$D$7</f>
        <v>0</v>
      </c>
      <c r="M19">
        <f>'Transpo perseq'!Y19*Pondération!$D$13</f>
        <v>0</v>
      </c>
      <c r="N19">
        <f>'Transpo perseq'!Z19*Pondération!$D$3</f>
        <v>0</v>
      </c>
      <c r="O19">
        <f>'Transpo perseq'!AA19*Pondération!$D$6</f>
        <v>6.5553302166897513E-4</v>
      </c>
      <c r="P19">
        <f>'Transpo perseq'!AB19*Pondération!$D$8</f>
        <v>2.1296522632865974E-4</v>
      </c>
      <c r="Q19">
        <f>'Transpo perseq'!AC19*Pondération!$D$10</f>
        <v>2.1319179885249391E-3</v>
      </c>
      <c r="R19">
        <f>'Transpo perseq'!AD19*Pondération!$D$9</f>
        <v>7.9832389823252668E-6</v>
      </c>
      <c r="S19">
        <f>'Transpo perseq'!AE19*Pondération!$D$11</f>
        <v>6.0614561729038102E-4</v>
      </c>
      <c r="T19">
        <f t="shared" si="0"/>
        <v>3.0756907259233399E-2</v>
      </c>
    </row>
    <row r="20" spans="1:20" x14ac:dyDescent="0.3">
      <c r="A20" t="s">
        <v>1</v>
      </c>
      <c r="B20" t="s">
        <v>14</v>
      </c>
      <c r="C20" t="s">
        <v>57</v>
      </c>
      <c r="D20">
        <f>'Transpo perseq'!D20*Pondération!$D$17</f>
        <v>2.8272E-5</v>
      </c>
      <c r="E20">
        <f>'Transpo perseq'!E20*Pondération!$D$2</f>
        <v>1.1052287999999999E-4</v>
      </c>
      <c r="F20">
        <f>'Transpo perseq'!I20*Pondération!$D$12</f>
        <v>1.8831359999999998E-5</v>
      </c>
      <c r="G20">
        <f>'Transpo perseq'!M20*Pondération!$D$15</f>
        <v>2.1952E-7</v>
      </c>
      <c r="H20">
        <f>'Transpo perseq'!N20*Pondération!$D$14</f>
        <v>1.8754560000000002E-5</v>
      </c>
      <c r="I20">
        <f>'Transpo perseq'!O20*Pondération!$D$16</f>
        <v>2.87896E-5</v>
      </c>
      <c r="J20">
        <f>'Transpo perseq'!P20*Pondération!$D$4</f>
        <v>1.066704E-6</v>
      </c>
      <c r="K20">
        <f>'Transpo perseq'!T20*Pondération!$D$5</f>
        <v>3.7654531914754213E-6</v>
      </c>
      <c r="L20">
        <f>'Transpo perseq'!X20*Pondération!$D$7</f>
        <v>1.7834014606837387E-7</v>
      </c>
      <c r="M20">
        <f>'Transpo perseq'!Y20*Pondération!$D$13</f>
        <v>1.8789749414848579E-6</v>
      </c>
      <c r="N20">
        <f>'Transpo perseq'!Z20*Pondération!$D$3</f>
        <v>9.8367057068745004E-16</v>
      </c>
      <c r="O20">
        <f>'Transpo perseq'!AA20*Pondération!$D$6</f>
        <v>1.4171298500600599E-5</v>
      </c>
      <c r="P20">
        <f>'Transpo perseq'!AB20*Pondération!$D$8</f>
        <v>2.8158718709003986E-5</v>
      </c>
      <c r="Q20">
        <f>'Transpo perseq'!AC20*Pondération!$D$10</f>
        <v>7.2217021219235668E-5</v>
      </c>
      <c r="R20">
        <f>'Transpo perseq'!AD20*Pondération!$D$9</f>
        <v>4.4734004087620632E-7</v>
      </c>
      <c r="S20">
        <f>'Transpo perseq'!AE20*Pondération!$D$11</f>
        <v>2.9168509058315404E-7</v>
      </c>
      <c r="T20">
        <f t="shared" si="0"/>
        <v>3.2756545584031193E-4</v>
      </c>
    </row>
    <row r="21" spans="1:20" x14ac:dyDescent="0.3">
      <c r="A21" t="s">
        <v>2</v>
      </c>
      <c r="B21" t="s">
        <v>15</v>
      </c>
      <c r="C21" t="s">
        <v>56</v>
      </c>
      <c r="D21">
        <f>'Transpo perseq'!D21*Pondération!$D$17</f>
        <v>8.6799999999999996E-5</v>
      </c>
      <c r="E21">
        <f>'Transpo perseq'!E21*Pondération!$D$2</f>
        <v>3.8750400000000005E-4</v>
      </c>
      <c r="F21">
        <f>'Transpo perseq'!I21*Pondération!$D$12</f>
        <v>4.7923199999999995E-5</v>
      </c>
      <c r="G21">
        <f>'Transpo perseq'!M21*Pondération!$D$15</f>
        <v>7.4368000000000004E-5</v>
      </c>
      <c r="H21">
        <f>'Transpo perseq'!N21*Pondération!$D$14</f>
        <v>2.3585280000000001E-5</v>
      </c>
      <c r="I21">
        <f>'Transpo perseq'!O21*Pondération!$D$16</f>
        <v>3.1164000000000002E-5</v>
      </c>
      <c r="J21">
        <f>'Transpo perseq'!P21*Pondération!$D$4</f>
        <v>5.0438400000000001E-6</v>
      </c>
      <c r="K21">
        <f>'Transpo perseq'!T21*Pondération!$D$5</f>
        <v>9.8822400777650152E-6</v>
      </c>
      <c r="L21">
        <f>'Transpo perseq'!X21*Pondération!$D$7</f>
        <v>2.1343970606843964E-5</v>
      </c>
      <c r="M21">
        <f>'Transpo perseq'!Y21*Pondération!$D$13</f>
        <v>1.0372018300965167E-4</v>
      </c>
      <c r="N21">
        <f>'Transpo perseq'!Z21*Pondération!$D$3</f>
        <v>1.16875080477606E-6</v>
      </c>
      <c r="O21">
        <f>'Transpo perseq'!AA21*Pondération!$D$6</f>
        <v>1.9663764744331654E-4</v>
      </c>
      <c r="P21">
        <f>'Transpo perseq'!AB21*Pondération!$D$8</f>
        <v>5.1268281860554974E-5</v>
      </c>
      <c r="Q21">
        <f>'Transpo perseq'!AC21*Pondération!$D$10</f>
        <v>2.537292766503173E-4</v>
      </c>
      <c r="R21">
        <f>'Transpo perseq'!AD21*Pondération!$D$9</f>
        <v>1.1992033641825741E-5</v>
      </c>
      <c r="S21">
        <f>'Transpo perseq'!AE21*Pondération!$D$11</f>
        <v>1.440796834639437E-2</v>
      </c>
      <c r="T21">
        <f t="shared" si="0"/>
        <v>1.571409905048942E-2</v>
      </c>
    </row>
    <row r="22" spans="1:20" x14ac:dyDescent="0.3">
      <c r="A22" t="s">
        <v>2</v>
      </c>
      <c r="B22" t="s">
        <v>15</v>
      </c>
      <c r="C22" t="s">
        <v>60</v>
      </c>
      <c r="D22">
        <f>'Transpo perseq'!D22*Pondération!$D$17</f>
        <v>3.0256000000000003E-3</v>
      </c>
      <c r="E22">
        <f>'Transpo perseq'!E22*Pondération!$D$2</f>
        <v>9.0979200000000007E-3</v>
      </c>
      <c r="F22">
        <f>'Transpo perseq'!I22*Pondération!$D$12</f>
        <v>0.5898239999999999</v>
      </c>
      <c r="G22">
        <f>'Transpo perseq'!M22*Pondération!$D$15</f>
        <v>7.7504000000000002E-3</v>
      </c>
      <c r="H22">
        <f>'Transpo perseq'!N22*Pondération!$D$14</f>
        <v>5.6831999999999998E-4</v>
      </c>
      <c r="I22">
        <f>'Transpo perseq'!O22*Pondération!$D$16</f>
        <v>7.8355199999999997E-4</v>
      </c>
      <c r="J22">
        <f>'Transpo perseq'!P22*Pondération!$D$4</f>
        <v>4.2259200000000001E-4</v>
      </c>
      <c r="K22">
        <f>'Transpo perseq'!T22*Pondération!$D$5</f>
        <v>1.0217250593690165E-3</v>
      </c>
      <c r="L22">
        <f>'Transpo perseq'!X22*Pondération!$D$7</f>
        <v>1.932412259282561E-3</v>
      </c>
      <c r="M22">
        <f>'Transpo perseq'!Y22*Pondération!$D$13</f>
        <v>5.3548082803850896E-5</v>
      </c>
      <c r="N22">
        <f>'Transpo perseq'!Z22*Pondération!$D$3</f>
        <v>3.1951226017512356E-5</v>
      </c>
      <c r="O22">
        <f>'Transpo perseq'!AA22*Pondération!$D$6</f>
        <v>2.3008243805105809E-3</v>
      </c>
      <c r="P22">
        <f>'Transpo perseq'!AB22*Pondération!$D$8</f>
        <v>2.0649493544648225E-3</v>
      </c>
      <c r="Q22">
        <f>'Transpo perseq'!AC22*Pondération!$D$10</f>
        <v>7.3056550434746513E-3</v>
      </c>
      <c r="R22">
        <f>'Transpo perseq'!AD22*Pondération!$D$9</f>
        <v>0.10813052286740958</v>
      </c>
      <c r="S22">
        <f>'Transpo perseq'!AE22*Pondération!$D$11</f>
        <v>0.80083014840767774</v>
      </c>
      <c r="T22">
        <f t="shared" si="0"/>
        <v>1.5351441206810104</v>
      </c>
    </row>
    <row r="23" spans="1:20" x14ac:dyDescent="0.3">
      <c r="A23" t="s">
        <v>2</v>
      </c>
      <c r="B23" t="s">
        <v>15</v>
      </c>
      <c r="C23" t="s">
        <v>57</v>
      </c>
      <c r="D23">
        <f>'Transpo perseq'!D23*Pondération!$D$17</f>
        <v>9.9200000000000004E-4</v>
      </c>
      <c r="E23">
        <f>'Transpo perseq'!E23*Pondération!$D$2</f>
        <v>5.7957119999999997E-3</v>
      </c>
      <c r="F23">
        <f>'Transpo perseq'!I23*Pondération!$D$12</f>
        <v>9.8611199999999993E-4</v>
      </c>
      <c r="G23">
        <f>'Transpo perseq'!M23*Pondération!$D$15</f>
        <v>6.272E-7</v>
      </c>
      <c r="H23">
        <f>'Transpo perseq'!N23*Pondération!$D$14</f>
        <v>6.1094399999999998E-4</v>
      </c>
      <c r="I23">
        <f>'Transpo perseq'!O23*Pondération!$D$16</f>
        <v>9.2601599999999999E-4</v>
      </c>
      <c r="J23">
        <f>'Transpo perseq'!P23*Pondération!$D$4</f>
        <v>5.1119999999999992E-5</v>
      </c>
      <c r="K23">
        <f>'Transpo perseq'!T23*Pondération!$D$5</f>
        <v>1.4780013185042062E-4</v>
      </c>
      <c r="L23">
        <f>'Transpo perseq'!X23*Pondération!$D$7</f>
        <v>3.9775589402879967E-6</v>
      </c>
      <c r="M23">
        <f>'Transpo perseq'!Y23*Pondération!$D$13</f>
        <v>5.9370853943107908E-7</v>
      </c>
      <c r="N23">
        <f>'Transpo perseq'!Z23*Pondération!$D$3</f>
        <v>2.0749016226741662E-14</v>
      </c>
      <c r="O23">
        <f>'Transpo perseq'!AA23*Pondération!$D$6</f>
        <v>4.2849567517805261E-4</v>
      </c>
      <c r="P23">
        <f>'Transpo perseq'!AB23*Pondération!$D$8</f>
        <v>1.3527499069705788E-3</v>
      </c>
      <c r="Q23">
        <f>'Transpo perseq'!AC23*Pondération!$D$10</f>
        <v>3.8628593633826826E-3</v>
      </c>
      <c r="R23">
        <f>'Transpo perseq'!AD23*Pondération!$D$9</f>
        <v>8.7449815943873203E-6</v>
      </c>
      <c r="S23">
        <f>'Transpo perseq'!AE23*Pondération!$D$11</f>
        <v>2.1604001161586299E-6</v>
      </c>
      <c r="T23">
        <f t="shared" si="0"/>
        <v>1.5169912926592749E-2</v>
      </c>
    </row>
    <row r="24" spans="1:20" x14ac:dyDescent="0.3">
      <c r="A24" t="s">
        <v>1</v>
      </c>
      <c r="B24" t="s">
        <v>16</v>
      </c>
      <c r="C24" t="s">
        <v>56</v>
      </c>
      <c r="D24">
        <f>'Transpo perseq'!D24*Pondération!$D$17</f>
        <v>8.6799999999999996E-5</v>
      </c>
      <c r="E24">
        <f>'Transpo perseq'!E24*Pondération!$D$2</f>
        <v>3.8750400000000005E-4</v>
      </c>
      <c r="F24">
        <f>'Transpo perseq'!I24*Pondération!$D$12</f>
        <v>4.7923199999999995E-5</v>
      </c>
      <c r="G24">
        <f>'Transpo perseq'!M24*Pondération!$D$15</f>
        <v>7.4368000000000004E-5</v>
      </c>
      <c r="H24">
        <f>'Transpo perseq'!N24*Pondération!$D$14</f>
        <v>2.3585280000000001E-5</v>
      </c>
      <c r="I24">
        <f>'Transpo perseq'!O24*Pondération!$D$16</f>
        <v>3.1164000000000002E-5</v>
      </c>
      <c r="J24">
        <f>'Transpo perseq'!P24*Pondération!$D$4</f>
        <v>5.0438400000000001E-6</v>
      </c>
      <c r="K24">
        <f>'Transpo perseq'!T24*Pondération!$D$5</f>
        <v>9.8822400777650152E-6</v>
      </c>
      <c r="L24">
        <f>'Transpo perseq'!X24*Pondération!$D$7</f>
        <v>2.1343970606843964E-5</v>
      </c>
      <c r="M24">
        <f>'Transpo perseq'!Y24*Pondération!$D$13</f>
        <v>1.0372018300965167E-4</v>
      </c>
      <c r="N24">
        <f>'Transpo perseq'!Z24*Pondération!$D$3</f>
        <v>1.16875080477606E-6</v>
      </c>
      <c r="O24">
        <f>'Transpo perseq'!AA24*Pondération!$D$6</f>
        <v>1.9663764744331654E-4</v>
      </c>
      <c r="P24">
        <f>'Transpo perseq'!AB24*Pondération!$D$8</f>
        <v>5.1268281860554974E-5</v>
      </c>
      <c r="Q24">
        <f>'Transpo perseq'!AC24*Pondération!$D$10</f>
        <v>2.537292766503173E-4</v>
      </c>
      <c r="R24">
        <f>'Transpo perseq'!AD24*Pondération!$D$9</f>
        <v>1.1992033641825741E-5</v>
      </c>
      <c r="S24">
        <f>'Transpo perseq'!AE24*Pondération!$D$11</f>
        <v>1.440796834639437E-2</v>
      </c>
      <c r="T24">
        <f t="shared" si="0"/>
        <v>1.571409905048942E-2</v>
      </c>
    </row>
    <row r="25" spans="1:20" x14ac:dyDescent="0.3">
      <c r="A25" t="s">
        <v>1</v>
      </c>
      <c r="B25" t="s">
        <v>16</v>
      </c>
      <c r="C25" t="s">
        <v>61</v>
      </c>
      <c r="D25">
        <f>'Transpo perseq'!D25*Pondération!$D$17</f>
        <v>5.6345600000000003E-3</v>
      </c>
      <c r="E25">
        <f>'Transpo perseq'!E25*Pondération!$D$2</f>
        <v>1.8195840000000001E-2</v>
      </c>
      <c r="F25">
        <f>'Transpo perseq'!I25*Pondération!$D$12</f>
        <v>4.5772799999999995E-2</v>
      </c>
      <c r="G25">
        <f>'Transpo perseq'!M25*Pondération!$D$15</f>
        <v>2.5939199999999999E-2</v>
      </c>
      <c r="H25">
        <f>'Transpo perseq'!N25*Pondération!$D$14</f>
        <v>1.813888E-3</v>
      </c>
      <c r="I25">
        <f>'Transpo perseq'!O25*Pondération!$D$16</f>
        <v>2.7483679999999997E-3</v>
      </c>
      <c r="J25">
        <f>'Transpo perseq'!P25*Pondération!$D$4</f>
        <v>1.318896E-3</v>
      </c>
      <c r="K25">
        <f>'Transpo perseq'!T25*Pondération!$D$5</f>
        <v>2.9568931398594022E-3</v>
      </c>
      <c r="L25">
        <f>'Transpo perseq'!X25*Pondération!$D$7</f>
        <v>1.1325035344841106E-3</v>
      </c>
      <c r="M25">
        <f>'Transpo perseq'!Y25*Pondération!$D$13</f>
        <v>4.168803604235023E-4</v>
      </c>
      <c r="N25">
        <f>'Transpo perseq'!Z25*Pondération!$D$3</f>
        <v>1.0832764505342476E-4</v>
      </c>
      <c r="O25">
        <f>'Transpo perseq'!AA25*Pondération!$D$6</f>
        <v>5.3591667149244602E-3</v>
      </c>
      <c r="P25">
        <f>'Transpo perseq'!AB25*Pondération!$D$8</f>
        <v>3.7849967250879707E-3</v>
      </c>
      <c r="Q25">
        <f>'Transpo perseq'!AC25*Pondération!$D$10</f>
        <v>1.1712570454485701E-2</v>
      </c>
      <c r="R25">
        <f>'Transpo perseq'!AD25*Pondération!$D$9</f>
        <v>0.57816206518395552</v>
      </c>
      <c r="S25">
        <f>'Transpo perseq'!AE25*Pondération!$D$11</f>
        <v>2.4083651160985817E-3</v>
      </c>
      <c r="T25">
        <f t="shared" si="0"/>
        <v>0.70746532087437264</v>
      </c>
    </row>
    <row r="26" spans="1:20" x14ac:dyDescent="0.3">
      <c r="A26" t="s">
        <v>1</v>
      </c>
      <c r="B26" t="s">
        <v>16</v>
      </c>
      <c r="C26" t="s">
        <v>57</v>
      </c>
      <c r="D26">
        <f>'Transpo perseq'!D26*Pondération!$D$17</f>
        <v>3.5414399999999999E-6</v>
      </c>
      <c r="E26">
        <f>'Transpo perseq'!E26*Pondération!$D$2</f>
        <v>1.3815359999999999E-5</v>
      </c>
      <c r="F26">
        <f>'Transpo perseq'!I26*Pondération!$D$12</f>
        <v>2.3562239999999998E-6</v>
      </c>
      <c r="G26">
        <f>'Transpo perseq'!M26*Pondération!$D$15</f>
        <v>2.7417600000000003E-8</v>
      </c>
      <c r="H26">
        <f>'Transpo perseq'!N26*Pondération!$D$14</f>
        <v>2.3490560000000001E-6</v>
      </c>
      <c r="I26">
        <f>'Transpo perseq'!O26*Pondération!$D$16</f>
        <v>3.5972159999999996E-6</v>
      </c>
      <c r="J26">
        <f>'Transpo perseq'!P26*Pondération!$D$4</f>
        <v>1.335936E-7</v>
      </c>
      <c r="K26">
        <f>'Transpo perseq'!T26*Pondération!$D$5</f>
        <v>4.7082339267158384E-7</v>
      </c>
      <c r="L26">
        <f>'Transpo perseq'!X26*Pondération!$D$7</f>
        <v>2.229923155373431E-8</v>
      </c>
      <c r="M26">
        <f>'Transpo perseq'!Y26*Pondération!$D$13</f>
        <v>2.3494259832988234E-7</v>
      </c>
      <c r="N26">
        <f>'Transpo perseq'!Z26*Pondération!$D$3</f>
        <v>1.2299584985168543E-16</v>
      </c>
      <c r="O26">
        <f>'Transpo perseq'!AA26*Pondération!$D$6</f>
        <v>1.7719457657101169E-6</v>
      </c>
      <c r="P26">
        <f>'Transpo perseq'!AB26*Pondération!$D$8</f>
        <v>3.5208998231268122E-6</v>
      </c>
      <c r="Q26">
        <f>'Transpo perseq'!AC26*Pondération!$D$10</f>
        <v>9.0298461327449456E-6</v>
      </c>
      <c r="R26">
        <f>'Transpo perseq'!AD26*Pondération!$D$9</f>
        <v>5.5934344423666796E-8</v>
      </c>
      <c r="S26">
        <f>'Transpo perseq'!AE26*Pondération!$D$11</f>
        <v>3.6471616285387655E-8</v>
      </c>
      <c r="T26">
        <f t="shared" si="0"/>
        <v>4.096347010496912E-5</v>
      </c>
    </row>
    <row r="27" spans="1:20" x14ac:dyDescent="0.3">
      <c r="A27" t="s">
        <v>1</v>
      </c>
      <c r="B27" t="s">
        <v>17</v>
      </c>
      <c r="C27" t="s">
        <v>56</v>
      </c>
      <c r="D27">
        <f>'Transpo perseq'!D27*Pondération!$D$17</f>
        <v>8.6799999999999996E-5</v>
      </c>
      <c r="E27">
        <f>'Transpo perseq'!E27*Pondération!$D$2</f>
        <v>3.8750400000000005E-4</v>
      </c>
      <c r="F27">
        <f>'Transpo perseq'!I27*Pondération!$D$12</f>
        <v>4.7923199999999995E-5</v>
      </c>
      <c r="G27">
        <f>'Transpo perseq'!M27*Pondération!$D$15</f>
        <v>7.4368000000000004E-5</v>
      </c>
      <c r="H27">
        <f>'Transpo perseq'!N27*Pondération!$D$14</f>
        <v>2.3585280000000001E-5</v>
      </c>
      <c r="I27">
        <f>'Transpo perseq'!O27*Pondération!$D$16</f>
        <v>3.1164000000000002E-5</v>
      </c>
      <c r="J27">
        <f>'Transpo perseq'!P27*Pondération!$D$4</f>
        <v>5.0438400000000001E-6</v>
      </c>
      <c r="K27">
        <f>'Transpo perseq'!T27*Pondération!$D$5</f>
        <v>9.8822400777650152E-6</v>
      </c>
      <c r="L27">
        <f>'Transpo perseq'!X27*Pondération!$D$7</f>
        <v>2.1343970606843964E-5</v>
      </c>
      <c r="M27">
        <f>'Transpo perseq'!Y27*Pondération!$D$13</f>
        <v>1.0372018300965167E-4</v>
      </c>
      <c r="N27">
        <f>'Transpo perseq'!Z27*Pondération!$D$3</f>
        <v>1.16875080477606E-6</v>
      </c>
      <c r="O27">
        <f>'Transpo perseq'!AA27*Pondération!$D$6</f>
        <v>1.9663764744331654E-4</v>
      </c>
      <c r="P27">
        <f>'Transpo perseq'!AB27*Pondération!$D$8</f>
        <v>5.1268281860554974E-5</v>
      </c>
      <c r="Q27">
        <f>'Transpo perseq'!AC27*Pondération!$D$10</f>
        <v>2.537292766503173E-4</v>
      </c>
      <c r="R27">
        <f>'Transpo perseq'!AD27*Pondération!$D$9</f>
        <v>1.1992033641825741E-5</v>
      </c>
      <c r="S27">
        <f>'Transpo perseq'!AE27*Pondération!$D$11</f>
        <v>1.440796834639437E-2</v>
      </c>
      <c r="T27">
        <f t="shared" si="0"/>
        <v>1.571409905048942E-2</v>
      </c>
    </row>
    <row r="28" spans="1:20" x14ac:dyDescent="0.3">
      <c r="A28" t="s">
        <v>1</v>
      </c>
      <c r="B28" t="s">
        <v>17</v>
      </c>
      <c r="C28" t="s">
        <v>62</v>
      </c>
      <c r="D28">
        <f>'Transpo perseq'!D28*Pondération!$D$17</f>
        <v>6.2297600000000002E-4</v>
      </c>
      <c r="E28">
        <f>'Transpo perseq'!E28*Pondération!$D$2</f>
        <v>2.2812192000000002E-3</v>
      </c>
      <c r="F28">
        <f>'Transpo perseq'!I28*Pondération!$D$12</f>
        <v>3.0719999999999996E-3</v>
      </c>
      <c r="G28">
        <f>'Transpo perseq'!M28*Pondération!$D$15</f>
        <v>1.7024E-3</v>
      </c>
      <c r="H28">
        <f>'Transpo perseq'!N28*Pondération!$D$14</f>
        <v>1.6907520000000002E-4</v>
      </c>
      <c r="I28">
        <f>'Transpo perseq'!O28*Pondération!$D$16</f>
        <v>2.5584160000000002E-4</v>
      </c>
      <c r="J28">
        <f>'Transpo perseq'!P28*Pondération!$D$4</f>
        <v>2.0925119999999999E-4</v>
      </c>
      <c r="K28">
        <f>'Transpo perseq'!T28*Pondération!$D$5</f>
        <v>3.367889300540928E-4</v>
      </c>
      <c r="L28">
        <f>'Transpo perseq'!X28*Pondération!$D$7</f>
        <v>1.0814537691591953E-4</v>
      </c>
      <c r="M28">
        <f>'Transpo perseq'!Y28*Pondération!$D$13</f>
        <v>8.6982070201079936E-5</v>
      </c>
      <c r="N28">
        <f>'Transpo perseq'!Z28*Pondération!$D$3</f>
        <v>8.1427318045079993E-6</v>
      </c>
      <c r="O28">
        <f>'Transpo perseq'!AA28*Pondération!$D$6</f>
        <v>6.6087761369566149E-4</v>
      </c>
      <c r="P28">
        <f>'Transpo perseq'!AB28*Pondération!$D$8</f>
        <v>3.7501578125115543E-4</v>
      </c>
      <c r="Q28">
        <f>'Transpo perseq'!AC28*Pondération!$D$10</f>
        <v>1.4262687615081318E-3</v>
      </c>
      <c r="R28">
        <f>'Transpo perseq'!AD28*Pondération!$D$9</f>
        <v>2.9007573386237835E-2</v>
      </c>
      <c r="S28">
        <f>'Transpo perseq'!AE28*Pondération!$D$11</f>
        <v>1.9403359909174657E-4</v>
      </c>
      <c r="T28">
        <f t="shared" si="0"/>
        <v>4.0516591450760128E-2</v>
      </c>
    </row>
    <row r="29" spans="1:20" x14ac:dyDescent="0.3">
      <c r="A29" t="s">
        <v>1</v>
      </c>
      <c r="B29" t="s">
        <v>17</v>
      </c>
      <c r="C29" t="s">
        <v>57</v>
      </c>
      <c r="D29">
        <f>'Transpo perseq'!D29*Pondération!$D$17</f>
        <v>2.8172800000000002E-4</v>
      </c>
      <c r="E29">
        <f>'Transpo perseq'!E29*Pondération!$D$2</f>
        <v>1.6443648E-3</v>
      </c>
      <c r="F29">
        <f>'Transpo perseq'!I29*Pondération!$D$12</f>
        <v>2.7955199999999997E-4</v>
      </c>
      <c r="G29">
        <f>'Transpo perseq'!M29*Pondération!$D$15</f>
        <v>1.77856E-7</v>
      </c>
      <c r="H29">
        <f>'Transpo perseq'!N29*Pondération!$D$14</f>
        <v>1.72864E-4</v>
      </c>
      <c r="I29">
        <f>'Transpo perseq'!O29*Pondération!$D$16</f>
        <v>2.6237120000000003E-4</v>
      </c>
      <c r="J29">
        <f>'Transpo perseq'!P29*Pondération!$D$4</f>
        <v>1.4518079999999999E-5</v>
      </c>
      <c r="K29">
        <f>'Transpo perseq'!T29*Pondération!$D$5</f>
        <v>4.1834780708512628E-5</v>
      </c>
      <c r="L29">
        <f>'Transpo perseq'!X29*Pondération!$D$7</f>
        <v>1.1258468036451767E-6</v>
      </c>
      <c r="M29">
        <f>'Transpo perseq'!Y29*Pondération!$D$13</f>
        <v>1.6804901484801931E-7</v>
      </c>
      <c r="N29">
        <f>'Transpo perseq'!Z29*Pondération!$D$3</f>
        <v>5.8730024993589647E-15</v>
      </c>
      <c r="O29">
        <f>'Transpo perseq'!AA29*Pondération!$D$6</f>
        <v>1.2128556572440469E-4</v>
      </c>
      <c r="P29">
        <f>'Transpo perseq'!AB29*Pondération!$D$8</f>
        <v>3.8289543455108811E-4</v>
      </c>
      <c r="Q29">
        <f>'Transpo perseq'!AC29*Pondération!$D$10</f>
        <v>1.0933811245749509E-3</v>
      </c>
      <c r="R29">
        <f>'Transpo perseq'!AD29*Pondération!$D$9</f>
        <v>2.4752642823852129E-6</v>
      </c>
      <c r="S29">
        <f>'Transpo perseq'!AE29*Pondération!$D$11</f>
        <v>6.115005715531439E-7</v>
      </c>
      <c r="T29">
        <f t="shared" si="0"/>
        <v>4.299353502237261E-3</v>
      </c>
    </row>
    <row r="30" spans="1:20" x14ac:dyDescent="0.3">
      <c r="A30" t="s">
        <v>1</v>
      </c>
      <c r="B30" t="s">
        <v>18</v>
      </c>
      <c r="C30" t="s">
        <v>58</v>
      </c>
      <c r="D30">
        <f>'Transpo perseq'!D30*Pondération!$D$17</f>
        <v>1.79552E-4</v>
      </c>
      <c r="E30">
        <f>'Transpo perseq'!E30*Pondération!$D$2</f>
        <v>1.5837119999999999E-3</v>
      </c>
      <c r="F30">
        <f>'Transpo perseq'!I30*Pondération!$D$12</f>
        <v>4.6694399999999998E-5</v>
      </c>
      <c r="G30">
        <f>'Transpo perseq'!M30*Pondération!$D$15</f>
        <v>4.3769599999999995E-7</v>
      </c>
      <c r="H30">
        <f>'Transpo perseq'!N30*Pondération!$D$14</f>
        <v>5.5884799999999997E-5</v>
      </c>
      <c r="I30">
        <f>'Transpo perseq'!O30*Pondération!$D$16</f>
        <v>8.1323199999999994E-5</v>
      </c>
      <c r="J30">
        <f>'Transpo perseq'!P30*Pondération!$D$4</f>
        <v>6.6115199999999998E-6</v>
      </c>
      <c r="K30">
        <f>'Transpo perseq'!T30*Pondération!$D$5</f>
        <v>5.2203607642967499E-5</v>
      </c>
      <c r="L30">
        <f>'Transpo perseq'!X30*Pondération!$D$7</f>
        <v>2.397126214102705E-5</v>
      </c>
      <c r="M30">
        <f>'Transpo perseq'!Y30*Pondération!$D$13</f>
        <v>3.1768385953558408E-6</v>
      </c>
      <c r="N30">
        <f>'Transpo perseq'!Z30*Pondération!$D$3</f>
        <v>6.0167308992893243E-14</v>
      </c>
      <c r="O30">
        <f>'Transpo perseq'!AA30*Pondération!$D$6</f>
        <v>2.9602983034489734E-4</v>
      </c>
      <c r="P30">
        <f>'Transpo perseq'!AB30*Pondération!$D$8</f>
        <v>1.4528166300874389E-4</v>
      </c>
      <c r="Q30">
        <f>'Transpo perseq'!AC30*Pondération!$D$10</f>
        <v>8.5528879961305096E-4</v>
      </c>
      <c r="R30">
        <f>'Transpo perseq'!AD30*Pondération!$D$9</f>
        <v>2.445539408323127E-5</v>
      </c>
      <c r="S30">
        <f>'Transpo perseq'!AE30*Pondération!$D$11</f>
        <v>1.5287944290429811E-4</v>
      </c>
      <c r="T30">
        <f t="shared" si="0"/>
        <v>3.5075024543937392E-3</v>
      </c>
    </row>
    <row r="31" spans="1:20" x14ac:dyDescent="0.3">
      <c r="A31" t="s">
        <v>1</v>
      </c>
      <c r="B31" t="s">
        <v>18</v>
      </c>
      <c r="C31" t="s">
        <v>59</v>
      </c>
      <c r="D31">
        <f>'Transpo perseq'!D31*Pondération!$D$17</f>
        <v>3.89856E-4</v>
      </c>
      <c r="E31">
        <f>'Transpo perseq'!E31*Pondération!$D$2</f>
        <v>3.8076479999999998E-3</v>
      </c>
      <c r="F31">
        <f>'Transpo perseq'!I31*Pondération!$D$12</f>
        <v>6.8198399999999998E-3</v>
      </c>
      <c r="G31">
        <f>'Transpo perseq'!M31*Pondération!$D$15</f>
        <v>8.9600000000000009E-5</v>
      </c>
      <c r="H31">
        <f>'Transpo perseq'!N31*Pondération!$D$14</f>
        <v>1.6197120000000003E-4</v>
      </c>
      <c r="I31">
        <f>'Transpo perseq'!O31*Pondération!$D$16</f>
        <v>1.9588799999999999E-4</v>
      </c>
      <c r="J31">
        <f>'Transpo perseq'!P31*Pondération!$D$4</f>
        <v>2.6241599999999996E-4</v>
      </c>
      <c r="K31">
        <f>'Transpo perseq'!T31*Pondération!$D$5</f>
        <v>1.6777097702417821E-3</v>
      </c>
      <c r="L31">
        <f>'Transpo perseq'!X31*Pondération!$D$7</f>
        <v>4.5237559257766454E-4</v>
      </c>
      <c r="M31">
        <f>'Transpo perseq'!Y31*Pondération!$D$13</f>
        <v>1.7546438429844288E-6</v>
      </c>
      <c r="N31">
        <f>'Transpo perseq'!Z31*Pondération!$D$3</f>
        <v>7.073955402032588E-12</v>
      </c>
      <c r="O31">
        <f>'Transpo perseq'!AA31*Pondération!$D$6</f>
        <v>4.0345898297051936E-4</v>
      </c>
      <c r="P31">
        <f>'Transpo perseq'!AB31*Pondération!$D$8</f>
        <v>3.5164563619643937E-4</v>
      </c>
      <c r="Q31">
        <f>'Transpo perseq'!AC31*Pondération!$D$10</f>
        <v>3.4633045159412242E-3</v>
      </c>
      <c r="R31">
        <f>'Transpo perseq'!AD31*Pondération!$D$9</f>
        <v>8.5185993357088282E-5</v>
      </c>
      <c r="S31">
        <f>'Transpo perseq'!AE31*Pondération!$D$11</f>
        <v>7.8339556466786465E-3</v>
      </c>
      <c r="T31">
        <f t="shared" si="0"/>
        <v>2.5996609988880301E-2</v>
      </c>
    </row>
    <row r="32" spans="1:20" x14ac:dyDescent="0.3">
      <c r="A32" t="s">
        <v>1</v>
      </c>
      <c r="B32" t="s">
        <v>18</v>
      </c>
      <c r="C32" t="s">
        <v>56</v>
      </c>
      <c r="D32">
        <f>'Transpo perseq'!D32*Pondération!$D$17</f>
        <v>3.4720000000000003E-8</v>
      </c>
      <c r="E32">
        <f>'Transpo perseq'!E32*Pondération!$D$2</f>
        <v>1.5466464000000001E-7</v>
      </c>
      <c r="F32">
        <f>'Transpo perseq'!I32*Pondération!$D$12</f>
        <v>1.9199999999999997E-8</v>
      </c>
      <c r="G32">
        <f>'Transpo perseq'!M32*Pondération!$D$15</f>
        <v>2.9747199999999999E-8</v>
      </c>
      <c r="H32">
        <f>'Transpo perseq'!N32*Pondération!$D$14</f>
        <v>9.4246399999999994E-9</v>
      </c>
      <c r="I32">
        <f>'Transpo perseq'!O32*Pondération!$D$16</f>
        <v>1.24656E-8</v>
      </c>
      <c r="J32">
        <f>'Transpo perseq'!P32*Pondération!$D$4</f>
        <v>2.0209439999999999E-9</v>
      </c>
      <c r="K32">
        <f>'Transpo perseq'!T32*Pondération!$D$5</f>
        <v>3.952896031106001E-9</v>
      </c>
      <c r="L32">
        <f>'Transpo perseq'!X32*Pondération!$D$7</f>
        <v>8.5375882427376011E-9</v>
      </c>
      <c r="M32">
        <f>'Transpo perseq'!Y32*Pondération!$D$13</f>
        <v>4.1488073203860688E-8</v>
      </c>
      <c r="N32">
        <f>'Transpo perseq'!Z32*Pondération!$D$3</f>
        <v>4.6750032191042405E-10</v>
      </c>
      <c r="O32">
        <f>'Transpo perseq'!AA32*Pondération!$D$6</f>
        <v>7.8655058977326464E-8</v>
      </c>
      <c r="P32">
        <f>'Transpo perseq'!AB32*Pondération!$D$8</f>
        <v>2.0507312744221987E-8</v>
      </c>
      <c r="Q32">
        <f>'Transpo perseq'!AC32*Pondération!$D$10</f>
        <v>1.0149171066012719E-7</v>
      </c>
      <c r="R32">
        <f>'Transpo perseq'!AD32*Pondération!$D$9</f>
        <v>4.7968134567303021E-9</v>
      </c>
      <c r="S32">
        <f>'Transpo perseq'!AE32*Pondération!$D$11</f>
        <v>5.763187338557721E-6</v>
      </c>
      <c r="T32">
        <f t="shared" si="0"/>
        <v>6.2853273161957419E-6</v>
      </c>
    </row>
    <row r="33" spans="1:20" x14ac:dyDescent="0.3">
      <c r="A33" t="s">
        <v>2</v>
      </c>
      <c r="B33" t="s">
        <v>19</v>
      </c>
      <c r="C33" t="s">
        <v>56</v>
      </c>
      <c r="D33">
        <f>'Transpo perseq'!D33*Pondération!$D$17</f>
        <v>8.6799999999999996E-5</v>
      </c>
      <c r="E33">
        <f>'Transpo perseq'!E33*Pondération!$D$2</f>
        <v>3.8750400000000005E-4</v>
      </c>
      <c r="F33">
        <f>'Transpo perseq'!I33*Pondération!$D$12</f>
        <v>4.7923199999999995E-5</v>
      </c>
      <c r="G33">
        <f>'Transpo perseq'!M33*Pondération!$D$15</f>
        <v>7.4368000000000004E-5</v>
      </c>
      <c r="H33">
        <f>'Transpo perseq'!N33*Pondération!$D$14</f>
        <v>2.3585280000000001E-5</v>
      </c>
      <c r="I33">
        <f>'Transpo perseq'!O33*Pondération!$D$16</f>
        <v>3.1164000000000002E-5</v>
      </c>
      <c r="J33">
        <f>'Transpo perseq'!P33*Pondération!$D$4</f>
        <v>5.0438400000000001E-6</v>
      </c>
      <c r="K33">
        <f>'Transpo perseq'!T33*Pondération!$D$5</f>
        <v>9.8822400777650152E-6</v>
      </c>
      <c r="L33">
        <f>'Transpo perseq'!X33*Pondération!$D$7</f>
        <v>2.1343970606843964E-5</v>
      </c>
      <c r="M33">
        <f>'Transpo perseq'!Y33*Pondération!$D$13</f>
        <v>1.0372018300965167E-4</v>
      </c>
      <c r="N33">
        <f>'Transpo perseq'!Z33*Pondération!$D$3</f>
        <v>1.16875080477606E-6</v>
      </c>
      <c r="O33">
        <f>'Transpo perseq'!AA33*Pondération!$D$6</f>
        <v>1.9663764744331654E-4</v>
      </c>
      <c r="P33">
        <f>'Transpo perseq'!AB33*Pondération!$D$8</f>
        <v>5.1268281860554974E-5</v>
      </c>
      <c r="Q33">
        <f>'Transpo perseq'!AC33*Pondération!$D$10</f>
        <v>2.537292766503173E-4</v>
      </c>
      <c r="R33">
        <f>'Transpo perseq'!AD33*Pondération!$D$9</f>
        <v>1.1992033641825741E-5</v>
      </c>
      <c r="S33">
        <f>'Transpo perseq'!AE33*Pondération!$D$11</f>
        <v>1.440796834639437E-2</v>
      </c>
      <c r="T33">
        <f t="shared" si="0"/>
        <v>1.571409905048942E-2</v>
      </c>
    </row>
    <row r="34" spans="1:20" x14ac:dyDescent="0.3">
      <c r="A34" t="s">
        <v>2</v>
      </c>
      <c r="B34" t="s">
        <v>19</v>
      </c>
      <c r="C34" t="s">
        <v>63</v>
      </c>
      <c r="D34">
        <f>'Transpo perseq'!D34*Pondération!$D$17</f>
        <v>2.2419199999999997E-2</v>
      </c>
      <c r="E34">
        <f>'Transpo perseq'!E34*Pondération!$D$2</f>
        <v>0.24193728000000003</v>
      </c>
      <c r="F34">
        <f>'Transpo perseq'!I34*Pondération!$D$12</f>
        <v>0.5898239999999999</v>
      </c>
      <c r="G34">
        <f>'Transpo perseq'!M34*Pondération!$D$15</f>
        <v>0.33734400000000003</v>
      </c>
      <c r="H34">
        <f>'Transpo perseq'!N34*Pondération!$D$14</f>
        <v>2.3964160000000002E-2</v>
      </c>
      <c r="I34">
        <f>'Transpo perseq'!O34*Pondération!$D$16</f>
        <v>3.6209600000000002E-2</v>
      </c>
      <c r="J34">
        <f>'Transpo perseq'!P34*Pondération!$D$4</f>
        <v>1.7483039999999998E-2</v>
      </c>
      <c r="K34">
        <f>'Transpo perseq'!T34*Pondération!$D$5</f>
        <v>3.858786247820941E-2</v>
      </c>
      <c r="L34">
        <f>'Transpo perseq'!X34*Pondération!$D$7</f>
        <v>1.4782393318133535E-2</v>
      </c>
      <c r="M34">
        <f>'Transpo perseq'!Y34*Pondération!$D$13</f>
        <v>5.4241107042179628E-3</v>
      </c>
      <c r="N34">
        <f>'Transpo perseq'!Z34*Pondération!$D$3</f>
        <v>1.4026174580696576E-3</v>
      </c>
      <c r="O34">
        <f>'Transpo perseq'!AA34*Pondération!$D$6</f>
        <v>7.1698427589535693E-2</v>
      </c>
      <c r="P34">
        <f>'Transpo perseq'!AB34*Pondération!$D$8</f>
        <v>5.0030137919160077E-2</v>
      </c>
      <c r="Q34">
        <f>'Transpo perseq'!AC34*Pondération!$D$10</f>
        <v>0.15405934820254216</v>
      </c>
      <c r="R34">
        <f>'Transpo perseq'!AD34*Pondération!$D$9</f>
        <v>7.4342276214474463</v>
      </c>
      <c r="S34">
        <f>'Transpo perseq'!AE34*Pondération!$D$11</f>
        <v>3.1234674861426275E-2</v>
      </c>
      <c r="T34">
        <f t="shared" si="0"/>
        <v>9.0706284739787417</v>
      </c>
    </row>
    <row r="35" spans="1:20" x14ac:dyDescent="0.3">
      <c r="A35" t="s">
        <v>2</v>
      </c>
      <c r="B35" t="s">
        <v>19</v>
      </c>
      <c r="C35" t="s">
        <v>57</v>
      </c>
      <c r="D35">
        <f>'Transpo perseq'!D35*Pondération!$D$17</f>
        <v>5.7833600000000001E-6</v>
      </c>
      <c r="E35">
        <f>'Transpo perseq'!E35*Pondération!$D$2</f>
        <v>2.2576320000000001E-5</v>
      </c>
      <c r="F35">
        <f>'Transpo perseq'!I35*Pondération!$D$12</f>
        <v>3.8399999999999997E-6</v>
      </c>
      <c r="G35">
        <f>'Transpo perseq'!M35*Pondération!$D$15</f>
        <v>4.4799999999999997E-8</v>
      </c>
      <c r="H35">
        <f>'Transpo perseq'!N35*Pondération!$D$14</f>
        <v>3.8408960000000007E-6</v>
      </c>
      <c r="I35">
        <f>'Transpo perseq'!O35*Pondération!$D$16</f>
        <v>5.8885119999999999E-6</v>
      </c>
      <c r="J35">
        <f>'Transpo perseq'!P35*Pondération!$D$4</f>
        <v>2.1845279999999999E-7</v>
      </c>
      <c r="K35">
        <f>'Transpo perseq'!T35*Pondération!$D$5</f>
        <v>7.7003825904231291E-7</v>
      </c>
      <c r="L35">
        <f>'Transpo perseq'!X35*Pondération!$D$7</f>
        <v>3.6470705812182231E-8</v>
      </c>
      <c r="M35">
        <f>'Transpo perseq'!Y35*Pondération!$D$13</f>
        <v>3.8425191315635071E-7</v>
      </c>
      <c r="N35">
        <f>'Transpo perseq'!Z35*Pondération!$D$3</f>
        <v>2.0116143667331734E-16</v>
      </c>
      <c r="O35">
        <f>'Transpo perseq'!AA35*Pondération!$D$6</f>
        <v>2.8980421401801029E-6</v>
      </c>
      <c r="P35">
        <f>'Transpo perseq'!AB35*Pondération!$D$8</f>
        <v>5.758481019132641E-6</v>
      </c>
      <c r="Q35">
        <f>'Transpo perseq'!AC35*Pondération!$D$10</f>
        <v>1.4768439936732384E-5</v>
      </c>
      <c r="R35">
        <f>'Transpo perseq'!AD35*Pondération!$D$9</f>
        <v>9.1481404431230767E-8</v>
      </c>
      <c r="S35">
        <f>'Transpo perseq'!AE35*Pondération!$D$11</f>
        <v>5.9649839719089077E-8</v>
      </c>
      <c r="T35">
        <f t="shared" si="0"/>
        <v>6.6959196018407459E-5</v>
      </c>
    </row>
    <row r="36" spans="1:20" x14ac:dyDescent="0.3">
      <c r="A36" t="s">
        <v>3</v>
      </c>
      <c r="B36" t="s">
        <v>3</v>
      </c>
      <c r="C36" t="s">
        <v>64</v>
      </c>
      <c r="D36">
        <f>'Transpo perseq'!D36*Pondération!$D$17</f>
        <v>4.4044800000000002E-4</v>
      </c>
      <c r="E36">
        <f>'Transpo perseq'!E36*Pondération!$D$2</f>
        <v>4.38048E-3</v>
      </c>
      <c r="F36">
        <f>'Transpo perseq'!I36*Pondération!$D$12</f>
        <v>2.9491199999999995E-3</v>
      </c>
      <c r="G36">
        <f>'Transpo perseq'!M36*Pondération!$D$15</f>
        <v>9.9904000000000001E-6</v>
      </c>
      <c r="H36">
        <f>'Transpo perseq'!N36*Pondération!$D$14</f>
        <v>1.771264E-4</v>
      </c>
      <c r="I36">
        <f>'Transpo perseq'!O36*Pondération!$D$16</f>
        <v>2.4515680000000001E-4</v>
      </c>
      <c r="J36">
        <f>'Transpo perseq'!P36*Pondération!$D$4</f>
        <v>8.7926399999999985E-5</v>
      </c>
      <c r="K36">
        <f>'Transpo perseq'!T36*Pondération!$D$5</f>
        <v>2.492202917767316E-4</v>
      </c>
      <c r="L36">
        <f>'Transpo perseq'!X36*Pondération!$D$7</f>
        <v>1.3210074778894331E-2</v>
      </c>
      <c r="M36">
        <f>'Transpo perseq'!Y36*Pondération!$D$13</f>
        <v>1.2117270827647439E-4</v>
      </c>
      <c r="N36">
        <f>'Transpo perseq'!Z36*Pondération!$D$3</f>
        <v>9.0683904159325719E-12</v>
      </c>
      <c r="O36">
        <f>'Transpo perseq'!AA36*Pondération!$D$6</f>
        <v>5.1795795829021084E-4</v>
      </c>
      <c r="P36">
        <f>'Transpo perseq'!AB36*Pondération!$D$8</f>
        <v>3.4997808908669188E-4</v>
      </c>
      <c r="Q36">
        <f>'Transpo perseq'!AC36*Pondération!$D$10</f>
        <v>1.681375866982749E-2</v>
      </c>
      <c r="R36">
        <f>'Transpo perseq'!AD36*Pondération!$D$9</f>
        <v>1.0850107883699643E-4</v>
      </c>
      <c r="S36">
        <f>'Transpo perseq'!AE36*Pondération!$D$11</f>
        <v>3.4100316666147459E-4</v>
      </c>
      <c r="T36">
        <f t="shared" si="0"/>
        <v>4.0001914750718792E-2</v>
      </c>
    </row>
    <row r="37" spans="1:20" x14ac:dyDescent="0.3">
      <c r="A37" t="s">
        <v>3</v>
      </c>
      <c r="B37" t="s">
        <v>3</v>
      </c>
      <c r="C37" t="s">
        <v>65</v>
      </c>
      <c r="D37">
        <f>'Transpo perseq'!D37*Pondération!$D$17</f>
        <v>2.34112E-5</v>
      </c>
      <c r="E37">
        <f>'Transpo perseq'!E37*Pondération!$D$2</f>
        <v>2.3283936000000001E-4</v>
      </c>
      <c r="F37">
        <f>'Transpo perseq'!I37*Pondération!$D$12</f>
        <v>1.5636479999999998E-4</v>
      </c>
      <c r="G37">
        <f>'Transpo perseq'!M37*Pondération!$D$15</f>
        <v>5.2863999999999995E-7</v>
      </c>
      <c r="H37">
        <f>'Transpo perseq'!N37*Pondération!$D$14</f>
        <v>9.3772800000000011E-6</v>
      </c>
      <c r="I37">
        <f>'Transpo perseq'!O37*Pondération!$D$16</f>
        <v>1.299984E-5</v>
      </c>
      <c r="J37">
        <f>'Transpo perseq'!P37*Pondération!$D$4</f>
        <v>4.6689599999999994E-6</v>
      </c>
      <c r="K37">
        <f>'Transpo perseq'!T37*Pondération!$D$5</f>
        <v>1.3222216678380392E-5</v>
      </c>
      <c r="L37">
        <f>'Transpo perseq'!X37*Pondération!$D$7</f>
        <v>7.0085172366553088E-4</v>
      </c>
      <c r="M37">
        <f>'Transpo perseq'!Y37*Pondération!$D$13</f>
        <v>6.4287373749368263E-6</v>
      </c>
      <c r="N37">
        <f>'Transpo perseq'!Z37*Pondération!$D$3</f>
        <v>4.8111741683950399E-13</v>
      </c>
      <c r="O37">
        <f>'Transpo perseq'!AA37*Pondération!$D$6</f>
        <v>2.7479914681024799E-5</v>
      </c>
      <c r="P37">
        <f>'Transpo perseq'!AB37*Pondération!$D$8</f>
        <v>1.8567854541857987E-5</v>
      </c>
      <c r="Q37">
        <f>'Transpo perseq'!AC37*Pondération!$D$10</f>
        <v>8.920427735861138E-4</v>
      </c>
      <c r="R37">
        <f>'Transpo perseq'!AD37*Pondération!$D$9</f>
        <v>5.7564525103198097E-6</v>
      </c>
      <c r="S37">
        <f>'Transpo perseq'!AE37*Pondération!$D$11</f>
        <v>1.8091696007050896E-5</v>
      </c>
      <c r="T37">
        <f t="shared" si="0"/>
        <v>2.1226314495263335E-3</v>
      </c>
    </row>
    <row r="38" spans="1:20" x14ac:dyDescent="0.3">
      <c r="A38" t="s">
        <v>3</v>
      </c>
      <c r="B38" t="s">
        <v>3</v>
      </c>
      <c r="C38" t="s">
        <v>66</v>
      </c>
      <c r="D38">
        <f>'Transpo perseq'!D38*Pondération!$D$17</f>
        <v>1.6467199999999998E-4</v>
      </c>
      <c r="E38">
        <f>'Transpo perseq'!E38*Pondération!$D$2</f>
        <v>5.6946240000000006E-3</v>
      </c>
      <c r="F38">
        <f>'Transpo perseq'!I38*Pondération!$D$12</f>
        <v>1.2042239999999997E-5</v>
      </c>
      <c r="G38">
        <f>'Transpo perseq'!M38*Pondération!$D$15</f>
        <v>1.5456E-7</v>
      </c>
      <c r="H38">
        <f>'Transpo perseq'!N38*Pondération!$D$14</f>
        <v>1.013504E-4</v>
      </c>
      <c r="I38">
        <f>'Transpo perseq'!O38*Pondération!$D$16</f>
        <v>1.5492960000000001E-4</v>
      </c>
      <c r="J38">
        <f>'Transpo perseq'!P38*Pondération!$D$4</f>
        <v>2.7877439999999998E-5</v>
      </c>
      <c r="K38">
        <f>'Transpo perseq'!T38*Pondération!$D$5</f>
        <v>5.302926432933452E-5</v>
      </c>
      <c r="L38">
        <f>'Transpo perseq'!X38*Pondération!$D$7</f>
        <v>6.3516724575394525E-6</v>
      </c>
      <c r="M38">
        <f>'Transpo perseq'!Y38*Pondération!$D$13</f>
        <v>6.0453163167374733E-7</v>
      </c>
      <c r="N38">
        <f>'Transpo perseq'!Z38*Pondération!$D$3</f>
        <v>1.7813846092641995E-14</v>
      </c>
      <c r="O38">
        <f>'Transpo perseq'!AA38*Pondération!$D$6</f>
        <v>2.0780163339177983E-4</v>
      </c>
      <c r="P38">
        <f>'Transpo perseq'!AB38*Pondération!$D$8</f>
        <v>2.2617735810126732E-4</v>
      </c>
      <c r="Q38">
        <f>'Transpo perseq'!AC38*Pondération!$D$10</f>
        <v>4.6816344488137636E-3</v>
      </c>
      <c r="R38">
        <f>'Transpo perseq'!AD38*Pondération!$D$9</f>
        <v>7.4457149361573877E-6</v>
      </c>
      <c r="S38">
        <f>'Transpo perseq'!AE38*Pondération!$D$11</f>
        <v>1.1850044288096035E-6</v>
      </c>
      <c r="T38">
        <f t="shared" si="0"/>
        <v>1.133987986810814E-2</v>
      </c>
    </row>
    <row r="39" spans="1:20" x14ac:dyDescent="0.3">
      <c r="A39" t="s">
        <v>3</v>
      </c>
      <c r="B39" t="s">
        <v>3</v>
      </c>
      <c r="C39" t="s">
        <v>67</v>
      </c>
      <c r="D39">
        <f>'Transpo perseq'!D39*Pondération!$D$17</f>
        <v>1.24E-5</v>
      </c>
      <c r="E39">
        <f>'Transpo perseq'!E39*Pondération!$D$2</f>
        <v>4.3130879999999999E-4</v>
      </c>
      <c r="F39">
        <f>'Transpo perseq'!I39*Pondération!$D$12</f>
        <v>9.0623999999999994E-7</v>
      </c>
      <c r="G39">
        <f>'Transpo perseq'!M39*Pondération!$D$15</f>
        <v>1.1648000000000001E-8</v>
      </c>
      <c r="H39">
        <f>'Transpo perseq'!N39*Pondération!$D$14</f>
        <v>7.6249599999999996E-6</v>
      </c>
      <c r="I39">
        <f>'Transpo perseq'!O39*Pondération!$D$16</f>
        <v>1.1693920000000001E-5</v>
      </c>
      <c r="J39">
        <f>'Transpo perseq'!P39*Pondération!$D$4</f>
        <v>2.1027359999999999E-6</v>
      </c>
      <c r="K39">
        <f>'Transpo perseq'!T39*Pondération!$D$5</f>
        <v>3.9986046765113451E-6</v>
      </c>
      <c r="L39">
        <f>'Transpo perseq'!X39*Pondération!$D$7</f>
        <v>4.7893983659011521E-7</v>
      </c>
      <c r="M39">
        <f>'Transpo perseq'!Y39*Pondération!$D$13</f>
        <v>4.5583943886102962E-8</v>
      </c>
      <c r="N39">
        <f>'Transpo perseq'!Z39*Pondération!$D$3</f>
        <v>1.3432305575713594E-15</v>
      </c>
      <c r="O39">
        <f>'Transpo perseq'!AA39*Pondération!$D$6</f>
        <v>1.5669019617294993E-5</v>
      </c>
      <c r="P39">
        <f>'Transpo perseq'!AB39*Pondération!$D$8</f>
        <v>1.70546179220596E-5</v>
      </c>
      <c r="Q39">
        <f>'Transpo perseq'!AC39*Pondération!$D$10</f>
        <v>3.5301273056484461E-4</v>
      </c>
      <c r="R39">
        <f>'Transpo perseq'!AD39*Pondération!$D$9</f>
        <v>5.6143472741370414E-7</v>
      </c>
      <c r="S39">
        <f>'Transpo perseq'!AE39*Pondération!$D$11</f>
        <v>8.9353761751202631E-8</v>
      </c>
      <c r="T39">
        <f t="shared" si="0"/>
        <v>8.569585890516949E-4</v>
      </c>
    </row>
    <row r="40" spans="1:20" x14ac:dyDescent="0.3">
      <c r="A40" t="s">
        <v>3</v>
      </c>
      <c r="B40" t="s">
        <v>3</v>
      </c>
      <c r="C40" t="s">
        <v>68</v>
      </c>
      <c r="D40">
        <f>'Transpo perseq'!D40*Pondération!$D$17</f>
        <v>2.06336E-7</v>
      </c>
      <c r="E40">
        <f>'Transpo perseq'!E40*Pondération!$D$2</f>
        <v>5.9978880000000009E-7</v>
      </c>
      <c r="F40">
        <f>'Transpo perseq'!I40*Pondération!$D$12</f>
        <v>1.9476479999999997E-7</v>
      </c>
      <c r="G40">
        <f>'Transpo perseq'!M40*Pondération!$D$15</f>
        <v>8.691200000000001E-7</v>
      </c>
      <c r="H40">
        <f>'Transpo perseq'!N40*Pondération!$D$14</f>
        <v>9.99296E-8</v>
      </c>
      <c r="I40">
        <f>'Transpo perseq'!O40*Pondération!$D$16</f>
        <v>1.329664E-7</v>
      </c>
      <c r="J40">
        <f>'Transpo perseq'!P40*Pondération!$D$4</f>
        <v>2.43672E-8</v>
      </c>
      <c r="K40">
        <f>'Transpo perseq'!T40*Pondération!$D$5</f>
        <v>2.843435432978821E-8</v>
      </c>
      <c r="L40">
        <f>'Transpo perseq'!X40*Pondération!$D$7</f>
        <v>5.726758812455791E-8</v>
      </c>
      <c r="M40">
        <f>'Transpo perseq'!Y40*Pondération!$D$13</f>
        <v>4.5313953040903397E-6</v>
      </c>
      <c r="N40">
        <f>'Transpo perseq'!Z40*Pondération!$D$3</f>
        <v>3.1742053150432961E-9</v>
      </c>
      <c r="O40">
        <f>'Transpo perseq'!AA40*Pondération!$D$6</f>
        <v>3.0927697152002275E-7</v>
      </c>
      <c r="P40">
        <f>'Transpo perseq'!AB40*Pondération!$D$8</f>
        <v>2.1171308795862536E-7</v>
      </c>
      <c r="Q40">
        <f>'Transpo perseq'!AC40*Pondération!$D$10</f>
        <v>4.3053677848013544E-7</v>
      </c>
      <c r="R40">
        <f>'Transpo perseq'!AD40*Pondération!$D$9</f>
        <v>2.0410868340142276E-7</v>
      </c>
      <c r="S40">
        <f>'Transpo perseq'!AE40*Pondération!$D$11</f>
        <v>1.1885122892316395E-7</v>
      </c>
      <c r="T40">
        <f t="shared" si="0"/>
        <v>8.0220310021430986E-6</v>
      </c>
    </row>
    <row r="41" spans="1:20" x14ac:dyDescent="0.3">
      <c r="A41" t="s">
        <v>1</v>
      </c>
      <c r="B41" t="s">
        <v>20</v>
      </c>
      <c r="C41" t="s">
        <v>69</v>
      </c>
      <c r="D41">
        <f>'Transpo perseq'!D41*Pondération!$D$17</f>
        <v>3.7795200000000001E-6</v>
      </c>
      <c r="E41">
        <f>'Transpo perseq'!E41*Pondération!$D$2</f>
        <v>3.3325344000000005E-5</v>
      </c>
      <c r="F41">
        <f>'Transpo perseq'!I41*Pondération!$D$12</f>
        <v>9.799679999999999E-7</v>
      </c>
      <c r="G41">
        <f>'Transpo perseq'!M41*Pondération!$D$15</f>
        <v>9.1840000000000014E-9</v>
      </c>
      <c r="H41">
        <f>'Transpo perseq'!N41*Pondération!$D$14</f>
        <v>1.1745280000000001E-6</v>
      </c>
      <c r="I41">
        <f>'Transpo perseq'!O41*Pondération!$D$16</f>
        <v>1.715504E-6</v>
      </c>
      <c r="J41">
        <f>'Transpo perseq'!P41*Pondération!$D$4</f>
        <v>1.3904640000000001E-7</v>
      </c>
      <c r="K41">
        <f>'Transpo perseq'!T41*Pondération!$D$5</f>
        <v>1.0977394130530541E-6</v>
      </c>
      <c r="L41">
        <f>'Transpo perseq'!X41*Pondération!$D$7</f>
        <v>5.0406859642346743E-7</v>
      </c>
      <c r="M41">
        <f>'Transpo perseq'!Y41*Pondération!$D$13</f>
        <v>6.6802680743464028E-8</v>
      </c>
      <c r="N41">
        <f>'Transpo perseq'!Z41*Pondération!$D$3</f>
        <v>1.2652004227477531E-15</v>
      </c>
      <c r="O41">
        <f>'Transpo perseq'!AA41*Pondération!$D$6</f>
        <v>6.2249263390282039E-6</v>
      </c>
      <c r="P41">
        <f>'Transpo perseq'!AB41*Pondération!$D$8</f>
        <v>3.0549882408380765E-6</v>
      </c>
      <c r="Q41">
        <f>'Transpo perseq'!AC41*Pondération!$D$10</f>
        <v>1.7985044851676363E-5</v>
      </c>
      <c r="R41">
        <f>'Transpo perseq'!AD41*Pondération!$D$9</f>
        <v>5.1424894100252856E-7</v>
      </c>
      <c r="S41">
        <f>'Transpo perseq'!AE41*Pondération!$D$11</f>
        <v>3.2147546405109653E-6</v>
      </c>
      <c r="T41">
        <f t="shared" si="0"/>
        <v>7.3785668104541335E-5</v>
      </c>
    </row>
    <row r="42" spans="1:20" x14ac:dyDescent="0.3">
      <c r="A42" t="s">
        <v>1</v>
      </c>
      <c r="B42" t="s">
        <v>20</v>
      </c>
      <c r="C42" t="s">
        <v>70</v>
      </c>
      <c r="D42">
        <f>'Transpo perseq'!D42*Pondération!$D$17</f>
        <v>2.35104E-3</v>
      </c>
      <c r="E42">
        <f>'Transpo perseq'!E42*Pondération!$D$2</f>
        <v>1.1928384000000002E-2</v>
      </c>
      <c r="F42">
        <f>'Transpo perseq'!I42*Pondération!$D$12</f>
        <v>9.4924799999999987E-4</v>
      </c>
      <c r="G42">
        <f>'Transpo perseq'!M42*Pondération!$D$15</f>
        <v>2.9702399999999999E-5</v>
      </c>
      <c r="H42">
        <f>'Transpo perseq'!N42*Pondération!$D$14</f>
        <v>4.8307200000000008E-4</v>
      </c>
      <c r="I42">
        <f>'Transpo perseq'!O42*Pondération!$D$16</f>
        <v>7.3012800000000003E-4</v>
      </c>
      <c r="J42">
        <f>'Transpo perseq'!P42*Pondération!$D$4</f>
        <v>2.7468479999999998E-4</v>
      </c>
      <c r="K42">
        <f>'Transpo perseq'!T42*Pondération!$D$5</f>
        <v>4.1448659174801229E-4</v>
      </c>
      <c r="L42">
        <f>'Transpo perseq'!X42*Pondération!$D$7</f>
        <v>8.5890077734045471E-4</v>
      </c>
      <c r="M42">
        <f>'Transpo perseq'!Y42*Pondération!$D$13</f>
        <v>8.3458819213349202E-5</v>
      </c>
      <c r="N42">
        <f>'Transpo perseq'!Z42*Pondération!$D$3</f>
        <v>5.2755106865030052E-6</v>
      </c>
      <c r="O42">
        <f>'Transpo perseq'!AA42*Pondération!$D$6</f>
        <v>3.346402788866902E-3</v>
      </c>
      <c r="P42">
        <f>'Transpo perseq'!AB42*Pondération!$D$8</f>
        <v>1.1603700576564451E-3</v>
      </c>
      <c r="Q42">
        <f>'Transpo perseq'!AC42*Pondération!$D$10</f>
        <v>7.8462024771912969E-3</v>
      </c>
      <c r="R42">
        <f>'Transpo perseq'!AD42*Pondération!$D$9</f>
        <v>8.5353050699951E-3</v>
      </c>
      <c r="S42">
        <f>'Transpo perseq'!AE42*Pondération!$D$11</f>
        <v>1.1869833147258426E-3</v>
      </c>
      <c r="T42">
        <f t="shared" si="0"/>
        <v>4.0183644607423907E-2</v>
      </c>
    </row>
    <row r="43" spans="1:20" x14ac:dyDescent="0.3">
      <c r="A43" t="s">
        <v>1</v>
      </c>
      <c r="B43" t="s">
        <v>20</v>
      </c>
      <c r="C43" t="s">
        <v>71</v>
      </c>
      <c r="D43">
        <f>'Transpo perseq'!D43*Pondération!$D$17</f>
        <v>1.42848E-4</v>
      </c>
      <c r="E43">
        <f>'Transpo perseq'!E43*Pondération!$D$2</f>
        <v>6.7728960000000007E-4</v>
      </c>
      <c r="F43">
        <f>'Transpo perseq'!I43*Pondération!$D$12</f>
        <v>5.2531199999999996E-5</v>
      </c>
      <c r="G43">
        <f>'Transpo perseq'!M43*Pondération!$D$15</f>
        <v>2.1952E-7</v>
      </c>
      <c r="H43">
        <f>'Transpo perseq'!N43*Pondération!$D$14</f>
        <v>2.595328E-5</v>
      </c>
      <c r="I43">
        <f>'Transpo perseq'!O43*Pondération!$D$16</f>
        <v>3.9118240000000004E-5</v>
      </c>
      <c r="J43">
        <f>'Transpo perseq'!P43*Pondération!$D$4</f>
        <v>1.731264E-5</v>
      </c>
      <c r="K43">
        <f>'Transpo perseq'!T43*Pondération!$D$5</f>
        <v>2.6121507653982754E-5</v>
      </c>
      <c r="L43">
        <f>'Transpo perseq'!X43*Pondération!$D$7</f>
        <v>4.5730630381694358E-5</v>
      </c>
      <c r="M43">
        <f>'Transpo perseq'!Y43*Pondération!$D$13</f>
        <v>3.7336835595393767E-6</v>
      </c>
      <c r="N43">
        <f>'Transpo perseq'!Z43*Pondération!$D$3</f>
        <v>7.2160081511838625E-13</v>
      </c>
      <c r="O43">
        <f>'Transpo perseq'!AA43*Pondération!$D$6</f>
        <v>2.049075018260265E-4</v>
      </c>
      <c r="P43">
        <f>'Transpo perseq'!AB43*Pondération!$D$8</f>
        <v>6.2864512370678057E-5</v>
      </c>
      <c r="Q43">
        <f>'Transpo perseq'!AC43*Pondération!$D$10</f>
        <v>4.2451909456479078E-4</v>
      </c>
      <c r="R43">
        <f>'Transpo perseq'!AD43*Pondération!$D$9</f>
        <v>5.7307782686232033E-4</v>
      </c>
      <c r="S43">
        <f>'Transpo perseq'!AE43*Pondération!$D$11</f>
        <v>3.0746561641302808E-5</v>
      </c>
      <c r="T43">
        <f t="shared" si="0"/>
        <v>2.3269737995819358E-3</v>
      </c>
    </row>
    <row r="44" spans="1:20" x14ac:dyDescent="0.3">
      <c r="A44" t="s">
        <v>1</v>
      </c>
      <c r="B44" t="s">
        <v>20</v>
      </c>
      <c r="C44" t="s">
        <v>72</v>
      </c>
      <c r="D44">
        <f>'Transpo perseq'!D44*Pondération!$D$17</f>
        <v>2.5196799999999998E-4</v>
      </c>
      <c r="E44">
        <f>'Transpo perseq'!E44*Pondération!$D$2</f>
        <v>1.3276224E-3</v>
      </c>
      <c r="F44">
        <f>'Transpo perseq'!I44*Pondération!$D$12</f>
        <v>9.2774400000000004E-5</v>
      </c>
      <c r="G44">
        <f>'Transpo perseq'!M44*Pondération!$D$15</f>
        <v>3.7632000000000002E-7</v>
      </c>
      <c r="H44">
        <f>'Transpo perseq'!N44*Pondération!$D$14</f>
        <v>4.9254400000000001E-5</v>
      </c>
      <c r="I44">
        <f>'Transpo perseq'!O44*Pondération!$D$16</f>
        <v>7.4200000000000001E-5</v>
      </c>
      <c r="J44">
        <f>'Transpo perseq'!P44*Pondération!$D$4</f>
        <v>3.1319519999999999E-5</v>
      </c>
      <c r="K44">
        <f>'Transpo perseq'!T44*Pondération!$D$5</f>
        <v>4.3147364058668017E-5</v>
      </c>
      <c r="L44">
        <f>'Transpo perseq'!X44*Pondération!$D$7</f>
        <v>8.4965088263193314E-5</v>
      </c>
      <c r="M44">
        <f>'Transpo perseq'!Y44*Pondération!$D$13</f>
        <v>4.8914012029263993E-6</v>
      </c>
      <c r="N44">
        <f>'Transpo perseq'!Z44*Pondération!$D$3</f>
        <v>1.8842702727113122E-12</v>
      </c>
      <c r="O44">
        <f>'Transpo perseq'!AA44*Pondération!$D$6</f>
        <v>3.8780305067731617E-4</v>
      </c>
      <c r="P44">
        <f>'Transpo perseq'!AB44*Pondération!$D$8</f>
        <v>1.1786822089131733E-4</v>
      </c>
      <c r="Q44">
        <f>'Transpo perseq'!AC44*Pondération!$D$10</f>
        <v>8.0575181550794303E-4</v>
      </c>
      <c r="R44">
        <f>'Transpo perseq'!AD44*Pondération!$D$9</f>
        <v>9.4201263743828604E-5</v>
      </c>
      <c r="S44">
        <f>'Transpo perseq'!AE44*Pondération!$D$11</f>
        <v>5.6372921752005372E-5</v>
      </c>
      <c r="T44">
        <f t="shared" si="0"/>
        <v>3.4225161679814682E-3</v>
      </c>
    </row>
    <row r="45" spans="1:20" x14ac:dyDescent="0.3">
      <c r="A45" t="s">
        <v>1</v>
      </c>
      <c r="B45" t="s">
        <v>20</v>
      </c>
      <c r="C45" t="s">
        <v>58</v>
      </c>
      <c r="D45">
        <f>'Transpo perseq'!D45*Pondération!$D$17</f>
        <v>9.9199999999999999E-5</v>
      </c>
      <c r="E45">
        <f>'Transpo perseq'!E45*Pondération!$D$2</f>
        <v>8.7609599999999993E-4</v>
      </c>
      <c r="F45">
        <f>'Transpo perseq'!I45*Pondération!$D$12</f>
        <v>2.5743359999999999E-5</v>
      </c>
      <c r="G45">
        <f>'Transpo perseq'!M45*Pondération!$D$15</f>
        <v>2.4192000000000004E-7</v>
      </c>
      <c r="H45">
        <f>'Transpo perseq'!N45*Pondération!$D$14</f>
        <v>3.0878720000000001E-5</v>
      </c>
      <c r="I45">
        <f>'Transpo perseq'!O45*Pondération!$D$16</f>
        <v>4.5054240000000003E-5</v>
      </c>
      <c r="J45">
        <f>'Transpo perseq'!P45*Pondération!$D$4</f>
        <v>3.6465599999999997E-6</v>
      </c>
      <c r="K45">
        <f>'Transpo perseq'!T45*Pondération!$D$5</f>
        <v>2.8866480861765487E-5</v>
      </c>
      <c r="L45">
        <f>'Transpo perseq'!X45*Pondération!$D$7</f>
        <v>1.3255137165209677E-5</v>
      </c>
      <c r="M45">
        <f>'Transpo perseq'!Y45*Pondération!$D$13</f>
        <v>1.7566630862170151E-6</v>
      </c>
      <c r="N45">
        <f>'Transpo perseq'!Z45*Pondération!$D$3</f>
        <v>3.3270085190774376E-14</v>
      </c>
      <c r="O45">
        <f>'Transpo perseq'!AA45*Pondération!$D$6</f>
        <v>1.6369250743370506E-4</v>
      </c>
      <c r="P45">
        <f>'Transpo perseq'!AB45*Pondération!$D$8</f>
        <v>8.0334875962779383E-5</v>
      </c>
      <c r="Q45">
        <f>'Transpo perseq'!AC45*Pondération!$D$10</f>
        <v>4.7294006832185917E-4</v>
      </c>
      <c r="R45">
        <f>'Transpo perseq'!AD45*Pondération!$D$9</f>
        <v>1.352284252265911E-5</v>
      </c>
      <c r="S45">
        <f>'Transpo perseq'!AE45*Pondération!$D$11</f>
        <v>8.4536140546768944E-5</v>
      </c>
      <c r="T45">
        <f t="shared" si="0"/>
        <v>1.9397655159342339E-3</v>
      </c>
    </row>
    <row r="46" spans="1:20" x14ac:dyDescent="0.3">
      <c r="A46" t="s">
        <v>1</v>
      </c>
      <c r="B46" t="s">
        <v>20</v>
      </c>
      <c r="C46" t="s">
        <v>73</v>
      </c>
      <c r="D46">
        <f>'Transpo perseq'!D46*Pondération!$D$17</f>
        <v>9.3770034098150063E-5</v>
      </c>
      <c r="E46">
        <f>'Transpo perseq'!E46*Pondération!$D$2</f>
        <v>4.4332238506828147E-4</v>
      </c>
      <c r="F46">
        <f>'Transpo perseq'!I46*Pondération!$D$12</f>
        <v>3.3960017171988475E-5</v>
      </c>
      <c r="G46">
        <f>'Transpo perseq'!M46*Pondération!$D$15</f>
        <v>1.4243314535251736E-7</v>
      </c>
      <c r="H46">
        <f>'Transpo perseq'!N46*Pondération!$D$14</f>
        <v>1.6963562269904559E-5</v>
      </c>
      <c r="I46">
        <f>'Transpo perseq'!O46*Pondération!$D$16</f>
        <v>2.5578182177138302E-5</v>
      </c>
      <c r="J46">
        <f>'Transpo perseq'!P46*Pondération!$D$4</f>
        <v>1.133933859813582E-5</v>
      </c>
      <c r="K46">
        <f>'Transpo perseq'!T46*Pondération!$D$5</f>
        <v>1.7017270215354273E-5</v>
      </c>
      <c r="L46">
        <f>'Transpo perseq'!X46*Pondération!$D$7</f>
        <v>2.9953952814725668E-5</v>
      </c>
      <c r="M46">
        <f>'Transpo perseq'!Y46*Pondération!$D$13</f>
        <v>2.4428806080210847E-6</v>
      </c>
      <c r="N46">
        <f>'Transpo perseq'!Z46*Pondération!$D$3</f>
        <v>4.7283519894793136E-13</v>
      </c>
      <c r="O46">
        <f>'Transpo perseq'!AA46*Pondération!$D$6</f>
        <v>1.3420615848214163E-4</v>
      </c>
      <c r="P46">
        <f>'Transpo perseq'!AB46*Pondération!$D$8</f>
        <v>4.100279593260548E-5</v>
      </c>
      <c r="Q46">
        <f>'Transpo perseq'!AC46*Pondération!$D$10</f>
        <v>2.7672527199619593E-4</v>
      </c>
      <c r="R46">
        <f>'Transpo perseq'!AD46*Pondération!$D$9</f>
        <v>3.7567832047977543E-4</v>
      </c>
      <c r="S46">
        <f>'Transpo perseq'!AE46*Pondération!$D$11</f>
        <v>2.0112797793164359E-5</v>
      </c>
      <c r="T46">
        <f t="shared" si="0"/>
        <v>1.5222154013237704E-3</v>
      </c>
    </row>
    <row r="47" spans="1:20" x14ac:dyDescent="0.3">
      <c r="A47" t="s">
        <v>1</v>
      </c>
      <c r="B47" t="s">
        <v>20</v>
      </c>
      <c r="C47" t="s">
        <v>74</v>
      </c>
      <c r="D47">
        <f>'Transpo perseq'!D47*Pondération!$D$17</f>
        <v>2.8872076701907215E-6</v>
      </c>
      <c r="E47">
        <f>'Transpo perseq'!E47*Pondération!$D$2</f>
        <v>3.0464520537901955E-5</v>
      </c>
      <c r="F47">
        <f>'Transpo perseq'!I47*Pondération!$D$12</f>
        <v>1.3235503098165225E-5</v>
      </c>
      <c r="G47">
        <f>'Transpo perseq'!M47*Pondération!$D$15</f>
        <v>6.1629582518767871E-7</v>
      </c>
      <c r="H47">
        <f>'Transpo perseq'!N47*Pondération!$D$14</f>
        <v>1.1556510100506566E-6</v>
      </c>
      <c r="I47">
        <f>'Transpo perseq'!O47*Pondération!$D$16</f>
        <v>1.7035700716137936E-6</v>
      </c>
      <c r="J47">
        <f>'Transpo perseq'!P47*Pondération!$D$4</f>
        <v>4.3968799814138714E-7</v>
      </c>
      <c r="K47">
        <f>'Transpo perseq'!T47*Pondération!$D$5</f>
        <v>2.3163530997700141E-6</v>
      </c>
      <c r="L47">
        <f>'Transpo perseq'!X47*Pondération!$D$7</f>
        <v>2.0517066004126905E-6</v>
      </c>
      <c r="M47">
        <f>'Transpo perseq'!Y47*Pondération!$D$13</f>
        <v>1.3665450490532819E-8</v>
      </c>
      <c r="N47">
        <f>'Transpo perseq'!Z47*Pondération!$D$3</f>
        <v>1.7762444953619235E-14</v>
      </c>
      <c r="O47">
        <f>'Transpo perseq'!AA47*Pondération!$D$6</f>
        <v>2.1533198248084274E-6</v>
      </c>
      <c r="P47">
        <f>'Transpo perseq'!AB47*Pondération!$D$8</f>
        <v>2.4351403829584368E-6</v>
      </c>
      <c r="Q47">
        <f>'Transpo perseq'!AC47*Pondération!$D$10</f>
        <v>2.5032121297226034E-5</v>
      </c>
      <c r="R47">
        <f>'Transpo perseq'!AD47*Pondération!$D$9</f>
        <v>-2.6562642459425796E-8</v>
      </c>
      <c r="S47">
        <f>'Transpo perseq'!AE47*Pondération!$D$11</f>
        <v>-4.4477853129116303E-7</v>
      </c>
      <c r="T47">
        <f t="shared" si="0"/>
        <v>8.40334017109294E-5</v>
      </c>
    </row>
    <row r="48" spans="1:20" x14ac:dyDescent="0.3">
      <c r="A48" t="s">
        <v>1</v>
      </c>
      <c r="B48" t="s">
        <v>20</v>
      </c>
      <c r="C48" t="s">
        <v>75</v>
      </c>
      <c r="D48">
        <f>'Transpo perseq'!D48*Pondération!$D$17</f>
        <v>9.2180586524543165E-6</v>
      </c>
      <c r="E48">
        <f>'Transpo perseq'!E48*Pondération!$D$2</f>
        <v>3.2862508787793883E-5</v>
      </c>
      <c r="F48">
        <f>'Transpo perseq'!I48*Pondération!$D$12</f>
        <v>3.5043599720376421E-6</v>
      </c>
      <c r="G48">
        <f>'Transpo perseq'!M48*Pondération!$D$15</f>
        <v>2.9143050469605499E-8</v>
      </c>
      <c r="H48">
        <f>'Transpo perseq'!N48*Pondération!$D$14</f>
        <v>2.1800588809893578E-6</v>
      </c>
      <c r="I48">
        <f>'Transpo perseq'!O48*Pondération!$D$16</f>
        <v>3.2806369062975972E-6</v>
      </c>
      <c r="J48">
        <f>'Transpo perseq'!P48*Pondération!$D$4</f>
        <v>1.1778590693867962E-4</v>
      </c>
      <c r="K48">
        <f>'Transpo perseq'!T48*Pondération!$D$5</f>
        <v>1.6273524624986627E-6</v>
      </c>
      <c r="L48">
        <f>'Transpo perseq'!X48*Pondération!$D$7</f>
        <v>9.1869329438474048E-7</v>
      </c>
      <c r="M48">
        <f>'Transpo perseq'!Y48*Pondération!$D$13</f>
        <v>4.0215411441822504E-7</v>
      </c>
      <c r="N48">
        <f>'Transpo perseq'!Z48*Pondération!$D$3</f>
        <v>5.1684203520503185E-15</v>
      </c>
      <c r="O48">
        <f>'Transpo perseq'!AA48*Pondération!$D$6</f>
        <v>2.1609341142170379E-5</v>
      </c>
      <c r="P48">
        <f>'Transpo perseq'!AB48*Pondération!$D$8</f>
        <v>5.0646670015014528E-6</v>
      </c>
      <c r="Q48">
        <f>'Transpo perseq'!AC48*Pondération!$D$10</f>
        <v>2.0952745523042875E-5</v>
      </c>
      <c r="R48">
        <f>'Transpo perseq'!AD48*Pondération!$D$9</f>
        <v>2.5783904504193617E-5</v>
      </c>
      <c r="S48">
        <f>'Transpo perseq'!AE48*Pondération!$D$11</f>
        <v>7.8032050584948388E-6</v>
      </c>
      <c r="T48">
        <f t="shared" si="0"/>
        <v>2.5302273629459522E-4</v>
      </c>
    </row>
    <row r="49" spans="1:20" x14ac:dyDescent="0.3">
      <c r="A49" t="s">
        <v>1</v>
      </c>
      <c r="B49" t="s">
        <v>20</v>
      </c>
      <c r="C49" t="s">
        <v>56</v>
      </c>
      <c r="D49">
        <f>'Transpo perseq'!D49*Pondération!$D$17</f>
        <v>1.9543326061880824E-6</v>
      </c>
      <c r="E49">
        <f>'Transpo perseq'!E49*Pondération!$D$2</f>
        <v>7.4609469004434966E-6</v>
      </c>
      <c r="F49">
        <f>'Transpo perseq'!I49*Pondération!$D$12</f>
        <v>5.664359895373363E-7</v>
      </c>
      <c r="G49">
        <f>'Transpo perseq'!M49*Pondération!$D$15</f>
        <v>4.45591279628523E-7</v>
      </c>
      <c r="H49">
        <f>'Transpo perseq'!N49*Pondération!$D$14</f>
        <v>9.6395165065070696E-7</v>
      </c>
      <c r="I49">
        <f>'Transpo perseq'!O49*Pondération!$D$16</f>
        <v>1.3423663996473399E-6</v>
      </c>
      <c r="J49">
        <f>'Transpo perseq'!P49*Pondération!$D$4</f>
        <v>1.4897147481603847E-7</v>
      </c>
      <c r="K49">
        <f>'Transpo perseq'!T49*Pondération!$D$5</f>
        <v>6.7751822622981552E-7</v>
      </c>
      <c r="L49">
        <f>'Transpo perseq'!X49*Pondération!$D$7</f>
        <v>-2.7628336616657807E-6</v>
      </c>
      <c r="M49">
        <f>'Transpo perseq'!Y49*Pondération!$D$13</f>
        <v>3.5810967760164802E-5</v>
      </c>
      <c r="N49">
        <f>'Transpo perseq'!Z49*Pondération!$D$3</f>
        <v>5.480141167481753E-9</v>
      </c>
      <c r="O49">
        <f>'Transpo perseq'!AA49*Pondération!$D$6</f>
        <v>3.3372534002545564E-6</v>
      </c>
      <c r="P49">
        <f>'Transpo perseq'!AB49*Pondération!$D$8</f>
        <v>2.1204725769737638E-6</v>
      </c>
      <c r="Q49">
        <f>'Transpo perseq'!AC49*Pondération!$D$10</f>
        <v>-1.4736307869749339E-6</v>
      </c>
      <c r="R49">
        <f>'Transpo perseq'!AD49*Pondération!$D$9</f>
        <v>8.116298651964476E-8</v>
      </c>
      <c r="S49">
        <f>'Transpo perseq'!AE49*Pondération!$D$11</f>
        <v>6.855943801982525E-5</v>
      </c>
      <c r="T49">
        <f t="shared" si="0"/>
        <v>1.1923842496340613E-4</v>
      </c>
    </row>
    <row r="50" spans="1:20" x14ac:dyDescent="0.3">
      <c r="A50" t="s">
        <v>1</v>
      </c>
      <c r="B50" t="s">
        <v>20</v>
      </c>
      <c r="C50" t="s">
        <v>57</v>
      </c>
      <c r="D50">
        <f>'Transpo perseq'!D50*Pondération!$D$17</f>
        <v>3.6059797593951437E-5</v>
      </c>
      <c r="E50">
        <f>'Transpo perseq'!E50*Pondération!$D$2</f>
        <v>1.4064268597363796E-4</v>
      </c>
      <c r="F50">
        <f>'Transpo perseq'!I50*Pondération!$D$12</f>
        <v>2.3997678456049829E-5</v>
      </c>
      <c r="G50">
        <f>'Transpo perseq'!M50*Pondération!$D$15</f>
        <v>2.7941485449012441E-7</v>
      </c>
      <c r="H50">
        <f>'Transpo perseq'!N50*Pondération!$D$14</f>
        <v>2.3917612167304727E-5</v>
      </c>
      <c r="I50">
        <f>'Transpo perseq'!O50*Pondération!$D$16</f>
        <v>3.6685115314425643E-5</v>
      </c>
      <c r="J50">
        <f>'Transpo perseq'!P50*Pondération!$D$4</f>
        <v>1.360433197073107E-6</v>
      </c>
      <c r="K50">
        <f>'Transpo perseq'!T50*Pondération!$D$5</f>
        <v>4.7977080165698923E-6</v>
      </c>
      <c r="L50">
        <f>'Transpo perseq'!X50*Pondération!$D$7</f>
        <v>2.2723000525023828E-7</v>
      </c>
      <c r="M50">
        <f>'Transpo perseq'!Y50*Pondération!$D$13</f>
        <v>2.3940738820241612E-6</v>
      </c>
      <c r="N50">
        <f>'Transpo perseq'!Z50*Pondération!$D$3</f>
        <v>1.2533323195559062E-15</v>
      </c>
      <c r="O50">
        <f>'Transpo perseq'!AA50*Pondération!$D$6</f>
        <v>1.8056193760543374E-5</v>
      </c>
      <c r="P50">
        <f>'Transpo perseq'!AB50*Pondération!$D$8</f>
        <v>3.5878101151906761E-5</v>
      </c>
      <c r="Q50">
        <f>'Transpo perseq'!AC50*Pondération!$D$10</f>
        <v>9.2014470508015013E-5</v>
      </c>
      <c r="R50">
        <f>'Transpo perseq'!AD50*Pondération!$D$9</f>
        <v>5.6997306595213212E-7</v>
      </c>
      <c r="S50">
        <f>'Transpo perseq'!AE50*Pondération!$D$11</f>
        <v>3.7164713681019862E-7</v>
      </c>
      <c r="T50">
        <f t="shared" si="0"/>
        <v>4.1725213508525793E-4</v>
      </c>
    </row>
    <row r="51" spans="1:20" x14ac:dyDescent="0.3">
      <c r="A51" t="s">
        <v>1</v>
      </c>
      <c r="B51" t="s">
        <v>21</v>
      </c>
      <c r="C51" t="s">
        <v>72</v>
      </c>
      <c r="D51">
        <f>'Transpo perseq'!D51*Pondération!$D$17</f>
        <v>1.9244799999999999E-5</v>
      </c>
      <c r="E51">
        <f>'Transpo perseq'!E51*Pondération!$D$2</f>
        <v>1.0108800000000001E-4</v>
      </c>
      <c r="F51">
        <f>'Transpo perseq'!I51*Pondération!$D$12</f>
        <v>7.12704E-6</v>
      </c>
      <c r="G51">
        <f>'Transpo perseq'!M51*Pondération!$D$15</f>
        <v>2.8851199999999999E-8</v>
      </c>
      <c r="H51">
        <f>'Transpo perseq'!N51*Pondération!$D$14</f>
        <v>3.7414400000000006E-6</v>
      </c>
      <c r="I51">
        <f>'Transpo perseq'!O51*Pondération!$D$16</f>
        <v>5.6510720000000001E-6</v>
      </c>
      <c r="J51">
        <f>'Transpo perseq'!P51*Pondération!$D$4</f>
        <v>2.382192E-6</v>
      </c>
      <c r="K51">
        <f>'Transpo perseq'!T51*Pondération!$D$5</f>
        <v>3.2972799999999996E-6</v>
      </c>
      <c r="L51">
        <f>'Transpo perseq'!X51*Pondération!$D$7</f>
        <v>6.4608960000000002E-6</v>
      </c>
      <c r="M51">
        <f>'Transpo perseq'!Y51*Pondération!$D$13</f>
        <v>3.722272E-7</v>
      </c>
      <c r="N51">
        <f>'Transpo perseq'!Z51*Pondération!$D$3</f>
        <v>1.4336320000000001E-13</v>
      </c>
      <c r="O51">
        <f>'Transpo perseq'!AA51*Pondération!$D$6</f>
        <v>2.9532159999999999E-5</v>
      </c>
      <c r="P51">
        <f>'Transpo perseq'!AB51*Pondération!$D$8</f>
        <v>9.0246400000000011E-6</v>
      </c>
      <c r="Q51">
        <f>'Transpo perseq'!AC51*Pondération!$D$10</f>
        <v>6.1501439999999996E-5</v>
      </c>
      <c r="R51">
        <f>'Transpo perseq'!AD51*Pondération!$D$9</f>
        <v>7.1513599999999996E-6</v>
      </c>
      <c r="S51">
        <f>'Transpo perseq'!AE51*Pondération!$D$11</f>
        <v>4.2890399999999993E-6</v>
      </c>
      <c r="T51">
        <f t="shared" si="0"/>
        <v>2.6089243854336323E-4</v>
      </c>
    </row>
    <row r="52" spans="1:20" x14ac:dyDescent="0.3">
      <c r="A52" t="s">
        <v>1</v>
      </c>
      <c r="B52" t="s">
        <v>21</v>
      </c>
      <c r="C52" t="s">
        <v>58</v>
      </c>
      <c r="D52">
        <f>'Transpo perseq'!D52*Pondération!$D$17</f>
        <v>3.3628800000000003E-6</v>
      </c>
      <c r="E52">
        <f>'Transpo perseq'!E52*Pondération!$D$2</f>
        <v>2.9618784000000005E-5</v>
      </c>
      <c r="F52">
        <f>'Transpo perseq'!I52*Pondération!$D$12</f>
        <v>8.6937599999999996E-7</v>
      </c>
      <c r="G52">
        <f>'Transpo perseq'!M52*Pondération!$D$15</f>
        <v>8.1984000000000001E-9</v>
      </c>
      <c r="H52">
        <f>'Transpo perseq'!N52*Pondération!$D$14</f>
        <v>1.0419200000000001E-6</v>
      </c>
      <c r="I52">
        <f>'Transpo perseq'!O52*Pondération!$D$16</f>
        <v>1.525552E-6</v>
      </c>
      <c r="J52">
        <f>'Transpo perseq'!P52*Pondération!$D$4</f>
        <v>1.2371040000000001E-7</v>
      </c>
      <c r="K52">
        <f>'Transpo perseq'!T52*Pondération!$D$5</f>
        <v>9.7446400000000001E-7</v>
      </c>
      <c r="L52">
        <f>'Transpo perseq'!X52*Pondération!$D$7</f>
        <v>4.4809439999999996E-7</v>
      </c>
      <c r="M52">
        <f>'Transpo perseq'!Y52*Pondération!$D$13</f>
        <v>5.9327679999999998E-8</v>
      </c>
      <c r="N52">
        <f>'Transpo perseq'!Z52*Pondération!$D$3</f>
        <v>1.1206560000000001E-15</v>
      </c>
      <c r="O52">
        <f>'Transpo perseq'!AA52*Pondération!$D$6</f>
        <v>5.5336960000000008E-6</v>
      </c>
      <c r="P52">
        <f>'Transpo perseq'!AB52*Pondération!$D$8</f>
        <v>2.7150400000000001E-6</v>
      </c>
      <c r="Q52">
        <f>'Transpo perseq'!AC52*Pondération!$D$10</f>
        <v>1.5974400000000001E-5</v>
      </c>
      <c r="R52">
        <f>'Transpo perseq'!AD52*Pondération!$D$9</f>
        <v>4.5662400000000003E-7</v>
      </c>
      <c r="S52">
        <f>'Transpo perseq'!AE52*Pondération!$D$11</f>
        <v>2.8593599999999994E-6</v>
      </c>
      <c r="T52">
        <f t="shared" si="0"/>
        <v>6.5571426881120661E-5</v>
      </c>
    </row>
    <row r="53" spans="1:20" x14ac:dyDescent="0.3">
      <c r="A53" t="s">
        <v>1</v>
      </c>
      <c r="B53" t="s">
        <v>21</v>
      </c>
      <c r="C53" t="s">
        <v>76</v>
      </c>
      <c r="D53">
        <f>'Transpo perseq'!D53*Pondération!$D$17</f>
        <v>1.64672E-6</v>
      </c>
      <c r="E53">
        <f>'Transpo perseq'!E53*Pondération!$D$2</f>
        <v>4.7511360000000003E-6</v>
      </c>
      <c r="F53">
        <f>'Transpo perseq'!I53*Pondération!$D$12</f>
        <v>1.072128E-4</v>
      </c>
      <c r="G53">
        <f>'Transpo perseq'!M53*Pondération!$D$15</f>
        <v>1.4291200000000001E-8</v>
      </c>
      <c r="H53">
        <f>'Transpo perseq'!N53*Pondération!$D$14</f>
        <v>2.9789440000000006E-7</v>
      </c>
      <c r="I53">
        <f>'Transpo perseq'!O53*Pondération!$D$16</f>
        <v>4.5351040000000001E-7</v>
      </c>
      <c r="J53">
        <f>'Transpo perseq'!P53*Pondération!$D$4</f>
        <v>4.7711999999999999E-4</v>
      </c>
      <c r="K53">
        <f>'Transpo perseq'!T53*Pondération!$D$5</f>
        <v>3.8860800000000001E-3</v>
      </c>
      <c r="L53">
        <f>'Transpo perseq'!X53*Pondération!$D$7</f>
        <v>1.8837599999999999E-7</v>
      </c>
      <c r="M53">
        <f>'Transpo perseq'!Y53*Pondération!$D$13</f>
        <v>1.0557023999999999E-8</v>
      </c>
      <c r="N53">
        <f>'Transpo perseq'!Z53*Pondération!$D$3</f>
        <v>6.0878879999999999E-12</v>
      </c>
      <c r="O53">
        <f>'Transpo perseq'!AA53*Pondération!$D$6</f>
        <v>5.6340479999999994E-6</v>
      </c>
      <c r="P53">
        <f>'Transpo perseq'!AB53*Pondération!$D$8</f>
        <v>7.0973440000000012E-7</v>
      </c>
      <c r="Q53">
        <f>'Transpo perseq'!AC53*Pondération!$D$10</f>
        <v>2.7955199999999995E-6</v>
      </c>
      <c r="R53">
        <f>'Transpo perseq'!AD53*Pondération!$D$9</f>
        <v>8.2627199999999994E-5</v>
      </c>
      <c r="S53">
        <f>'Transpo perseq'!AE53*Pondération!$D$11</f>
        <v>8.8640159999999998E-7</v>
      </c>
      <c r="T53">
        <f t="shared" si="0"/>
        <v>4.5704281951118881E-3</v>
      </c>
    </row>
    <row r="54" spans="1:20" x14ac:dyDescent="0.3">
      <c r="A54" t="s">
        <v>1</v>
      </c>
      <c r="B54" t="s">
        <v>21</v>
      </c>
      <c r="C54" t="s">
        <v>77</v>
      </c>
      <c r="D54">
        <f>'Transpo perseq'!D54*Pondération!$D$17</f>
        <v>2.0137599999999998E-5</v>
      </c>
      <c r="E54">
        <f>'Transpo perseq'!E54*Pondération!$D$2</f>
        <v>2.4598080000000003E-4</v>
      </c>
      <c r="F54">
        <f>'Transpo perseq'!I54*Pondération!$D$12</f>
        <v>5.1916799999999991E-5</v>
      </c>
      <c r="G54">
        <f>'Transpo perseq'!M54*Pondération!$D$15</f>
        <v>2.8940800000000002E-6</v>
      </c>
      <c r="H54">
        <f>'Transpo perseq'!N54*Pondération!$D$14</f>
        <v>7.3881600000000004E-6</v>
      </c>
      <c r="I54">
        <f>'Transpo perseq'!O54*Pondération!$D$16</f>
        <v>1.050672E-5</v>
      </c>
      <c r="J54">
        <f>'Transpo perseq'!P54*Pondération!$D$4</f>
        <v>8.75856E-6</v>
      </c>
      <c r="K54">
        <f>'Transpo perseq'!T54*Pondération!$D$5</f>
        <v>8.7436799999999993E-6</v>
      </c>
      <c r="L54">
        <f>'Transpo perseq'!X54*Pondération!$D$7</f>
        <v>2.6532959999999999E-5</v>
      </c>
      <c r="M54">
        <f>'Transpo perseq'!Y54*Pondération!$D$13</f>
        <v>1.422848E-6</v>
      </c>
      <c r="N54">
        <f>'Transpo perseq'!Z54*Pondération!$D$3</f>
        <v>2.8874560000000002E-7</v>
      </c>
      <c r="O54">
        <f>'Transpo perseq'!AA54*Pondération!$D$6</f>
        <v>2.121728E-5</v>
      </c>
      <c r="P54">
        <f>'Transpo perseq'!AB54*Pondération!$D$8</f>
        <v>1.9578879999999998E-5</v>
      </c>
      <c r="Q54">
        <f>'Transpo perseq'!AC54*Pondération!$D$10</f>
        <v>3.4877440000000002E-4</v>
      </c>
      <c r="R54">
        <f>'Transpo perseq'!AD54*Pondération!$D$9</f>
        <v>5.84672E-6</v>
      </c>
      <c r="S54">
        <f>'Transpo perseq'!AE54*Pondération!$D$11</f>
        <v>1.3752159999999999E-5</v>
      </c>
      <c r="T54">
        <f t="shared" si="0"/>
        <v>7.9374039360000017E-4</v>
      </c>
    </row>
    <row r="55" spans="1:20" x14ac:dyDescent="0.3">
      <c r="A55" t="s">
        <v>1</v>
      </c>
      <c r="B55" t="s">
        <v>21</v>
      </c>
      <c r="C55" t="s">
        <v>56</v>
      </c>
      <c r="D55">
        <f>'Transpo perseq'!D55*Pondération!$D$17</f>
        <v>1.21024E-5</v>
      </c>
      <c r="E55">
        <f>'Transpo perseq'!E55*Pondération!$D$2</f>
        <v>4.8522239999999997E-5</v>
      </c>
      <c r="F55">
        <f>'Transpo perseq'!I55*Pondération!$D$12</f>
        <v>8.8780799999999992E-6</v>
      </c>
      <c r="G55">
        <f>'Transpo perseq'!M55*Pondération!$D$15</f>
        <v>1.5276800000000003E-5</v>
      </c>
      <c r="H55">
        <f>'Transpo perseq'!N55*Pondération!$D$14</f>
        <v>3.7509120000000003E-6</v>
      </c>
      <c r="I55">
        <f>'Transpo perseq'!O55*Pondération!$D$16</f>
        <v>4.8615839999999997E-6</v>
      </c>
      <c r="J55">
        <f>'Transpo perseq'!P55*Pondération!$D$4</f>
        <v>8.9289599999999995E-7</v>
      </c>
      <c r="K55">
        <f>'Transpo perseq'!T55*Pondération!$D$5</f>
        <v>1.7045759999999999E-6</v>
      </c>
      <c r="L55">
        <f>'Transpo perseq'!X55*Pondération!$D$7</f>
        <v>4.8657120000000002E-6</v>
      </c>
      <c r="M55">
        <f>'Transpo perseq'!Y55*Pondération!$D$13</f>
        <v>3.2395199999999998E-5</v>
      </c>
      <c r="N55">
        <f>'Transpo perseq'!Z55*Pondération!$D$3</f>
        <v>2.0494880000000001E-7</v>
      </c>
      <c r="O55">
        <f>'Transpo perseq'!AA55*Pondération!$D$6</f>
        <v>3.0822399999999998E-5</v>
      </c>
      <c r="P55">
        <f>'Transpo perseq'!AB55*Pondération!$D$8</f>
        <v>7.8774399999999996E-6</v>
      </c>
      <c r="Q55">
        <f>'Transpo perseq'!AC55*Pondération!$D$10</f>
        <v>3.0218239999999998E-5</v>
      </c>
      <c r="R55">
        <f>'Transpo perseq'!AD55*Pondération!$D$9</f>
        <v>2.6334399999999999E-6</v>
      </c>
      <c r="S55">
        <f>'Transpo perseq'!AE55*Pondération!$D$11</f>
        <v>2.3964159999999997E-3</v>
      </c>
      <c r="T55">
        <f t="shared" si="0"/>
        <v>2.6014228687999998E-3</v>
      </c>
    </row>
    <row r="56" spans="1:20" x14ac:dyDescent="0.3">
      <c r="A56" t="s">
        <v>1</v>
      </c>
      <c r="B56" t="s">
        <v>21</v>
      </c>
      <c r="C56" t="s">
        <v>57</v>
      </c>
      <c r="D56">
        <f>'Transpo perseq'!D56*Pondération!$D$17</f>
        <v>2.3212799999999999E-5</v>
      </c>
      <c r="E56">
        <f>'Transpo perseq'!E56*Pondération!$D$2</f>
        <v>9.0642240000000007E-5</v>
      </c>
      <c r="F56">
        <f>'Transpo perseq'!I56*Pondération!$D$12</f>
        <v>1.5452159999999998E-5</v>
      </c>
      <c r="G56">
        <f>'Transpo perseq'!M56*Pondération!$D$15</f>
        <v>1.8009600000000003E-7</v>
      </c>
      <c r="H56">
        <f>'Transpo perseq'!N56*Pondération!$D$14</f>
        <v>1.5391999999999998E-5</v>
      </c>
      <c r="I56">
        <f>'Transpo perseq'!O56*Pondération!$D$16</f>
        <v>2.3625280000000001E-5</v>
      </c>
      <c r="J56">
        <f>'Transpo perseq'!P56*Pondération!$D$4</f>
        <v>8.75856E-7</v>
      </c>
      <c r="K56">
        <f>'Transpo perseq'!T56*Pondération!$D$5</f>
        <v>3.0911999999999997E-6</v>
      </c>
      <c r="L56">
        <f>'Transpo perseq'!X56*Pondération!$D$7</f>
        <v>1.4669280000000002E-7</v>
      </c>
      <c r="M56">
        <f>'Transpo perseq'!Y56*Pondération!$D$13</f>
        <v>1.5371840000000001E-6</v>
      </c>
      <c r="N56">
        <f>'Transpo perseq'!Z56*Pondération!$D$3</f>
        <v>8.0667039999999998E-16</v>
      </c>
      <c r="O56">
        <f>'Transpo perseq'!AA56*Pondération!$D$6</f>
        <v>1.1626496E-5</v>
      </c>
      <c r="P56">
        <f>'Transpo perseq'!AB56*Pondération!$D$8</f>
        <v>2.309696E-5</v>
      </c>
      <c r="Q56">
        <f>'Transpo perseq'!AC56*Pondération!$D$10</f>
        <v>5.9238399999999992E-5</v>
      </c>
      <c r="R56">
        <f>'Transpo perseq'!AD56*Pondération!$D$9</f>
        <v>3.6723199999999999E-7</v>
      </c>
      <c r="S56">
        <f>'Transpo perseq'!AE56*Pondération!$D$11</f>
        <v>2.3964159999999997E-7</v>
      </c>
      <c r="T56">
        <f t="shared" si="0"/>
        <v>2.6872423840080672E-4</v>
      </c>
    </row>
    <row r="57" spans="1:20" x14ac:dyDescent="0.3">
      <c r="A57" t="s">
        <v>1</v>
      </c>
      <c r="B57" t="s">
        <v>22</v>
      </c>
      <c r="C57" t="s">
        <v>78</v>
      </c>
      <c r="D57">
        <f>'Transpo perseq'!D57*Pondération!$D$17</f>
        <v>7.7276799999999992E-6</v>
      </c>
      <c r="E57">
        <f>'Transpo perseq'!E57*Pondération!$D$2</f>
        <v>6.8065920000000003E-5</v>
      </c>
      <c r="F57">
        <f>'Transpo perseq'!I57*Pondération!$D$12</f>
        <v>1.4039039999999998E-5</v>
      </c>
      <c r="G57">
        <f>'Transpo perseq'!M57*Pondération!$D$15</f>
        <v>2.2444800000000002E-6</v>
      </c>
      <c r="H57">
        <f>'Transpo perseq'!N57*Pondération!$D$14</f>
        <v>2.4864E-6</v>
      </c>
      <c r="I57">
        <f>'Transpo perseq'!O57*Pondération!$D$16</f>
        <v>3.4488160000000004E-6</v>
      </c>
      <c r="J57">
        <f>'Transpo perseq'!P57*Pondération!$D$4</f>
        <v>1.2541439999999999E-6</v>
      </c>
      <c r="K57">
        <f>'Transpo perseq'!T57*Pondération!$D$5</f>
        <v>3.9974117351435797E-6</v>
      </c>
      <c r="L57">
        <f>'Transpo perseq'!X57*Pondération!$D$7</f>
        <v>1.1432670738175808E-5</v>
      </c>
      <c r="M57">
        <f>'Transpo perseq'!Y57*Pondération!$D$13</f>
        <v>4.044374167047738E-7</v>
      </c>
      <c r="N57">
        <f>'Transpo perseq'!Z57*Pondération!$D$3</f>
        <v>3.7654583906361754E-8</v>
      </c>
      <c r="O57">
        <f>'Transpo perseq'!AA57*Pondération!$D$6</f>
        <v>8.9271755291613211E-6</v>
      </c>
      <c r="P57">
        <f>'Transpo perseq'!AB57*Pondération!$D$8</f>
        <v>7.1350692903176965E-6</v>
      </c>
      <c r="Q57">
        <f>'Transpo perseq'!AC57*Pondération!$D$10</f>
        <v>1.0214801215462019E-4</v>
      </c>
      <c r="R57">
        <f>'Transpo perseq'!AD57*Pondération!$D$9</f>
        <v>2.0206293932322738E-6</v>
      </c>
      <c r="S57">
        <f>'Transpo perseq'!AE57*Pondération!$D$11</f>
        <v>2.7906029682136757E-5</v>
      </c>
      <c r="T57">
        <f t="shared" si="0"/>
        <v>2.632755705233988E-4</v>
      </c>
    </row>
    <row r="58" spans="1:20" x14ac:dyDescent="0.3">
      <c r="A58" t="s">
        <v>1</v>
      </c>
      <c r="B58" t="s">
        <v>22</v>
      </c>
      <c r="C58" t="s">
        <v>56</v>
      </c>
      <c r="D58">
        <f>'Transpo perseq'!D58*Pondération!$D$17</f>
        <v>9.0966399999999997E-6</v>
      </c>
      <c r="E58">
        <f>'Transpo perseq'!E58*Pondération!$D$2</f>
        <v>3.6391680000000005E-5</v>
      </c>
      <c r="F58">
        <f>'Transpo perseq'!I58*Pondération!$D$12</f>
        <v>6.6662399999999992E-6</v>
      </c>
      <c r="G58">
        <f>'Transpo perseq'!M58*Pondération!$D$15</f>
        <v>1.1468799999999999E-5</v>
      </c>
      <c r="H58">
        <f>'Transpo perseq'!N58*Pondération!$D$14</f>
        <v>2.813184E-6</v>
      </c>
      <c r="I58">
        <f>'Transpo perseq'!O58*Pondération!$D$16</f>
        <v>3.6447039999999997E-6</v>
      </c>
      <c r="J58">
        <f>'Transpo perseq'!P58*Pondération!$D$4</f>
        <v>6.6796799999999996E-7</v>
      </c>
      <c r="K58">
        <f>'Transpo perseq'!T58*Pondération!$D$5</f>
        <v>1.2782419028130496E-6</v>
      </c>
      <c r="L58">
        <f>'Transpo perseq'!X58*Pondération!$D$7</f>
        <v>3.6465786380998391E-6</v>
      </c>
      <c r="M58">
        <f>'Transpo perseq'!Y58*Pondération!$D$13</f>
        <v>2.4301588603844094E-5</v>
      </c>
      <c r="N58">
        <f>'Transpo perseq'!Z58*Pondération!$D$3</f>
        <v>1.5402936447031486E-7</v>
      </c>
      <c r="O58">
        <f>'Transpo perseq'!AA58*Pondération!$D$6</f>
        <v>2.3109775729669385E-5</v>
      </c>
      <c r="P58">
        <f>'Transpo perseq'!AB58*Pondération!$D$8</f>
        <v>5.9021607771692163E-6</v>
      </c>
      <c r="Q58">
        <f>'Transpo perseq'!AC58*Pondération!$D$10</f>
        <v>2.2671617082134293E-5</v>
      </c>
      <c r="R58">
        <f>'Transpo perseq'!AD58*Pondération!$D$9</f>
        <v>1.9760764717808986E-6</v>
      </c>
      <c r="S58">
        <f>'Transpo perseq'!AE58*Pondération!$D$11</f>
        <v>1.8012154505110589E-3</v>
      </c>
      <c r="T58">
        <f t="shared" si="0"/>
        <v>1.9550047350810401E-3</v>
      </c>
    </row>
    <row r="59" spans="1:20" x14ac:dyDescent="0.3">
      <c r="A59" t="s">
        <v>1</v>
      </c>
      <c r="B59" t="s">
        <v>22</v>
      </c>
      <c r="C59" t="s">
        <v>57</v>
      </c>
      <c r="D59">
        <f>'Transpo perseq'!D59*Pondération!$D$17</f>
        <v>4.3151999999999999E-7</v>
      </c>
      <c r="E59">
        <f>'Transpo perseq'!E59*Pondération!$D$2</f>
        <v>1.6814304000000001E-6</v>
      </c>
      <c r="F59">
        <f>'Transpo perseq'!I59*Pondération!$D$12</f>
        <v>2.8692479999999997E-7</v>
      </c>
      <c r="G59">
        <f>'Transpo perseq'!M59*Pondération!$D$15</f>
        <v>3.3420800000000001E-9</v>
      </c>
      <c r="H59">
        <f>'Transpo perseq'!N59*Pondération!$D$14</f>
        <v>2.8605439999999997E-7</v>
      </c>
      <c r="I59">
        <f>'Transpo perseq'!O59*Pondération!$D$16</f>
        <v>4.3867040000000002E-7</v>
      </c>
      <c r="J59">
        <f>'Transpo perseq'!P59*Pondération!$D$4</f>
        <v>1.6256159999999998E-8</v>
      </c>
      <c r="K59">
        <f>'Transpo perseq'!T59*Pondération!$D$5</f>
        <v>5.7387725235710342E-8</v>
      </c>
      <c r="L59">
        <f>'Transpo perseq'!X59*Pondération!$D$7</f>
        <v>2.7180089037458265E-9</v>
      </c>
      <c r="M59">
        <f>'Transpo perseq'!Y59*Pondération!$D$13</f>
        <v>2.8636685196574174E-8</v>
      </c>
      <c r="N59">
        <f>'Transpo perseq'!Z59*Pondération!$D$3</f>
        <v>1.4991719074045047E-17</v>
      </c>
      <c r="O59">
        <f>'Transpo perseq'!AA59*Pondération!$D$6</f>
        <v>2.1597893885039717E-7</v>
      </c>
      <c r="P59">
        <f>'Transpo perseq'!AB59*Pondération!$D$8</f>
        <v>4.2915546418698016E-7</v>
      </c>
      <c r="Q59">
        <f>'Transpo perseq'!AC59*Pondération!$D$10</f>
        <v>1.1006299535082196E-6</v>
      </c>
      <c r="R59">
        <f>'Transpo perseq'!AD59*Pondération!$D$9</f>
        <v>6.8177257948268957E-9</v>
      </c>
      <c r="S59">
        <f>'Transpo perseq'!AE59*Pondération!$D$11</f>
        <v>4.4454526407697469E-9</v>
      </c>
      <c r="T59">
        <f t="shared" si="0"/>
        <v>4.9899681943322158E-6</v>
      </c>
    </row>
    <row r="60" spans="1:20" x14ac:dyDescent="0.3">
      <c r="A60" t="s">
        <v>1</v>
      </c>
      <c r="B60" t="s">
        <v>23</v>
      </c>
      <c r="C60" t="s">
        <v>79</v>
      </c>
      <c r="D60">
        <f>'Transpo perseq'!D60*Pondération!$D$17</f>
        <v>1.6467199999999998E-4</v>
      </c>
      <c r="E60">
        <f>'Transpo perseq'!E60*Pondération!$D$2</f>
        <v>1.5365376000000001E-3</v>
      </c>
      <c r="F60">
        <f>'Transpo perseq'!I60*Pondération!$D$12</f>
        <v>6.2361600000000001E-4</v>
      </c>
      <c r="G60">
        <f>'Transpo perseq'!M60*Pondération!$D$15</f>
        <v>6.8992000000000008E-6</v>
      </c>
      <c r="H60">
        <f>'Transpo perseq'!N60*Pondération!$D$14</f>
        <v>5.9200000000000002E-5</v>
      </c>
      <c r="I60">
        <f>'Transpo perseq'!O60*Pondération!$D$16</f>
        <v>8.3103999999999996E-5</v>
      </c>
      <c r="J60">
        <f>'Transpo perseq'!P60*Pondération!$D$4</f>
        <v>2.8865759999999998E-5</v>
      </c>
      <c r="K60">
        <f>'Transpo perseq'!T60*Pondération!$D$5</f>
        <v>1.2551163358955262E-4</v>
      </c>
      <c r="L60">
        <f>'Transpo perseq'!X60*Pondération!$D$7</f>
        <v>3.0253459794724057E-5</v>
      </c>
      <c r="M60">
        <f>'Transpo perseq'!Y60*Pondération!$D$13</f>
        <v>4.9784823335534497E-6</v>
      </c>
      <c r="N60">
        <f>'Transpo perseq'!Z60*Pondération!$D$3</f>
        <v>3.6099127504980567E-7</v>
      </c>
      <c r="O60">
        <f>'Transpo perseq'!AA60*Pondération!$D$6</f>
        <v>2.9444514639347834E-4</v>
      </c>
      <c r="P60">
        <f>'Transpo perseq'!AB60*Pondération!$D$8</f>
        <v>1.4598630914165454E-4</v>
      </c>
      <c r="Q60">
        <f>'Transpo perseq'!AC60*Pondération!$D$10</f>
        <v>1.6971569822599474E-3</v>
      </c>
      <c r="R60">
        <f>'Transpo perseq'!AD60*Pondération!$D$9</f>
        <v>4.2750689733721768E-4</v>
      </c>
      <c r="S60">
        <f>'Transpo perseq'!AE60*Pondération!$D$11</f>
        <v>1.3044091075416892E-4</v>
      </c>
      <c r="T60">
        <f t="shared" si="0"/>
        <v>5.3595353728793475E-3</v>
      </c>
    </row>
    <row r="61" spans="1:20" x14ac:dyDescent="0.3">
      <c r="A61" t="s">
        <v>1</v>
      </c>
      <c r="B61" t="s">
        <v>23</v>
      </c>
      <c r="C61" t="s">
        <v>78</v>
      </c>
      <c r="D61">
        <f>'Transpo perseq'!D61*Pondération!$D$17</f>
        <v>4.14656E-6</v>
      </c>
      <c r="E61">
        <f>'Transpo perseq'!E61*Pondération!$D$2</f>
        <v>3.6391680000000005E-5</v>
      </c>
      <c r="F61">
        <f>'Transpo perseq'!I61*Pondération!$D$12</f>
        <v>7.5263999999999988E-6</v>
      </c>
      <c r="G61">
        <f>'Transpo perseq'!M61*Pondération!$D$15</f>
        <v>1.20064E-6</v>
      </c>
      <c r="H61">
        <f>'Transpo perseq'!N61*Pondération!$D$14</f>
        <v>1.3355520000000001E-6</v>
      </c>
      <c r="I61">
        <f>'Transpo perseq'!O61*Pondération!$D$16</f>
        <v>1.8520320000000003E-6</v>
      </c>
      <c r="J61">
        <f>'Transpo perseq'!P61*Pondération!$D$4</f>
        <v>6.7137600000000002E-7</v>
      </c>
      <c r="K61">
        <f>'Transpo perseq'!T61*Pondération!$D$5</f>
        <v>2.1435396260914879E-6</v>
      </c>
      <c r="L61">
        <f>'Transpo perseq'!X61*Pondération!$D$7</f>
        <v>6.1305625697464608E-6</v>
      </c>
      <c r="M61">
        <f>'Transpo perseq'!Y61*Pondération!$D$13</f>
        <v>2.1687223794314006E-7</v>
      </c>
      <c r="N61">
        <f>'Transpo perseq'!Z61*Pondération!$D$3</f>
        <v>2.0191588471527294E-8</v>
      </c>
      <c r="O61">
        <f>'Transpo perseq'!AA61*Pondération!$D$6</f>
        <v>4.787036153318394E-6</v>
      </c>
      <c r="P61">
        <f>'Transpo perseq'!AB61*Pondération!$D$8</f>
        <v>3.8260516484312258E-6</v>
      </c>
      <c r="Q61">
        <f>'Transpo perseq'!AC61*Pondération!$D$10</f>
        <v>5.4775021010448525E-5</v>
      </c>
      <c r="R61">
        <f>'Transpo perseq'!AD61*Pondération!$D$9</f>
        <v>1.0835259065158562E-6</v>
      </c>
      <c r="S61">
        <f>'Transpo perseq'!AE61*Pondération!$D$11</f>
        <v>1.4964102873029862E-5</v>
      </c>
      <c r="T61">
        <f t="shared" si="0"/>
        <v>1.4107114361399647E-4</v>
      </c>
    </row>
    <row r="62" spans="1:20" x14ac:dyDescent="0.3">
      <c r="A62" t="s">
        <v>1</v>
      </c>
      <c r="B62" t="s">
        <v>23</v>
      </c>
      <c r="C62" t="s">
        <v>56</v>
      </c>
      <c r="D62">
        <f>'Transpo perseq'!D62*Pondération!$D$17</f>
        <v>5.8230399999999997E-5</v>
      </c>
      <c r="E62">
        <f>'Transpo perseq'!E62*Pondération!$D$2</f>
        <v>2.3317632000000003E-4</v>
      </c>
      <c r="F62">
        <f>'Transpo perseq'!I62*Pondération!$D$12</f>
        <v>4.2700799999999996E-5</v>
      </c>
      <c r="G62">
        <f>'Transpo perseq'!M62*Pondération!$D$15</f>
        <v>7.3472000000000004E-5</v>
      </c>
      <c r="H62">
        <f>'Transpo perseq'!N62*Pondération!$D$14</f>
        <v>1.79968E-5</v>
      </c>
      <c r="I62">
        <f>'Transpo perseq'!O62*Pondération!$D$16</f>
        <v>2.3328480000000001E-5</v>
      </c>
      <c r="J62">
        <f>'Transpo perseq'!P62*Pondération!$D$4</f>
        <v>4.2940799999999996E-6</v>
      </c>
      <c r="K62">
        <f>'Transpo perseq'!T62*Pondération!$D$5</f>
        <v>8.1807481780035172E-6</v>
      </c>
      <c r="L62">
        <f>'Transpo perseq'!X62*Pondération!$D$7</f>
        <v>2.3338103283838946E-5</v>
      </c>
      <c r="M62">
        <f>'Transpo perseq'!Y62*Pondération!$D$13</f>
        <v>1.5553016706460236E-4</v>
      </c>
      <c r="N62">
        <f>'Transpo perseq'!Z62*Pondération!$D$3</f>
        <v>9.857879326100164E-7</v>
      </c>
      <c r="O62">
        <f>'Transpo perseq'!AA62*Pondération!$D$6</f>
        <v>1.4790256466988441E-4</v>
      </c>
      <c r="P62">
        <f>'Transpo perseq'!AB62*Pondération!$D$8</f>
        <v>3.7773828973882979E-5</v>
      </c>
      <c r="Q62">
        <f>'Transpo perseq'!AC62*Pondération!$D$10</f>
        <v>1.4509834932566006E-4</v>
      </c>
      <c r="R62">
        <f>'Transpo perseq'!AD62*Pondération!$D$9</f>
        <v>1.2646889419397748E-5</v>
      </c>
      <c r="S62">
        <f>'Transpo perseq'!AE62*Pondération!$D$11</f>
        <v>1.152777888327082E-2</v>
      </c>
      <c r="T62">
        <f t="shared" si="0"/>
        <v>1.25124342021187E-2</v>
      </c>
    </row>
    <row r="63" spans="1:20" x14ac:dyDescent="0.3">
      <c r="A63" t="s">
        <v>1</v>
      </c>
      <c r="B63" t="s">
        <v>23</v>
      </c>
      <c r="C63" t="s">
        <v>80</v>
      </c>
      <c r="D63">
        <f>'Transpo perseq'!D63*Pondération!$D$17</f>
        <v>3.1446400000000002E-3</v>
      </c>
      <c r="E63">
        <f>'Transpo perseq'!E63*Pondération!$D$2</f>
        <v>2.9686176E-3</v>
      </c>
      <c r="F63">
        <f>'Transpo perseq'!I63*Pondération!$D$12</f>
        <v>3.1641600000000003E-4</v>
      </c>
      <c r="G63">
        <f>'Transpo perseq'!M63*Pondération!$D$15</f>
        <v>4.8831999999999999E-4</v>
      </c>
      <c r="H63">
        <f>'Transpo perseq'!N63*Pondération!$D$14</f>
        <v>8.5247999999999997E-4</v>
      </c>
      <c r="I63">
        <f>'Transpo perseq'!O63*Pondération!$D$16</f>
        <v>2.617776E-3</v>
      </c>
      <c r="J63">
        <f>'Transpo perseq'!P63*Pondération!$D$4</f>
        <v>1.673328E-5</v>
      </c>
      <c r="K63">
        <f>'Transpo perseq'!T63*Pondération!$D$5</f>
        <v>5.9675170910500644E-5</v>
      </c>
      <c r="L63">
        <f>'Transpo perseq'!X63*Pondération!$D$7</f>
        <v>2.5745788675782862E-5</v>
      </c>
      <c r="M63">
        <f>'Transpo perseq'!Y63*Pondération!$D$13</f>
        <v>1.2993656987057949E-3</v>
      </c>
      <c r="N63">
        <f>'Transpo perseq'!Z63*Pondération!$D$3</f>
        <v>1.7312745151106598E-6</v>
      </c>
      <c r="O63">
        <f>'Transpo perseq'!AA63*Pondération!$D$6</f>
        <v>2.9543455433894564E-3</v>
      </c>
      <c r="P63">
        <f>'Transpo perseq'!AB63*Pondération!$D$8</f>
        <v>1.3593981627632107E-4</v>
      </c>
      <c r="Q63">
        <f>'Transpo perseq'!AC63*Pondération!$D$10</f>
        <v>2.3977976539237158E-4</v>
      </c>
      <c r="R63">
        <f>'Transpo perseq'!AD63*Pondération!$D$9</f>
        <v>4.9733972072880136E-5</v>
      </c>
      <c r="S63">
        <f>'Transpo perseq'!AE63*Pondération!$D$11</f>
        <v>1.0879667049734686E-2</v>
      </c>
      <c r="T63">
        <f t="shared" si="0"/>
        <v>2.6050966959672905E-2</v>
      </c>
    </row>
    <row r="64" spans="1:20" x14ac:dyDescent="0.3">
      <c r="A64" t="s">
        <v>1</v>
      </c>
      <c r="B64" t="s">
        <v>23</v>
      </c>
      <c r="C64" t="s">
        <v>57</v>
      </c>
      <c r="D64">
        <f>'Transpo perseq'!D64*Pondération!$D$17</f>
        <v>4.4342400000000004E-5</v>
      </c>
      <c r="E64">
        <f>'Transpo perseq'!E64*Pondération!$D$2</f>
        <v>1.7286048E-4</v>
      </c>
      <c r="F64">
        <f>'Transpo perseq'!I64*Pondération!$D$12</f>
        <v>2.9521919999999997E-5</v>
      </c>
      <c r="G64">
        <f>'Transpo perseq'!M64*Pondération!$D$15</f>
        <v>3.43616E-7</v>
      </c>
      <c r="H64">
        <f>'Transpo perseq'!N64*Pondération!$D$14</f>
        <v>2.9410560000000003E-5</v>
      </c>
      <c r="I64">
        <f>'Transpo perseq'!O64*Pondération!$D$16</f>
        <v>4.5113600000000001E-5</v>
      </c>
      <c r="J64">
        <f>'Transpo perseq'!P64*Pondération!$D$4</f>
        <v>1.6733280000000001E-6</v>
      </c>
      <c r="K64">
        <f>'Transpo perseq'!T64*Pondération!$D$5</f>
        <v>5.9007301502027522E-6</v>
      </c>
      <c r="L64">
        <f>'Transpo perseq'!X64*Pondération!$D$7</f>
        <v>2.7947155983231918E-7</v>
      </c>
      <c r="M64">
        <f>'Transpo perseq'!Y64*Pondération!$D$13</f>
        <v>2.9444859688591051E-6</v>
      </c>
      <c r="N64">
        <f>'Transpo perseq'!Z64*Pondération!$D$3</f>
        <v>1.5414810114923388E-15</v>
      </c>
      <c r="O64">
        <f>'Transpo perseq'!AA64*Pondération!$D$6</f>
        <v>2.2207422075867468E-5</v>
      </c>
      <c r="P64">
        <f>'Transpo perseq'!AB64*Pondération!$D$8</f>
        <v>4.4126693927163802E-5</v>
      </c>
      <c r="Q64">
        <f>'Transpo perseq'!AC64*Pondération!$D$10</f>
        <v>1.1316915462683098E-4</v>
      </c>
      <c r="R64">
        <f>'Transpo perseq'!AD64*Pondération!$D$9</f>
        <v>7.0101332624901858E-7</v>
      </c>
      <c r="S64">
        <f>'Transpo perseq'!AE64*Pondération!$D$11</f>
        <v>4.5709106469976856E-7</v>
      </c>
      <c r="T64">
        <f t="shared" si="0"/>
        <v>5.1305196670124666E-4</v>
      </c>
    </row>
    <row r="65" spans="1:20" x14ac:dyDescent="0.3">
      <c r="A65" t="s">
        <v>1</v>
      </c>
      <c r="B65" t="s">
        <v>23</v>
      </c>
      <c r="C65" t="s">
        <v>81</v>
      </c>
      <c r="D65">
        <f>'Transpo perseq'!D65*Pondération!$D$17</f>
        <v>7.8169600000000005E-6</v>
      </c>
      <c r="E65">
        <f>'Transpo perseq'!E65*Pondération!$D$2</f>
        <v>9.2327040000000002E-5</v>
      </c>
      <c r="F65">
        <f>'Transpo perseq'!I65*Pondération!$D$12</f>
        <v>2.0582399999999998E-5</v>
      </c>
      <c r="G65">
        <f>'Transpo perseq'!M65*Pondération!$D$15</f>
        <v>1.7024000000000002E-7</v>
      </c>
      <c r="H65">
        <f>'Transpo perseq'!N65*Pondération!$D$14</f>
        <v>3.5046400000000001E-6</v>
      </c>
      <c r="I65">
        <f>'Transpo perseq'!O65*Pondération!$D$16</f>
        <v>4.932816E-6</v>
      </c>
      <c r="J65">
        <f>'Transpo perseq'!P65*Pondération!$D$4</f>
        <v>1.206432E-6</v>
      </c>
      <c r="K65">
        <f>'Transpo perseq'!T65*Pondération!$D$5</f>
        <v>4.0426594858218394E-6</v>
      </c>
      <c r="L65">
        <f>'Transpo perseq'!X65*Pondération!$D$7</f>
        <v>1.9281825864870352E-6</v>
      </c>
      <c r="M65">
        <f>'Transpo perseq'!Y65*Pondération!$D$13</f>
        <v>2.433173556431307E-7</v>
      </c>
      <c r="N65">
        <f>'Transpo perseq'!Z65*Pondération!$D$3</f>
        <v>6.1063283056422881E-9</v>
      </c>
      <c r="O65">
        <f>'Transpo perseq'!AA65*Pondération!$D$6</f>
        <v>8.8777455745970507E-6</v>
      </c>
      <c r="P65">
        <f>'Transpo perseq'!AB65*Pondération!$D$8</f>
        <v>9.0739373065634371E-6</v>
      </c>
      <c r="Q65">
        <f>'Transpo perseq'!AC65*Pondération!$D$10</f>
        <v>8.7354394609850104E-5</v>
      </c>
      <c r="R65">
        <f>'Transpo perseq'!AD65*Pondération!$D$9</f>
        <v>7.4546214016899157E-6</v>
      </c>
      <c r="S65">
        <f>'Transpo perseq'!AE65*Pondération!$D$11</f>
        <v>4.5759629319626362E-6</v>
      </c>
      <c r="T65">
        <f t="shared" si="0"/>
        <v>2.540974555809207E-4</v>
      </c>
    </row>
    <row r="66" spans="1:20" x14ac:dyDescent="0.3">
      <c r="A66" t="s">
        <v>1</v>
      </c>
      <c r="B66" t="s">
        <v>24</v>
      </c>
      <c r="C66" t="s">
        <v>79</v>
      </c>
      <c r="D66">
        <f>'Transpo perseq'!D66*Pondération!$D$17</f>
        <v>1.9840000000000003E-5</v>
      </c>
      <c r="E66">
        <f>'Transpo perseq'!E66*Pondération!$D$2</f>
        <v>1.8499103999999999E-4</v>
      </c>
      <c r="F66">
        <f>'Transpo perseq'!I66*Pondération!$D$12</f>
        <v>7.526399999999999E-5</v>
      </c>
      <c r="G66">
        <f>'Transpo perseq'!M66*Pondération!$D$15</f>
        <v>8.2880000000000001E-7</v>
      </c>
      <c r="H66">
        <f>'Transpo perseq'!N66*Pondération!$D$14</f>
        <v>7.1513600000000004E-6</v>
      </c>
      <c r="I66">
        <f>'Transpo perseq'!O66*Pondération!$D$16</f>
        <v>9.9724800000000001E-6</v>
      </c>
      <c r="J66">
        <f>'Transpo perseq'!P66*Pondération!$D$4</f>
        <v>3.47616E-6</v>
      </c>
      <c r="K66">
        <f>'Transpo perseq'!T66*Pondération!$D$5</f>
        <v>1.5111350909786924E-5</v>
      </c>
      <c r="L66">
        <f>'Transpo perseq'!X66*Pondération!$D$7</f>
        <v>3.6424563533946392E-6</v>
      </c>
      <c r="M66">
        <f>'Transpo perseq'!Y66*Pondération!$D$13</f>
        <v>5.9939936553230616E-7</v>
      </c>
      <c r="N66">
        <f>'Transpo perseq'!Z66*Pondération!$D$3</f>
        <v>4.3462631125399491E-8</v>
      </c>
      <c r="O66">
        <f>'Transpo perseq'!AA66*Pondération!$D$6</f>
        <v>3.5450609665284424E-5</v>
      </c>
      <c r="P66">
        <f>'Transpo perseq'!AB66*Pondération!$D$8</f>
        <v>1.7576461100637062E-5</v>
      </c>
      <c r="Q66">
        <f>'Transpo perseq'!AC66*Pondération!$D$10</f>
        <v>2.0433432323726754E-4</v>
      </c>
      <c r="R66">
        <f>'Transpo perseq'!AD66*Pondération!$D$9</f>
        <v>5.1470979679406243E-5</v>
      </c>
      <c r="S66">
        <f>'Transpo perseq'!AE66*Pondération!$D$11</f>
        <v>1.5704826070899704E-5</v>
      </c>
      <c r="T66">
        <f t="shared" si="0"/>
        <v>6.4545770901333415E-4</v>
      </c>
    </row>
    <row r="67" spans="1:20" x14ac:dyDescent="0.3">
      <c r="A67" t="s">
        <v>1</v>
      </c>
      <c r="B67" t="s">
        <v>24</v>
      </c>
      <c r="C67" t="s">
        <v>56</v>
      </c>
      <c r="D67">
        <f>'Transpo perseq'!D67*Pondération!$D$17</f>
        <v>1.21024E-5</v>
      </c>
      <c r="E67">
        <f>'Transpo perseq'!E67*Pondération!$D$2</f>
        <v>4.8522239999999997E-5</v>
      </c>
      <c r="F67">
        <f>'Transpo perseq'!I67*Pondération!$D$12</f>
        <v>8.8780799999999992E-6</v>
      </c>
      <c r="G67">
        <f>'Transpo perseq'!M67*Pondération!$D$15</f>
        <v>1.5276800000000003E-5</v>
      </c>
      <c r="H67">
        <f>'Transpo perseq'!N67*Pondération!$D$14</f>
        <v>3.7509120000000003E-6</v>
      </c>
      <c r="I67">
        <f>'Transpo perseq'!O67*Pondération!$D$16</f>
        <v>4.8615839999999997E-6</v>
      </c>
      <c r="J67">
        <f>'Transpo perseq'!P67*Pondération!$D$4</f>
        <v>8.9289599999999995E-7</v>
      </c>
      <c r="K67">
        <f>'Transpo perseq'!T67*Pondération!$D$5</f>
        <v>1.7043225392227015E-6</v>
      </c>
      <c r="L67">
        <f>'Transpo perseq'!X67*Pondération!$D$7</f>
        <v>4.8621048499314954E-6</v>
      </c>
      <c r="M67">
        <f>'Transpo perseq'!Y67*Pondération!$D$13</f>
        <v>3.2402118440531077E-5</v>
      </c>
      <c r="N67">
        <f>'Transpo perseq'!Z67*Pondération!$D$3</f>
        <v>2.0537248617203399E-7</v>
      </c>
      <c r="O67">
        <f>'Transpo perseq'!AA67*Pondération!$D$6</f>
        <v>3.0813034327422054E-5</v>
      </c>
      <c r="P67">
        <f>'Transpo perseq'!AB67*Pondération!$D$8</f>
        <v>7.8695477178924322E-6</v>
      </c>
      <c r="Q67">
        <f>'Transpo perseq'!AC67*Pondération!$D$10</f>
        <v>3.0228822793760478E-5</v>
      </c>
      <c r="R67">
        <f>'Transpo perseq'!AD67*Pondération!$D$9</f>
        <v>2.634768642607288E-6</v>
      </c>
      <c r="S67">
        <f>'Transpo perseq'!AE67*Pondération!$D$11</f>
        <v>2.4016206006917465E-3</v>
      </c>
      <c r="T67">
        <f t="shared" ref="T67:T130" si="1">SUM(D67:S67)</f>
        <v>2.6066256044892859E-3</v>
      </c>
    </row>
    <row r="68" spans="1:20" x14ac:dyDescent="0.3">
      <c r="A68" t="s">
        <v>1</v>
      </c>
      <c r="B68" t="s">
        <v>24</v>
      </c>
      <c r="C68" t="s">
        <v>80</v>
      </c>
      <c r="D68">
        <f>'Transpo perseq'!D68*Pondération!$D$17</f>
        <v>1.8649599999999999E-3</v>
      </c>
      <c r="E68">
        <f>'Transpo perseq'!E68*Pondération!$D$2</f>
        <v>1.7623008000000001E-3</v>
      </c>
      <c r="F68">
        <f>'Transpo perseq'!I68*Pondération!$D$12</f>
        <v>1.880064E-4</v>
      </c>
      <c r="G68">
        <f>'Transpo perseq'!M68*Pondération!$D$15</f>
        <v>2.9075199999999997E-4</v>
      </c>
      <c r="H68">
        <f>'Transpo perseq'!N68*Pondération!$D$14</f>
        <v>5.0675200000000007E-4</v>
      </c>
      <c r="I68">
        <f>'Transpo perseq'!O68*Pondération!$D$16</f>
        <v>1.5552319999999999E-3</v>
      </c>
      <c r="J68">
        <f>'Transpo perseq'!P68*Pondération!$D$4</f>
        <v>9.9513599999999999E-6</v>
      </c>
      <c r="K68">
        <f>'Transpo perseq'!T68*Pondération!$D$5</f>
        <v>3.5413789950166032E-5</v>
      </c>
      <c r="L68">
        <f>'Transpo perseq'!X68*Pondération!$D$7</f>
        <v>1.5278648361694118E-5</v>
      </c>
      <c r="M68">
        <f>'Transpo perseq'!Y68*Pondération!$D$13</f>
        <v>7.7109898841229267E-4</v>
      </c>
      <c r="N68">
        <f>'Transpo perseq'!Z68*Pondération!$D$3</f>
        <v>1.0274120892951832E-6</v>
      </c>
      <c r="O68">
        <f>'Transpo perseq'!AA68*Pondération!$D$6</f>
        <v>1.7532345683720948E-3</v>
      </c>
      <c r="P68">
        <f>'Transpo perseq'!AB68*Pondération!$D$8</f>
        <v>8.0672481134472273E-5</v>
      </c>
      <c r="Q68">
        <f>'Transpo perseq'!AC68*Pondération!$D$10</f>
        <v>1.4229553290498058E-4</v>
      </c>
      <c r="R68">
        <f>'Transpo perseq'!AD68*Pondération!$D$9</f>
        <v>2.9514258836692869E-5</v>
      </c>
      <c r="S68">
        <f>'Transpo perseq'!AE68*Pondération!$D$11</f>
        <v>6.456458150826158E-3</v>
      </c>
      <c r="T68">
        <f t="shared" si="1"/>
        <v>1.5462948390887847E-2</v>
      </c>
    </row>
    <row r="69" spans="1:20" x14ac:dyDescent="0.3">
      <c r="A69" t="s">
        <v>1</v>
      </c>
      <c r="B69" t="s">
        <v>24</v>
      </c>
      <c r="C69" t="s">
        <v>57</v>
      </c>
      <c r="D69">
        <f>'Transpo perseq'!D69*Pondération!$D$17</f>
        <v>7.9855999999999986E-6</v>
      </c>
      <c r="E69">
        <f>'Transpo perseq'!E69*Pondération!$D$2</f>
        <v>3.1135103999999997E-5</v>
      </c>
      <c r="F69">
        <f>'Transpo perseq'!I69*Pondération!$D$12</f>
        <v>5.3145599999999996E-6</v>
      </c>
      <c r="G69">
        <f>'Transpo perseq'!M69*Pondération!$D$15</f>
        <v>6.1823999999999998E-8</v>
      </c>
      <c r="H69">
        <f>'Transpo perseq'!N69*Pondération!$D$14</f>
        <v>5.3043199999999999E-6</v>
      </c>
      <c r="I69">
        <f>'Transpo perseq'!O69*Pondération!$D$16</f>
        <v>8.1323199999999998E-6</v>
      </c>
      <c r="J69">
        <f>'Transpo perseq'!P69*Pondération!$D$4</f>
        <v>3.012672E-7</v>
      </c>
      <c r="K69">
        <f>'Transpo perseq'!T69*Pondération!$D$5</f>
        <v>1.0619687298773204E-6</v>
      </c>
      <c r="L69">
        <f>'Transpo perseq'!X69*Pondération!$D$7</f>
        <v>5.0297175074471782E-8</v>
      </c>
      <c r="M69">
        <f>'Transpo perseq'!Y69*Pondération!$D$13</f>
        <v>5.2992628791598869E-7</v>
      </c>
      <c r="N69">
        <f>'Transpo perseq'!Z69*Pondération!$D$3</f>
        <v>2.7742407977227714E-16</v>
      </c>
      <c r="O69">
        <f>'Transpo perseq'!AA69*Pondération!$D$6</f>
        <v>3.9967236622315804E-6</v>
      </c>
      <c r="P69">
        <f>'Transpo perseq'!AB69*Pondération!$D$8</f>
        <v>7.9415882290271219E-6</v>
      </c>
      <c r="Q69">
        <f>'Transpo perseq'!AC69*Pondération!$D$10</f>
        <v>2.0367327490177873E-5</v>
      </c>
      <c r="R69">
        <f>'Transpo perseq'!AD69*Pondération!$D$9</f>
        <v>1.261630701207653E-7</v>
      </c>
      <c r="S69">
        <f>'Transpo perseq'!AE69*Pondération!$D$11</f>
        <v>8.2263788558576565E-8</v>
      </c>
      <c r="T69">
        <f t="shared" si="1"/>
        <v>9.2391253633261112E-5</v>
      </c>
    </row>
    <row r="70" spans="1:20" x14ac:dyDescent="0.3">
      <c r="A70" t="s">
        <v>1</v>
      </c>
      <c r="B70" t="s">
        <v>24</v>
      </c>
      <c r="C70" t="s">
        <v>82</v>
      </c>
      <c r="D70">
        <f>'Transpo perseq'!D70*Pondération!$D$17</f>
        <v>1.6070399999999999E-6</v>
      </c>
      <c r="E70">
        <f>'Transpo perseq'!E70*Pondération!$D$2</f>
        <v>1.9004544000000001E-5</v>
      </c>
      <c r="F70">
        <f>'Transpo perseq'!I70*Pondération!$D$12</f>
        <v>4.2393599999999993E-6</v>
      </c>
      <c r="G70">
        <f>'Transpo perseq'!M70*Pondération!$D$15</f>
        <v>3.5078400000000007E-8</v>
      </c>
      <c r="H70">
        <f>'Transpo perseq'!N70*Pondération!$D$14</f>
        <v>7.1987200000000006E-7</v>
      </c>
      <c r="I70">
        <f>'Transpo perseq'!O70*Pondération!$D$16</f>
        <v>1.0150560000000001E-6</v>
      </c>
      <c r="J70">
        <f>'Transpo perseq'!P70*Pondération!$D$4</f>
        <v>2.4810239999999998E-7</v>
      </c>
      <c r="K70">
        <f>'Transpo perseq'!T70*Pondération!$D$5</f>
        <v>8.3231224708096578E-7</v>
      </c>
      <c r="L70">
        <f>'Transpo perseq'!X70*Pondération!$D$7</f>
        <v>3.9697876780615469E-7</v>
      </c>
      <c r="M70">
        <f>'Transpo perseq'!Y70*Pondération!$D$13</f>
        <v>5.0094749691232601E-8</v>
      </c>
      <c r="N70">
        <f>'Transpo perseq'!Z70*Pondération!$D$3</f>
        <v>1.257185239396941E-9</v>
      </c>
      <c r="O70">
        <f>'Transpo perseq'!AA70*Pondération!$D$6</f>
        <v>1.8277711477111582E-6</v>
      </c>
      <c r="P70">
        <f>'Transpo perseq'!AB70*Pondération!$D$8</f>
        <v>1.8681635631159959E-6</v>
      </c>
      <c r="Q70">
        <f>'Transpo perseq'!AC70*Pondération!$D$10</f>
        <v>1.7984728302027999E-5</v>
      </c>
      <c r="R70">
        <f>'Transpo perseq'!AD70*Pondération!$D$9</f>
        <v>1.5347749944655662E-6</v>
      </c>
      <c r="S70">
        <f>'Transpo perseq'!AE70*Pondération!$D$11</f>
        <v>9.4211001540413261E-7</v>
      </c>
      <c r="T70">
        <f t="shared" si="1"/>
        <v>5.230724377254259E-5</v>
      </c>
    </row>
    <row r="71" spans="1:20" x14ac:dyDescent="0.3">
      <c r="A71" t="s">
        <v>1</v>
      </c>
      <c r="B71" t="s">
        <v>24</v>
      </c>
      <c r="C71" t="s">
        <v>81</v>
      </c>
      <c r="D71">
        <f>'Transpo perseq'!D71*Pondération!$D$17</f>
        <v>6.9010940561059057E-7</v>
      </c>
      <c r="E71">
        <f>'Transpo perseq'!E71*Pondération!$D$2</f>
        <v>8.1376106205911526E-6</v>
      </c>
      <c r="F71">
        <f>'Transpo perseq'!I71*Pondération!$D$12</f>
        <v>1.8167757386351214E-6</v>
      </c>
      <c r="G71">
        <f>'Transpo perseq'!M71*Pondération!$D$15</f>
        <v>1.5040468683495093E-8</v>
      </c>
      <c r="H71">
        <f>'Transpo perseq'!N71*Pondération!$D$14</f>
        <v>3.0920610314254289E-7</v>
      </c>
      <c r="I71">
        <f>'Transpo perseq'!O71*Pondération!$D$16</f>
        <v>4.352267783788569E-7</v>
      </c>
      <c r="J71">
        <f>'Transpo perseq'!P71*Pondération!$D$4</f>
        <v>1.0638525533875329E-7</v>
      </c>
      <c r="K71">
        <f>'Transpo perseq'!T71*Pondération!$D$5</f>
        <v>3.5670524874898496E-7</v>
      </c>
      <c r="L71">
        <f>'Transpo perseq'!X71*Pondération!$D$7</f>
        <v>1.7013375763120924E-7</v>
      </c>
      <c r="M71">
        <f>'Transpo perseq'!Y71*Pondération!$D$13</f>
        <v>2.1469178439099649E-8</v>
      </c>
      <c r="N71">
        <f>'Transpo perseq'!Z71*Pondération!$D$3</f>
        <v>5.3879367402726092E-10</v>
      </c>
      <c r="O71">
        <f>'Transpo perseq'!AA71*Pondération!$D$6</f>
        <v>7.833304918762101E-7</v>
      </c>
      <c r="P71">
        <f>'Transpo perseq'!AB71*Pondération!$D$8</f>
        <v>8.0064152704971129E-7</v>
      </c>
      <c r="Q71">
        <f>'Transpo perseq'!AC71*Pondération!$D$10</f>
        <v>7.7077407008691284E-6</v>
      </c>
      <c r="R71">
        <f>'Transpo perseq'!AD71*Pondération!$D$9</f>
        <v>6.577607119138168E-7</v>
      </c>
      <c r="S71">
        <f>'Transpo perseq'!AE71*Pondération!$D$11</f>
        <v>4.0376143517320244E-7</v>
      </c>
      <c r="T71">
        <f t="shared" si="1"/>
        <v>2.2412436215755905E-5</v>
      </c>
    </row>
    <row r="72" spans="1:20" x14ac:dyDescent="0.3">
      <c r="A72" t="s">
        <v>1</v>
      </c>
      <c r="B72" t="s">
        <v>25</v>
      </c>
      <c r="C72" t="s">
        <v>79</v>
      </c>
      <c r="D72">
        <f>'Transpo perseq'!D72*Pondération!$D$17</f>
        <v>1.42848E-4</v>
      </c>
      <c r="E72">
        <f>'Transpo perseq'!E72*Pondération!$D$2</f>
        <v>1.330992E-3</v>
      </c>
      <c r="F72">
        <f>'Transpo perseq'!I72*Pondération!$D$12</f>
        <v>5.4067199999999996E-4</v>
      </c>
      <c r="G72">
        <f>'Transpo perseq'!M72*Pondération!$D$15</f>
        <v>5.9584000000000004E-6</v>
      </c>
      <c r="H72">
        <f>'Transpo perseq'!N72*Pondération!$D$14</f>
        <v>5.1148800000000001E-5</v>
      </c>
      <c r="I72">
        <f>'Transpo perseq'!O72*Pondération!$D$16</f>
        <v>7.1825599999999999E-5</v>
      </c>
      <c r="J72">
        <f>'Transpo perseq'!P72*Pondération!$D$4</f>
        <v>2.5014719999999998E-5</v>
      </c>
      <c r="K72">
        <f>'Transpo perseq'!T72*Pondération!$D$5</f>
        <v>1.086336E-4</v>
      </c>
      <c r="L72">
        <f>'Transpo perseq'!X72*Pondération!$D$7</f>
        <v>2.6212320000000001E-5</v>
      </c>
      <c r="M72">
        <f>'Transpo perseq'!Y72*Pondération!$D$13</f>
        <v>4.3193600000000003E-6</v>
      </c>
      <c r="N72">
        <f>'Transpo perseq'!Z72*Pondération!$D$3</f>
        <v>3.1285910504316484E-7</v>
      </c>
      <c r="O72">
        <f>'Transpo perseq'!AA72*Pondération!$D$6</f>
        <v>2.5518579354101513E-4</v>
      </c>
      <c r="P72">
        <f>'Transpo perseq'!AB72*Pondération!$D$8</f>
        <v>1.2652146792276747E-4</v>
      </c>
      <c r="Q72">
        <f>'Transpo perseq'!AC72*Pondération!$D$10</f>
        <v>1.470869384625292E-3</v>
      </c>
      <c r="R72">
        <f>'Transpo perseq'!AD72*Pondération!$D$9</f>
        <v>3.7050597769225504E-4</v>
      </c>
      <c r="S72">
        <f>'Transpo perseq'!AE72*Pondération!$D$11</f>
        <v>1.1304878932028071E-4</v>
      </c>
      <c r="T72">
        <f t="shared" si="1"/>
        <v>4.6440690722066537E-3</v>
      </c>
    </row>
    <row r="73" spans="1:20" x14ac:dyDescent="0.3">
      <c r="A73" t="s">
        <v>1</v>
      </c>
      <c r="B73" t="s">
        <v>25</v>
      </c>
      <c r="C73" t="s">
        <v>56</v>
      </c>
      <c r="D73">
        <f>'Transpo perseq'!D73*Pondération!$D$17</f>
        <v>5.2774400000000001E-5</v>
      </c>
      <c r="E73">
        <f>'Transpo perseq'!E73*Pondération!$D$2</f>
        <v>2.1127392000000003E-4</v>
      </c>
      <c r="F73">
        <f>'Transpo perseq'!I73*Pondération!$D$12</f>
        <v>3.8707199999999994E-5</v>
      </c>
      <c r="G73">
        <f>'Transpo perseq'!M73*Pondération!$D$15</f>
        <v>6.6303999999999994E-5</v>
      </c>
      <c r="H73">
        <f>'Transpo perseq'!N73*Pondération!$D$14</f>
        <v>1.6339200000000001E-5</v>
      </c>
      <c r="I73">
        <f>'Transpo perseq'!O73*Pondération!$D$16</f>
        <v>2.1132159999999998E-5</v>
      </c>
      <c r="J73">
        <f>'Transpo perseq'!P73*Pondération!$D$4</f>
        <v>3.88512E-6</v>
      </c>
      <c r="K73">
        <f>'Transpo perseq'!T73*Pondération!$D$5</f>
        <v>7.4188799999999997E-6</v>
      </c>
      <c r="L73">
        <f>'Transpo perseq'!X73*Pondération!$D$7</f>
        <v>2.1162240000000002E-5</v>
      </c>
      <c r="M73">
        <f>'Transpo perseq'!Y73*Pondération!$D$13</f>
        <v>1.4101439999999999E-4</v>
      </c>
      <c r="N73">
        <f>'Transpo perseq'!Z73*Pondération!$D$3</f>
        <v>8.9337031392782791E-7</v>
      </c>
      <c r="O73">
        <f>'Transpo perseq'!AA73*Pondération!$D$6</f>
        <v>1.3403669923208269E-4</v>
      </c>
      <c r="P73">
        <f>'Transpo perseq'!AB73*Pondération!$D$8</f>
        <v>3.4232532507581406E-5</v>
      </c>
      <c r="Q73">
        <f>'Transpo perseq'!AC73*Pondération!$D$10</f>
        <v>1.3149537907637888E-4</v>
      </c>
      <c r="R73">
        <f>'Transpo perseq'!AD73*Pondération!$D$9</f>
        <v>1.1461243536329216E-5</v>
      </c>
      <c r="S73">
        <f>'Transpo perseq'!AE73*Pondération!$D$11</f>
        <v>1.0447049612964176E-2</v>
      </c>
      <c r="T73">
        <f t="shared" si="1"/>
        <v>1.1339180357630476E-2</v>
      </c>
    </row>
    <row r="74" spans="1:20" x14ac:dyDescent="0.3">
      <c r="A74" t="s">
        <v>1</v>
      </c>
      <c r="B74" t="s">
        <v>25</v>
      </c>
      <c r="C74" t="s">
        <v>80</v>
      </c>
      <c r="D74">
        <f>'Transpo perseq'!D74*Pondération!$D$17</f>
        <v>4.07712E-3</v>
      </c>
      <c r="E74">
        <f>'Transpo perseq'!E74*Pondération!$D$2</f>
        <v>3.841344E-3</v>
      </c>
      <c r="F74">
        <f>'Transpo perseq'!I74*Pondération!$D$12</f>
        <v>4.0857599999999996E-4</v>
      </c>
      <c r="G74">
        <f>'Transpo perseq'!M74*Pondération!$D$15</f>
        <v>6.3615999999999998E-4</v>
      </c>
      <c r="H74">
        <f>'Transpo perseq'!N74*Pondération!$D$14</f>
        <v>1.1034880000000001E-3</v>
      </c>
      <c r="I74">
        <f>'Transpo perseq'!O74*Pondération!$D$16</f>
        <v>3.3953920000000001E-3</v>
      </c>
      <c r="J74">
        <f>'Transpo perseq'!P74*Pondération!$D$4</f>
        <v>2.167488E-5</v>
      </c>
      <c r="K74">
        <f>'Transpo perseq'!T74*Pondération!$D$5</f>
        <v>7.7427200000000003E-5</v>
      </c>
      <c r="L74">
        <f>'Transpo perseq'!X74*Pondération!$D$7</f>
        <v>3.3346560000000001E-5</v>
      </c>
      <c r="M74">
        <f>'Transpo perseq'!Y74*Pondération!$D$13</f>
        <v>1.6769280000000001E-3</v>
      </c>
      <c r="N74">
        <f>'Transpo perseq'!Z74*Pondération!$D$3</f>
        <v>2.2421424048154435E-6</v>
      </c>
      <c r="O74">
        <f>'Transpo perseq'!AA74*Pondération!$D$6</f>
        <v>3.8261196381601174E-3</v>
      </c>
      <c r="P74">
        <f>'Transpo perseq'!AB74*Pondération!$D$8</f>
        <v>1.7605320468572742E-4</v>
      </c>
      <c r="Q74">
        <f>'Transpo perseq'!AC74*Pondération!$D$10</f>
        <v>3.1053445026225088E-4</v>
      </c>
      <c r="R74">
        <f>'Transpo perseq'!AD74*Pondération!$D$9</f>
        <v>6.4409570389467699E-5</v>
      </c>
      <c r="S74">
        <f>'Transpo perseq'!AE74*Pondération!$D$11</f>
        <v>1.4090060605394101E-2</v>
      </c>
      <c r="T74">
        <f t="shared" si="1"/>
        <v>3.374087625129648E-2</v>
      </c>
    </row>
    <row r="75" spans="1:20" x14ac:dyDescent="0.3">
      <c r="A75" t="s">
        <v>1</v>
      </c>
      <c r="B75" t="s">
        <v>25</v>
      </c>
      <c r="C75" t="s">
        <v>57</v>
      </c>
      <c r="D75">
        <f>'Transpo perseq'!D75*Pondération!$D$17</f>
        <v>3.3628799999999999E-5</v>
      </c>
      <c r="E75">
        <f>'Transpo perseq'!E75*Pondération!$D$2</f>
        <v>1.3107743999999998E-4</v>
      </c>
      <c r="F75">
        <f>'Transpo perseq'!I75*Pondération!$D$12</f>
        <v>2.2364159999999996E-5</v>
      </c>
      <c r="G75">
        <f>'Transpo perseq'!M75*Pondération!$D$15</f>
        <v>2.6028800000000001E-7</v>
      </c>
      <c r="H75">
        <f>'Transpo perseq'!N75*Pondération!$D$14</f>
        <v>2.2306560000000001E-5</v>
      </c>
      <c r="I75">
        <f>'Transpo perseq'!O75*Pondération!$D$16</f>
        <v>3.4191359999999996E-5</v>
      </c>
      <c r="J75">
        <f>'Transpo perseq'!P75*Pondération!$D$4</f>
        <v>1.2677759999999999E-6</v>
      </c>
      <c r="K75">
        <f>'Transpo perseq'!T75*Pondération!$D$5</f>
        <v>4.4748799999999996E-6</v>
      </c>
      <c r="L75">
        <f>'Transpo perseq'!X75*Pondération!$D$7</f>
        <v>2.1162239999999998E-7</v>
      </c>
      <c r="M75">
        <f>'Transpo perseq'!Y75*Pondération!$D$13</f>
        <v>2.2359040000000002E-6</v>
      </c>
      <c r="N75">
        <f>'Transpo perseq'!Z75*Pondération!$D$3</f>
        <v>1.1684267649461903E-15</v>
      </c>
      <c r="O75">
        <f>'Transpo perseq'!AA75*Pondération!$D$6</f>
        <v>1.6832997708340245E-5</v>
      </c>
      <c r="P75">
        <f>'Transpo perseq'!AB75*Pondération!$D$8</f>
        <v>3.3447580507768734E-5</v>
      </c>
      <c r="Q75">
        <f>'Transpo perseq'!AC75*Pondération!$D$10</f>
        <v>8.5781056170331391E-5</v>
      </c>
      <c r="R75">
        <f>'Transpo perseq'!AD75*Pondération!$D$9</f>
        <v>5.3136089699888005E-7</v>
      </c>
      <c r="S75">
        <f>'Transpo perseq'!AE75*Pondération!$D$11</f>
        <v>3.4647032952805975E-7</v>
      </c>
      <c r="T75">
        <f t="shared" si="1"/>
        <v>3.8895825601413568E-4</v>
      </c>
    </row>
    <row r="76" spans="1:20" x14ac:dyDescent="0.3">
      <c r="A76" t="s">
        <v>1</v>
      </c>
      <c r="B76" t="s">
        <v>25</v>
      </c>
      <c r="C76" t="s">
        <v>81</v>
      </c>
      <c r="D76">
        <f>'Transpo perseq'!D76*Pondération!$D$17</f>
        <v>5.7536000000000003E-6</v>
      </c>
      <c r="E76">
        <f>'Transpo perseq'!E76*Pondération!$D$2</f>
        <v>6.7728959999999999E-5</v>
      </c>
      <c r="F76">
        <f>'Transpo perseq'!I76*Pondération!$D$12</f>
        <v>1.5144959999999999E-5</v>
      </c>
      <c r="G76">
        <f>'Transpo perseq'!M76*Pondération!$D$15</f>
        <v>1.2544000000000002E-7</v>
      </c>
      <c r="H76">
        <f>'Transpo perseq'!N76*Pondération!$D$14</f>
        <v>2.576384E-6</v>
      </c>
      <c r="I76">
        <f>'Transpo perseq'!O76*Pondération!$D$16</f>
        <v>3.6268960000000003E-6</v>
      </c>
      <c r="J76">
        <f>'Transpo perseq'!P76*Pondération!$D$4</f>
        <v>8.8608000000000006E-7</v>
      </c>
      <c r="K76">
        <f>'Transpo perseq'!T76*Pondération!$D$5</f>
        <v>2.97344E-6</v>
      </c>
      <c r="L76">
        <f>'Transpo perseq'!X76*Pondération!$D$7</f>
        <v>1.4188319999999999E-6</v>
      </c>
      <c r="M76">
        <f>'Transpo perseq'!Y76*Pondération!$D$13</f>
        <v>1.7912640000000001E-7</v>
      </c>
      <c r="N76">
        <f>'Transpo perseq'!Z76*Pondération!$D$3</f>
        <v>4.4899472835605022E-9</v>
      </c>
      <c r="O76">
        <f>'Transpo perseq'!AA76*Pondération!$D$6</f>
        <v>6.5277540989684099E-6</v>
      </c>
      <c r="P76">
        <f>'Transpo perseq'!AB76*Pondération!$D$8</f>
        <v>6.6720127254142789E-6</v>
      </c>
      <c r="Q76">
        <f>'Transpo perseq'!AC76*Pondération!$D$10</f>
        <v>6.4231172507242691E-5</v>
      </c>
      <c r="R76">
        <f>'Transpo perseq'!AD76*Pondération!$D$9</f>
        <v>5.4813392659484702E-6</v>
      </c>
      <c r="S76">
        <f>'Transpo perseq'!AE76*Pondération!$D$11</f>
        <v>3.3646786264434395E-6</v>
      </c>
      <c r="T76">
        <f t="shared" si="1"/>
        <v>1.8669516557130085E-4</v>
      </c>
    </row>
    <row r="77" spans="1:20" x14ac:dyDescent="0.3">
      <c r="A77" t="s">
        <v>1</v>
      </c>
      <c r="B77" t="s">
        <v>26</v>
      </c>
      <c r="C77" t="s">
        <v>79</v>
      </c>
      <c r="D77">
        <f>'Transpo perseq'!D77*Pondération!$D$17</f>
        <v>1.3987200000000001E-4</v>
      </c>
      <c r="E77">
        <f>'Transpo perseq'!E77*Pondération!$D$2</f>
        <v>1.3040351999999999E-3</v>
      </c>
      <c r="F77">
        <f>'Transpo perseq'!I77*Pondération!$D$12</f>
        <v>5.3145599999999992E-4</v>
      </c>
      <c r="G77">
        <f>'Transpo perseq'!M77*Pondération!$D$15</f>
        <v>5.8239999999999996E-6</v>
      </c>
      <c r="H77">
        <f>'Transpo perseq'!N77*Pondération!$D$14</f>
        <v>5.0201600000000004E-5</v>
      </c>
      <c r="I77">
        <f>'Transpo perseq'!O77*Pondération!$D$16</f>
        <v>7.0638400000000011E-5</v>
      </c>
      <c r="J77">
        <f>'Transpo perseq'!P77*Pondération!$D$4</f>
        <v>2.4503519999999998E-5</v>
      </c>
      <c r="K77">
        <f>'Transpo perseq'!T77*Pondération!$D$5</f>
        <v>1.0665366675171926E-4</v>
      </c>
      <c r="L77">
        <f>'Transpo perseq'!X77*Pondération!$D$7</f>
        <v>2.5707915089248151E-5</v>
      </c>
      <c r="M77">
        <f>'Transpo perseq'!Y77*Pondération!$D$13</f>
        <v>4.2304715550792474E-6</v>
      </c>
      <c r="N77">
        <f>'Transpo perseq'!Z77*Pondération!$D$3</f>
        <v>3.0675278496769597E-7</v>
      </c>
      <c r="O77">
        <f>'Transpo perseq'!AA77*Pondération!$D$6</f>
        <v>2.5020512937316413E-4</v>
      </c>
      <c r="P77">
        <f>'Transpo perseq'!AB77*Pondération!$D$8</f>
        <v>1.2405204776813288E-4</v>
      </c>
      <c r="Q77">
        <f>'Transpo perseq'!AC77*Pondération!$D$10</f>
        <v>1.4421612565671568E-3</v>
      </c>
      <c r="R77">
        <f>'Transpo perseq'!AD77*Pondération!$D$9</f>
        <v>3.6327451773729766E-4</v>
      </c>
      <c r="S77">
        <f>'Transpo perseq'!AE77*Pondération!$D$11</f>
        <v>1.1084232615329584E-4</v>
      </c>
      <c r="T77">
        <f t="shared" si="1"/>
        <v>4.5539648037800622E-3</v>
      </c>
    </row>
    <row r="78" spans="1:20" x14ac:dyDescent="0.3">
      <c r="A78" t="s">
        <v>1</v>
      </c>
      <c r="B78" t="s">
        <v>26</v>
      </c>
      <c r="C78" t="s">
        <v>56</v>
      </c>
      <c r="D78">
        <f>'Transpo perseq'!D78*Pondération!$D$17</f>
        <v>5.8230399999999997E-5</v>
      </c>
      <c r="E78">
        <f>'Transpo perseq'!E78*Pondération!$D$2</f>
        <v>2.3317632000000003E-4</v>
      </c>
      <c r="F78">
        <f>'Transpo perseq'!I78*Pondération!$D$12</f>
        <v>4.2700799999999996E-5</v>
      </c>
      <c r="G78">
        <f>'Transpo perseq'!M78*Pondération!$D$15</f>
        <v>7.3472000000000004E-5</v>
      </c>
      <c r="H78">
        <f>'Transpo perseq'!N78*Pondération!$D$14</f>
        <v>1.79968E-5</v>
      </c>
      <c r="I78">
        <f>'Transpo perseq'!O78*Pondération!$D$16</f>
        <v>2.3328480000000001E-5</v>
      </c>
      <c r="J78">
        <f>'Transpo perseq'!P78*Pondération!$D$4</f>
        <v>4.2940799999999996E-6</v>
      </c>
      <c r="K78">
        <f>'Transpo perseq'!T78*Pondération!$D$5</f>
        <v>8.1807481780035172E-6</v>
      </c>
      <c r="L78">
        <f>'Transpo perseq'!X78*Pondération!$D$7</f>
        <v>2.3338103283838946E-5</v>
      </c>
      <c r="M78">
        <f>'Transpo perseq'!Y78*Pondération!$D$13</f>
        <v>1.5553016706460236E-4</v>
      </c>
      <c r="N78">
        <f>'Transpo perseq'!Z78*Pondération!$D$3</f>
        <v>9.857879326100164E-7</v>
      </c>
      <c r="O78">
        <f>'Transpo perseq'!AA78*Pondération!$D$6</f>
        <v>1.4790256466988441E-4</v>
      </c>
      <c r="P78">
        <f>'Transpo perseq'!AB78*Pondération!$D$8</f>
        <v>3.7773828973882979E-5</v>
      </c>
      <c r="Q78">
        <f>'Transpo perseq'!AC78*Pondération!$D$10</f>
        <v>1.4509834932566006E-4</v>
      </c>
      <c r="R78">
        <f>'Transpo perseq'!AD78*Pondération!$D$9</f>
        <v>1.2646889419397748E-5</v>
      </c>
      <c r="S78">
        <f>'Transpo perseq'!AE78*Pondération!$D$11</f>
        <v>1.152777888327082E-2</v>
      </c>
      <c r="T78">
        <f t="shared" si="1"/>
        <v>1.25124342021187E-2</v>
      </c>
    </row>
    <row r="79" spans="1:20" x14ac:dyDescent="0.3">
      <c r="A79" t="s">
        <v>1</v>
      </c>
      <c r="B79" t="s">
        <v>26</v>
      </c>
      <c r="C79" t="s">
        <v>80</v>
      </c>
      <c r="D79">
        <f>'Transpo perseq'!D79*Pondération!$D$17</f>
        <v>7.5788799999999996E-3</v>
      </c>
      <c r="E79">
        <f>'Transpo perseq'!E79*Pondération!$D$2</f>
        <v>7.1435520000000001E-3</v>
      </c>
      <c r="F79">
        <f>'Transpo perseq'!I79*Pondération!$D$12</f>
        <v>7.6185599999999988E-4</v>
      </c>
      <c r="G79">
        <f>'Transpo perseq'!M79*Pondération!$D$15</f>
        <v>1.18272E-3</v>
      </c>
      <c r="H79">
        <f>'Transpo perseq'!N79*Pondération!$D$14</f>
        <v>2.0506879999999997E-3</v>
      </c>
      <c r="I79">
        <f>'Transpo perseq'!O79*Pondération!$D$16</f>
        <v>6.2921600000000006E-3</v>
      </c>
      <c r="J79">
        <f>'Transpo perseq'!P79*Pondération!$D$4</f>
        <v>4.0214399999999999E-5</v>
      </c>
      <c r="K79">
        <f>'Transpo perseq'!T79*Pondération!$D$5</f>
        <v>1.4380737907940315E-4</v>
      </c>
      <c r="L79">
        <f>'Transpo perseq'!X79*Pondération!$D$7</f>
        <v>6.2043130087542344E-5</v>
      </c>
      <c r="M79">
        <f>'Transpo perseq'!Y79*Pondération!$D$13</f>
        <v>3.1312583231106967E-3</v>
      </c>
      <c r="N79">
        <f>'Transpo perseq'!Z79*Pondération!$D$3</f>
        <v>4.1720877659224119E-6</v>
      </c>
      <c r="O79">
        <f>'Transpo perseq'!AA79*Pondération!$D$6</f>
        <v>7.1194884406270463E-3</v>
      </c>
      <c r="P79">
        <f>'Transpo perseq'!AB79*Pondération!$D$8</f>
        <v>3.2759267201015052E-4</v>
      </c>
      <c r="Q79">
        <f>'Transpo perseq'!AC79*Pondération!$D$10</f>
        <v>5.7782992643735356E-4</v>
      </c>
      <c r="R79">
        <f>'Transpo perseq'!AD79*Pondération!$D$9</f>
        <v>1.1985071958546531E-4</v>
      </c>
      <c r="S79">
        <f>'Transpo perseq'!AE79*Pondération!$D$11</f>
        <v>2.621821403788523E-2</v>
      </c>
      <c r="T79">
        <f t="shared" si="1"/>
        <v>6.2754327116588807E-2</v>
      </c>
    </row>
    <row r="80" spans="1:20" x14ac:dyDescent="0.3">
      <c r="A80" t="s">
        <v>1</v>
      </c>
      <c r="B80" t="s">
        <v>26</v>
      </c>
      <c r="C80" t="s">
        <v>57</v>
      </c>
      <c r="D80">
        <f>'Transpo perseq'!D80*Pondération!$D$17</f>
        <v>4.0076800000000002E-5</v>
      </c>
      <c r="E80">
        <f>'Transpo perseq'!E80*Pondération!$D$2</f>
        <v>1.5634944000000002E-4</v>
      </c>
      <c r="F80">
        <f>'Transpo perseq'!I80*Pondération!$D$12</f>
        <v>2.6664959999999997E-5</v>
      </c>
      <c r="G80">
        <f>'Transpo perseq'!M80*Pondération!$D$15</f>
        <v>3.1046399999999999E-7</v>
      </c>
      <c r="H80">
        <f>'Transpo perseq'!N80*Pondération!$D$14</f>
        <v>2.6568960000000003E-5</v>
      </c>
      <c r="I80">
        <f>'Transpo perseq'!O80*Pondération!$D$16</f>
        <v>4.0720960000000003E-5</v>
      </c>
      <c r="J80">
        <f>'Transpo perseq'!P80*Pondération!$D$4</f>
        <v>1.5097439999999999E-6</v>
      </c>
      <c r="K80">
        <f>'Transpo perseq'!T80*Pondération!$D$5</f>
        <v>5.3290714954707199E-6</v>
      </c>
      <c r="L80">
        <f>'Transpo perseq'!X80*Pondération!$D$7</f>
        <v>2.5239654845866557E-7</v>
      </c>
      <c r="M80">
        <f>'Transpo perseq'!Y80*Pondération!$D$13</f>
        <v>2.6592262052385609E-6</v>
      </c>
      <c r="N80">
        <f>'Transpo perseq'!Z80*Pondération!$D$3</f>
        <v>1.3921433975202198E-15</v>
      </c>
      <c r="O80">
        <f>'Transpo perseq'!AA80*Pondération!$D$6</f>
        <v>2.0055982388607833E-5</v>
      </c>
      <c r="P80">
        <f>'Transpo perseq'!AB80*Pondération!$D$8</f>
        <v>3.9851730347053812E-5</v>
      </c>
      <c r="Q80">
        <f>'Transpo perseq'!AC80*Pondération!$D$10</f>
        <v>1.0220540521881738E-4</v>
      </c>
      <c r="R80">
        <f>'Transpo perseq'!AD80*Pondération!$D$9</f>
        <v>6.3309964017426018E-7</v>
      </c>
      <c r="S80">
        <f>'Transpo perseq'!AE80*Pondération!$D$11</f>
        <v>4.1280839857456194E-7</v>
      </c>
      <c r="T80">
        <f t="shared" si="1"/>
        <v>4.636010482437881E-4</v>
      </c>
    </row>
    <row r="81" spans="1:20" x14ac:dyDescent="0.3">
      <c r="A81" t="s">
        <v>1</v>
      </c>
      <c r="B81" t="s">
        <v>26</v>
      </c>
      <c r="C81" t="s">
        <v>82</v>
      </c>
      <c r="D81">
        <f>'Transpo perseq'!D81*Pondération!$D$17</f>
        <v>1.15072E-6</v>
      </c>
      <c r="E81">
        <f>'Transpo perseq'!E81*Pondération!$D$2</f>
        <v>1.3579488000000002E-5</v>
      </c>
      <c r="F81">
        <f>'Transpo perseq'!I81*Pondération!$D$12</f>
        <v>3.0289919999999999E-6</v>
      </c>
      <c r="G81">
        <f>'Transpo perseq'!M81*Pondération!$D$15</f>
        <v>2.5087999999999999E-8</v>
      </c>
      <c r="H81">
        <f>'Transpo perseq'!N81*Pondération!$D$14</f>
        <v>5.1622399999999995E-7</v>
      </c>
      <c r="I81">
        <f>'Transpo perseq'!O81*Pondération!$D$16</f>
        <v>7.2419199999999998E-7</v>
      </c>
      <c r="J81">
        <f>'Transpo perseq'!P81*Pondération!$D$4</f>
        <v>1.7721599999999999E-7</v>
      </c>
      <c r="K81">
        <f>'Transpo perseq'!T81*Pondération!$D$5</f>
        <v>5.945087479149769E-7</v>
      </c>
      <c r="L81">
        <f>'Transpo perseq'!X81*Pondération!$D$7</f>
        <v>2.8355626271868154E-7</v>
      </c>
      <c r="M81">
        <f>'Transpo perseq'!Y81*Pondération!$D$13</f>
        <v>3.578196406516612E-8</v>
      </c>
      <c r="N81">
        <f>'Transpo perseq'!Z81*Pondération!$D$3</f>
        <v>8.9798945671210037E-10</v>
      </c>
      <c r="O81">
        <f>'Transpo perseq'!AA81*Pondération!$D$6</f>
        <v>1.3055508197936835E-6</v>
      </c>
      <c r="P81">
        <f>'Transpo perseq'!AB81*Pondération!$D$8</f>
        <v>1.3344025450828575E-6</v>
      </c>
      <c r="Q81">
        <f>'Transpo perseq'!AC81*Pondération!$D$10</f>
        <v>1.2846234501448537E-5</v>
      </c>
      <c r="R81">
        <f>'Transpo perseq'!AD81*Pondération!$D$9</f>
        <v>1.096267853189694E-6</v>
      </c>
      <c r="S81">
        <f>'Transpo perseq'!AE81*Pondération!$D$11</f>
        <v>6.7293572528866347E-7</v>
      </c>
      <c r="T81">
        <f t="shared" si="1"/>
        <v>3.7372056408958973E-5</v>
      </c>
    </row>
    <row r="82" spans="1:20" x14ac:dyDescent="0.3">
      <c r="A82" t="s">
        <v>1</v>
      </c>
      <c r="B82" t="s">
        <v>26</v>
      </c>
      <c r="C82" t="s">
        <v>81</v>
      </c>
      <c r="D82">
        <f>'Transpo perseq'!D82*Pondération!$D$17</f>
        <v>1.84512E-6</v>
      </c>
      <c r="E82">
        <f>'Transpo perseq'!E82*Pondération!$D$2</f>
        <v>2.1700224000000002E-5</v>
      </c>
      <c r="F82">
        <f>'Transpo perseq'!I82*Pondération!$D$12</f>
        <v>4.8537599999999998E-6</v>
      </c>
      <c r="G82">
        <f>'Transpo perseq'!M82*Pondération!$D$15</f>
        <v>4.0096000000000004E-8</v>
      </c>
      <c r="H82">
        <f>'Transpo perseq'!N82*Pondération!$D$14</f>
        <v>8.2406400000000004E-7</v>
      </c>
      <c r="I82">
        <f>'Transpo perseq'!O82*Pondération!$D$16</f>
        <v>1.163456E-6</v>
      </c>
      <c r="J82">
        <f>'Transpo perseq'!P82*Pondération!$D$4</f>
        <v>2.8354559999999999E-7</v>
      </c>
      <c r="K82">
        <f>'Transpo perseq'!T82*Pondération!$D$5</f>
        <v>9.5121399666396186E-7</v>
      </c>
      <c r="L82">
        <f>'Transpo perseq'!X82*Pondération!$D$7</f>
        <v>4.5369002034989078E-7</v>
      </c>
      <c r="M82">
        <f>'Transpo perseq'!Y82*Pondération!$D$13</f>
        <v>5.7251142504266282E-8</v>
      </c>
      <c r="N82">
        <f>'Transpo perseq'!Z82*Pondération!$D$3</f>
        <v>1.4367831307393582E-9</v>
      </c>
      <c r="O82">
        <f>'Transpo perseq'!AA82*Pondération!$D$6</f>
        <v>2.0888813116698994E-6</v>
      </c>
      <c r="P82">
        <f>'Transpo perseq'!AB82*Pondération!$D$8</f>
        <v>2.1350440721325688E-6</v>
      </c>
      <c r="Q82">
        <f>'Transpo perseq'!AC82*Pondération!$D$10</f>
        <v>2.0553975202317636E-5</v>
      </c>
      <c r="R82">
        <f>'Transpo perseq'!AD82*Pondération!$D$9</f>
        <v>1.754028565103506E-6</v>
      </c>
      <c r="S82">
        <f>'Transpo perseq'!AE82*Pondération!$D$11</f>
        <v>1.0766971604617679E-6</v>
      </c>
      <c r="T82">
        <f t="shared" si="1"/>
        <v>5.9782483854334228E-5</v>
      </c>
    </row>
    <row r="83" spans="1:20" x14ac:dyDescent="0.3">
      <c r="A83" t="s">
        <v>1</v>
      </c>
      <c r="B83" t="s">
        <v>27</v>
      </c>
      <c r="C83" t="s">
        <v>79</v>
      </c>
      <c r="D83">
        <f>'Transpo perseq'!D83*Pondération!$D$17</f>
        <v>1.7888666274652591E-4</v>
      </c>
      <c r="E83">
        <f>'Transpo perseq'!E83*Pondération!$D$2</f>
        <v>1.6669240727317559E-3</v>
      </c>
      <c r="F83">
        <f>'Transpo perseq'!I83*Pondération!$D$12</f>
        <v>6.7834958464233982E-4</v>
      </c>
      <c r="G83">
        <f>'Transpo perseq'!M83*Pondération!$D$15</f>
        <v>7.4668866826185409E-6</v>
      </c>
      <c r="H83">
        <f>'Transpo perseq'!N83*Pondération!$D$14</f>
        <v>6.4340257739046845E-5</v>
      </c>
      <c r="I83">
        <f>'Transpo perseq'!O83*Pondération!$D$16</f>
        <v>9.0119686872159853E-5</v>
      </c>
      <c r="J83">
        <f>'Transpo perseq'!P83*Pondération!$D$4</f>
        <v>3.1323503983132488E-5</v>
      </c>
      <c r="K83">
        <f>'Transpo perseq'!T83*Pondération!$D$5</f>
        <v>1.3625193258328555E-4</v>
      </c>
      <c r="L83">
        <f>'Transpo perseq'!X83*Pondération!$D$7</f>
        <v>3.2842313070690535E-5</v>
      </c>
      <c r="M83">
        <f>'Transpo perseq'!Y83*Pondération!$D$13</f>
        <v>5.4045017173202122E-6</v>
      </c>
      <c r="N83">
        <f>'Transpo perseq'!Z83*Pondération!$D$3</f>
        <v>3.9188207072570975E-7</v>
      </c>
      <c r="O83">
        <f>'Transpo perseq'!AA83*Pondération!$D$6</f>
        <v>3.1964144747789579E-4</v>
      </c>
      <c r="P83">
        <f>'Transpo perseq'!AB83*Pondération!$D$8</f>
        <v>1.5847866992392543E-4</v>
      </c>
      <c r="Q83">
        <f>'Transpo perseq'!AC83*Pondération!$D$10</f>
        <v>1.8423863359657798E-3</v>
      </c>
      <c r="R83">
        <f>'Transpo perseq'!AD83*Pondération!$D$9</f>
        <v>4.640895771093578E-4</v>
      </c>
      <c r="S83">
        <f>'Transpo perseq'!AE83*Pondération!$D$11</f>
        <v>1.4160301854010204E-4</v>
      </c>
      <c r="T83">
        <f t="shared" si="1"/>
        <v>5.8185003338566618E-3</v>
      </c>
    </row>
    <row r="84" spans="1:20" x14ac:dyDescent="0.3">
      <c r="A84" t="s">
        <v>1</v>
      </c>
      <c r="B84" t="s">
        <v>27</v>
      </c>
      <c r="C84" t="s">
        <v>56</v>
      </c>
      <c r="D84">
        <f>'Transpo perseq'!D84*Pondération!$D$17</f>
        <v>5.8230399999999997E-5</v>
      </c>
      <c r="E84">
        <f>'Transpo perseq'!E84*Pondération!$D$2</f>
        <v>2.3317632000000003E-4</v>
      </c>
      <c r="F84">
        <f>'Transpo perseq'!I84*Pondération!$D$12</f>
        <v>4.2700799999999996E-5</v>
      </c>
      <c r="G84">
        <f>'Transpo perseq'!M84*Pondération!$D$15</f>
        <v>7.3472000000000004E-5</v>
      </c>
      <c r="H84">
        <f>'Transpo perseq'!N84*Pondération!$D$14</f>
        <v>1.79968E-5</v>
      </c>
      <c r="I84">
        <f>'Transpo perseq'!O84*Pondération!$D$16</f>
        <v>2.3328480000000001E-5</v>
      </c>
      <c r="J84">
        <f>'Transpo perseq'!P84*Pondération!$D$4</f>
        <v>4.2940799999999996E-6</v>
      </c>
      <c r="K84">
        <f>'Transpo perseq'!T84*Pondération!$D$5</f>
        <v>8.1807481780035172E-6</v>
      </c>
      <c r="L84">
        <f>'Transpo perseq'!X84*Pondération!$D$7</f>
        <v>2.3338103283838946E-5</v>
      </c>
      <c r="M84">
        <f>'Transpo perseq'!Y84*Pondération!$D$13</f>
        <v>1.5553016706460236E-4</v>
      </c>
      <c r="N84">
        <f>'Transpo perseq'!Z84*Pondération!$D$3</f>
        <v>9.857879326100164E-7</v>
      </c>
      <c r="O84">
        <f>'Transpo perseq'!AA84*Pondération!$D$6</f>
        <v>1.4790256466988441E-4</v>
      </c>
      <c r="P84">
        <f>'Transpo perseq'!AB84*Pondération!$D$8</f>
        <v>3.7773828973882979E-5</v>
      </c>
      <c r="Q84">
        <f>'Transpo perseq'!AC84*Pondération!$D$10</f>
        <v>1.4509834932566006E-4</v>
      </c>
      <c r="R84">
        <f>'Transpo perseq'!AD84*Pondération!$D$9</f>
        <v>1.2646889419397748E-5</v>
      </c>
      <c r="S84">
        <f>'Transpo perseq'!AE84*Pondération!$D$11</f>
        <v>1.152777888327082E-2</v>
      </c>
      <c r="T84">
        <f t="shared" si="1"/>
        <v>1.25124342021187E-2</v>
      </c>
    </row>
    <row r="85" spans="1:20" x14ac:dyDescent="0.3">
      <c r="A85" t="s">
        <v>1</v>
      </c>
      <c r="B85" t="s">
        <v>27</v>
      </c>
      <c r="C85" t="s">
        <v>80</v>
      </c>
      <c r="D85">
        <f>'Transpo perseq'!D85*Pondération!$D$17</f>
        <v>7.37056E-3</v>
      </c>
      <c r="E85">
        <f>'Transpo perseq'!E85*Pondération!$D$2</f>
        <v>6.9750719999999997E-3</v>
      </c>
      <c r="F85">
        <f>'Transpo perseq'!I85*Pondération!$D$12</f>
        <v>7.4342399999999991E-4</v>
      </c>
      <c r="G85">
        <f>'Transpo perseq'!M85*Pondération!$D$15</f>
        <v>1.1468800000000001E-3</v>
      </c>
      <c r="H85">
        <f>'Transpo perseq'!N85*Pondération!$D$14</f>
        <v>1.993856E-3</v>
      </c>
      <c r="I85">
        <f>'Transpo perseq'!O85*Pondération!$D$16</f>
        <v>6.11408E-3</v>
      </c>
      <c r="J85">
        <f>'Transpo perseq'!P85*Pondération!$D$4</f>
        <v>3.9192E-5</v>
      </c>
      <c r="K85">
        <f>'Transpo perseq'!T85*Pondération!$D$5</f>
        <v>1.3989425311805868E-4</v>
      </c>
      <c r="L85">
        <f>'Transpo perseq'!X85*Pondération!$D$7</f>
        <v>6.0354881649786121E-5</v>
      </c>
      <c r="M85">
        <f>'Transpo perseq'!Y85*Pondération!$D$13</f>
        <v>3.0460540149988427E-3</v>
      </c>
      <c r="N85">
        <f>'Transpo perseq'!Z85*Pondération!$D$3</f>
        <v>4.0585615682102343E-6</v>
      </c>
      <c r="O85">
        <f>'Transpo perseq'!AA85*Pondération!$D$6</f>
        <v>6.9257608640113438E-3</v>
      </c>
      <c r="P85">
        <f>'Transpo perseq'!AB85*Pondération!$D$8</f>
        <v>3.1867858569694903E-4</v>
      </c>
      <c r="Q85">
        <f>'Transpo perseq'!AC85*Pondération!$D$10</f>
        <v>5.62106663132935E-4</v>
      </c>
      <c r="R85">
        <f>'Transpo perseq'!AD85*Pondération!$D$9</f>
        <v>1.1658947551511251E-4</v>
      </c>
      <c r="S85">
        <f>'Transpo perseq'!AE85*Pondération!$D$11</f>
        <v>2.5504793247738668E-2</v>
      </c>
      <c r="T85">
        <f t="shared" si="1"/>
        <v>6.1061354547429912E-2</v>
      </c>
    </row>
    <row r="86" spans="1:20" x14ac:dyDescent="0.3">
      <c r="A86" t="s">
        <v>1</v>
      </c>
      <c r="B86" t="s">
        <v>27</v>
      </c>
      <c r="C86" t="s">
        <v>57</v>
      </c>
      <c r="D86">
        <f>'Transpo perseq'!D86*Pondération!$D$17</f>
        <v>4.3945600000000002E-5</v>
      </c>
      <c r="E86">
        <f>'Transpo perseq'!E86*Pondération!$D$2</f>
        <v>1.7117568000000002E-4</v>
      </c>
      <c r="F86">
        <f>'Transpo perseq'!I86*Pondération!$D$12</f>
        <v>2.9214719999999995E-5</v>
      </c>
      <c r="G86">
        <f>'Transpo perseq'!M86*Pondération!$D$15</f>
        <v>3.4048000000000004E-7</v>
      </c>
      <c r="H86">
        <f>'Transpo perseq'!N86*Pondération!$D$14</f>
        <v>2.9126400000000003E-5</v>
      </c>
      <c r="I86">
        <f>'Transpo perseq'!O86*Pondération!$D$16</f>
        <v>4.4698080000000004E-5</v>
      </c>
      <c r="J86">
        <f>'Transpo perseq'!P86*Pondération!$D$4</f>
        <v>1.656288E-6</v>
      </c>
      <c r="K86">
        <f>'Transpo perseq'!T86*Pondération!$D$5</f>
        <v>5.843786144492063E-6</v>
      </c>
      <c r="L86">
        <f>'Transpo perseq'!X86*Pondération!$D$7</f>
        <v>2.767745664613338E-7</v>
      </c>
      <c r="M86">
        <f>'Transpo perseq'!Y86*Pondération!$D$13</f>
        <v>2.9160707013315726E-6</v>
      </c>
      <c r="N86">
        <f>'Transpo perseq'!Z86*Pondération!$D$3</f>
        <v>1.5266052077719606E-15</v>
      </c>
      <c r="O86">
        <f>'Transpo perseq'!AA86*Pondération!$D$6</f>
        <v>2.1993113077266044E-5</v>
      </c>
      <c r="P86">
        <f>'Transpo perseq'!AB86*Pondération!$D$8</f>
        <v>4.3700856675328832E-5</v>
      </c>
      <c r="Q86">
        <f>'Transpo perseq'!AC86*Pondération!$D$10</f>
        <v>1.1207703469873651E-4</v>
      </c>
      <c r="R86">
        <f>'Transpo perseq'!AD86*Pondération!$D$9</f>
        <v>6.942483148288934E-7</v>
      </c>
      <c r="S86">
        <f>'Transpo perseq'!AE86*Pondération!$D$11</f>
        <v>4.5267998411547812E-7</v>
      </c>
      <c r="T86">
        <f t="shared" si="1"/>
        <v>5.0811181216408739E-4</v>
      </c>
    </row>
    <row r="87" spans="1:20" x14ac:dyDescent="0.3">
      <c r="A87" t="s">
        <v>1</v>
      </c>
      <c r="B87" t="s">
        <v>27</v>
      </c>
      <c r="C87" t="s">
        <v>82</v>
      </c>
      <c r="D87">
        <f>'Transpo perseq'!D87*Pondération!$D$17</f>
        <v>1.3788799999999999E-6</v>
      </c>
      <c r="E87">
        <f>'Transpo perseq'!E87*Pondération!$D$2</f>
        <v>1.6275168000000002E-5</v>
      </c>
      <c r="F87">
        <f>'Transpo perseq'!I87*Pondération!$D$12</f>
        <v>3.6249599999999998E-6</v>
      </c>
      <c r="G87">
        <f>'Transpo perseq'!M87*Pondération!$D$15</f>
        <v>3.0060800000000003E-8</v>
      </c>
      <c r="H87">
        <f>'Transpo perseq'!N87*Pondération!$D$14</f>
        <v>6.2041600000000004E-7</v>
      </c>
      <c r="I87">
        <f>'Transpo perseq'!O87*Pondération!$D$16</f>
        <v>8.7259200000000001E-7</v>
      </c>
      <c r="J87">
        <f>'Transpo perseq'!P87*Pondération!$D$4</f>
        <v>2.1265919999999998E-7</v>
      </c>
      <c r="K87">
        <f>'Transpo perseq'!T87*Pondération!$D$5</f>
        <v>7.1341049749796991E-7</v>
      </c>
      <c r="L87">
        <f>'Transpo perseq'!X87*Pondération!$D$7</f>
        <v>3.4026751526241848E-7</v>
      </c>
      <c r="M87">
        <f>'Transpo perseq'!Y87*Pondération!$D$13</f>
        <v>4.2938356878199423E-8</v>
      </c>
      <c r="N87">
        <f>'Transpo perseq'!Z87*Pondération!$D$3</f>
        <v>1.0775873480545237E-9</v>
      </c>
      <c r="O87">
        <f>'Transpo perseq'!AA87*Pondération!$D$6</f>
        <v>1.5666609837524172E-6</v>
      </c>
      <c r="P87">
        <f>'Transpo perseq'!AB87*Pondération!$D$8</f>
        <v>1.6012830540994304E-6</v>
      </c>
      <c r="Q87">
        <f>'Transpo perseq'!AC87*Pondération!$D$10</f>
        <v>1.541548140173823E-5</v>
      </c>
      <c r="R87">
        <f>'Transpo perseq'!AD87*Pondération!$D$9</f>
        <v>1.3155214238276385E-6</v>
      </c>
      <c r="S87">
        <f>'Transpo perseq'!AE87*Pondération!$D$11</f>
        <v>8.0752287034640487E-7</v>
      </c>
      <c r="T87">
        <f t="shared" si="1"/>
        <v>4.4818899690750763E-5</v>
      </c>
    </row>
    <row r="88" spans="1:20" x14ac:dyDescent="0.3">
      <c r="A88" t="s">
        <v>1</v>
      </c>
      <c r="B88" t="s">
        <v>27</v>
      </c>
      <c r="C88" t="s">
        <v>81</v>
      </c>
      <c r="D88">
        <f>'Transpo perseq'!D88*Pondération!$D$17</f>
        <v>5.0592000000000006E-6</v>
      </c>
      <c r="E88">
        <f>'Transpo perseq'!E88*Pondération!$D$2</f>
        <v>5.9641920000000004E-5</v>
      </c>
      <c r="F88">
        <f>'Transpo perseq'!I88*Pondération!$D$12</f>
        <v>1.3332479999999998E-5</v>
      </c>
      <c r="G88">
        <f>'Transpo perseq'!M88*Pondération!$D$15</f>
        <v>1.10208E-7</v>
      </c>
      <c r="H88">
        <f>'Transpo perseq'!N88*Pondération!$D$14</f>
        <v>2.2685439999999999E-6</v>
      </c>
      <c r="I88">
        <f>'Transpo perseq'!O88*Pondération!$D$16</f>
        <v>3.1935680000000002E-6</v>
      </c>
      <c r="J88">
        <f>'Transpo perseq'!P88*Pondération!$D$4</f>
        <v>7.8043200000000001E-7</v>
      </c>
      <c r="K88">
        <f>'Transpo perseq'!T88*Pondération!$D$5</f>
        <v>2.6158384908258936E-6</v>
      </c>
      <c r="L88">
        <f>'Transpo perseq'!X88*Pondération!$D$7</f>
        <v>1.2476475559621985E-6</v>
      </c>
      <c r="M88">
        <f>'Transpo perseq'!Y88*Pondération!$D$13</f>
        <v>1.5744064188673058E-7</v>
      </c>
      <c r="N88">
        <f>'Transpo perseq'!Z88*Pondération!$D$3</f>
        <v>3.9511536095332395E-9</v>
      </c>
      <c r="O88">
        <f>'Transpo perseq'!AA88*Pondération!$D$6</f>
        <v>5.7444236070922014E-6</v>
      </c>
      <c r="P88">
        <f>'Transpo perseq'!AB88*Pondération!$D$8</f>
        <v>5.8713711983645682E-6</v>
      </c>
      <c r="Q88">
        <f>'Transpo perseq'!AC88*Pondération!$D$10</f>
        <v>5.6523431806373644E-5</v>
      </c>
      <c r="R88">
        <f>'Transpo perseq'!AD88*Pondération!$D$9</f>
        <v>4.8235785540346502E-6</v>
      </c>
      <c r="S88">
        <f>'Transpo perseq'!AE88*Pondération!$D$11</f>
        <v>2.9609171912698614E-6</v>
      </c>
      <c r="T88">
        <f t="shared" si="1"/>
        <v>1.6433495219941928E-4</v>
      </c>
    </row>
    <row r="89" spans="1:20" x14ac:dyDescent="0.3">
      <c r="A89" t="s">
        <v>1</v>
      </c>
      <c r="B89" t="s">
        <v>28</v>
      </c>
      <c r="C89" t="s">
        <v>83</v>
      </c>
      <c r="D89">
        <f>'Transpo perseq'!D89*Pondération!$D$17</f>
        <v>3.0751999999999998E-6</v>
      </c>
      <c r="E89">
        <f>'Transpo perseq'!E89*Pondération!$D$2</f>
        <v>2.7158976000000003E-5</v>
      </c>
      <c r="F89">
        <f>'Transpo perseq'!I89*Pondération!$D$12</f>
        <v>7.9871999999999999E-7</v>
      </c>
      <c r="G89">
        <f>'Transpo perseq'!M89*Pondération!$D$15</f>
        <v>7.4816000000000003E-9</v>
      </c>
      <c r="H89">
        <f>'Transpo perseq'!N89*Pondération!$D$14</f>
        <v>9.5667200000000016E-7</v>
      </c>
      <c r="I89">
        <f>'Transpo perseq'!O89*Pondération!$D$16</f>
        <v>1.3949599999999999E-6</v>
      </c>
      <c r="J89">
        <f>'Transpo perseq'!P89*Pondération!$D$4</f>
        <v>1.1348639999999998E-7</v>
      </c>
      <c r="K89">
        <f>'Transpo perseq'!T89*Pondération!$D$5</f>
        <v>8.944543365617473E-7</v>
      </c>
      <c r="L89">
        <f>'Transpo perseq'!X89*Pondération!$D$7</f>
        <v>4.1072256004875213E-7</v>
      </c>
      <c r="M89">
        <f>'Transpo perseq'!Y89*Pondération!$D$13</f>
        <v>5.4431813939118806E-8</v>
      </c>
      <c r="N89">
        <f>'Transpo perseq'!Z89*Pondération!$D$3</f>
        <v>1.0309040481648375E-15</v>
      </c>
      <c r="O89">
        <f>'Transpo perseq'!AA89*Pondération!$D$6</f>
        <v>5.0721622021711297E-6</v>
      </c>
      <c r="P89">
        <f>'Transpo perseq'!AB89*Pondération!$D$8</f>
        <v>2.4892496777199119E-6</v>
      </c>
      <c r="Q89">
        <f>'Transpo perseq'!AC89*Pondération!$D$10</f>
        <v>1.4654480990254774E-5</v>
      </c>
      <c r="R89">
        <f>'Transpo perseq'!AD89*Pondération!$D$9</f>
        <v>4.1901765563169003E-7</v>
      </c>
      <c r="S89">
        <f>'Transpo perseq'!AE89*Pondération!$D$11</f>
        <v>2.6194297070829984E-6</v>
      </c>
      <c r="T89">
        <f t="shared" si="1"/>
        <v>6.0119444944441031E-5</v>
      </c>
    </row>
    <row r="90" spans="1:20" x14ac:dyDescent="0.3">
      <c r="A90" t="s">
        <v>1</v>
      </c>
      <c r="B90" t="s">
        <v>28</v>
      </c>
      <c r="C90" t="s">
        <v>70</v>
      </c>
      <c r="D90">
        <f>'Transpo perseq'!D90*Pondération!$D$17</f>
        <v>1.11104E-4</v>
      </c>
      <c r="E90">
        <f>'Transpo perseq'!E90*Pondération!$D$2</f>
        <v>5.8294080000000005E-4</v>
      </c>
      <c r="F90">
        <f>'Transpo perseq'!I90*Pondération!$D$12</f>
        <v>4.577279999999999E-5</v>
      </c>
      <c r="G90">
        <f>'Transpo perseq'!M90*Pondération!$D$15</f>
        <v>1.5097600000000001E-6</v>
      </c>
      <c r="H90">
        <f>'Transpo perseq'!N90*Pondération!$D$14</f>
        <v>2.3869440000000002E-5</v>
      </c>
      <c r="I90">
        <f>'Transpo perseq'!O90*Pondération!$D$16</f>
        <v>3.5972160000000005E-5</v>
      </c>
      <c r="J90">
        <f>'Transpo perseq'!P90*Pondération!$D$4</f>
        <v>1.2677760000000001E-5</v>
      </c>
      <c r="K90">
        <f>'Transpo perseq'!T90*Pondération!$D$5</f>
        <v>1.920569325336238E-5</v>
      </c>
      <c r="L90">
        <f>'Transpo perseq'!X90*Pondération!$D$7</f>
        <v>4.3742803137623114E-5</v>
      </c>
      <c r="M90">
        <f>'Transpo perseq'!Y90*Pondération!$D$13</f>
        <v>4.1235165370359055E-6</v>
      </c>
      <c r="N90">
        <f>'Transpo perseq'!Z90*Pondération!$D$3</f>
        <v>2.6780093315004484E-7</v>
      </c>
      <c r="O90">
        <f>'Transpo perseq'!AA90*Pondération!$D$6</f>
        <v>1.5585872177319342E-4</v>
      </c>
      <c r="P90">
        <f>'Transpo perseq'!AB90*Pondération!$D$8</f>
        <v>5.7085253917749822E-5</v>
      </c>
      <c r="Q90">
        <f>'Transpo perseq'!AC90*Pondération!$D$10</f>
        <v>3.9258448268813498E-4</v>
      </c>
      <c r="R90">
        <f>'Transpo perseq'!AD90*Pondération!$D$9</f>
        <v>3.8609088546095961E-4</v>
      </c>
      <c r="S90">
        <f>'Transpo perseq'!AE90*Pondération!$D$11</f>
        <v>5.794599250813071E-5</v>
      </c>
      <c r="T90">
        <f t="shared" si="1"/>
        <v>1.9307518702093402E-3</v>
      </c>
    </row>
    <row r="91" spans="1:20" x14ac:dyDescent="0.3">
      <c r="A91" t="s">
        <v>1</v>
      </c>
      <c r="B91" t="s">
        <v>28</v>
      </c>
      <c r="C91" t="s">
        <v>72</v>
      </c>
      <c r="D91">
        <f>'Transpo perseq'!D91*Pondération!$D$17</f>
        <v>1.7260800000000001E-4</v>
      </c>
      <c r="E91">
        <f>'Transpo perseq'!E91*Pondération!$D$2</f>
        <v>9.0979200000000009E-4</v>
      </c>
      <c r="F91">
        <f>'Transpo perseq'!I91*Pondération!$D$12</f>
        <v>6.3283199999999997E-5</v>
      </c>
      <c r="G91">
        <f>'Transpo perseq'!M91*Pondération!$D$15</f>
        <v>2.57152E-7</v>
      </c>
      <c r="H91">
        <f>'Transpo perseq'!N91*Pondération!$D$14</f>
        <v>3.3625600000000005E-5</v>
      </c>
      <c r="I91">
        <f>'Transpo perseq'!O91*Pondération!$D$16</f>
        <v>5.0752800000000006E-5</v>
      </c>
      <c r="J91">
        <f>'Transpo perseq'!P91*Pondération!$D$4</f>
        <v>2.1402239999999999E-5</v>
      </c>
      <c r="K91">
        <f>'Transpo perseq'!T91*Pondération!$D$5</f>
        <v>2.9493134926178124E-5</v>
      </c>
      <c r="L91">
        <f>'Transpo perseq'!X91*Pondération!$D$7</f>
        <v>5.807740210395493E-5</v>
      </c>
      <c r="M91">
        <f>'Transpo perseq'!Y91*Pondération!$D$13</f>
        <v>3.3434894298483991E-6</v>
      </c>
      <c r="N91">
        <f>'Transpo perseq'!Z91*Pondération!$D$3</f>
        <v>1.2879822117267214E-12</v>
      </c>
      <c r="O91">
        <f>'Transpo perseq'!AA91*Pondération!$D$6</f>
        <v>2.6508056628576053E-4</v>
      </c>
      <c r="P91">
        <f>'Transpo perseq'!AB91*Pondération!$D$8</f>
        <v>8.0568150989001933E-5</v>
      </c>
      <c r="Q91">
        <f>'Transpo perseq'!AC91*Pondération!$D$10</f>
        <v>5.5076706376492365E-4</v>
      </c>
      <c r="R91">
        <f>'Transpo perseq'!AD91*Pondération!$D$9</f>
        <v>6.4390737242617037E-5</v>
      </c>
      <c r="S91">
        <f>'Transpo perseq'!AE91*Pondération!$D$11</f>
        <v>3.8533389552042518E-5</v>
      </c>
      <c r="T91">
        <f t="shared" si="1"/>
        <v>2.3419749275823093E-3</v>
      </c>
    </row>
    <row r="92" spans="1:20" x14ac:dyDescent="0.3">
      <c r="A92" t="s">
        <v>1</v>
      </c>
      <c r="B92" t="s">
        <v>28</v>
      </c>
      <c r="C92" t="s">
        <v>58</v>
      </c>
      <c r="D92">
        <f>'Transpo perseq'!D92*Pondération!$D$17</f>
        <v>2.1228799999999999E-6</v>
      </c>
      <c r="E92">
        <f>'Transpo perseq'!E92*Pondération!$D$2</f>
        <v>1.8768672000000002E-5</v>
      </c>
      <c r="F92">
        <f>'Transpo perseq'!I92*Pondération!$D$12</f>
        <v>5.4988800000000001E-7</v>
      </c>
      <c r="G92">
        <f>'Transpo perseq'!M92*Pondération!$D$15</f>
        <v>5.1968000000000001E-9</v>
      </c>
      <c r="H92">
        <f>'Transpo perseq'!N92*Pondération!$D$14</f>
        <v>6.6303999999999999E-7</v>
      </c>
      <c r="I92">
        <f>'Transpo perseq'!O92*Pondération!$D$16</f>
        <v>9.6756800000000003E-7</v>
      </c>
      <c r="J92">
        <f>'Transpo perseq'!P92*Pondération!$D$4</f>
        <v>7.8383999999999996E-8</v>
      </c>
      <c r="K92">
        <f>'Transpo perseq'!T92*Pondération!$D$5</f>
        <v>6.1792158130909469E-7</v>
      </c>
      <c r="L92">
        <f>'Transpo perseq'!X92*Pondération!$D$7</f>
        <v>2.8374207984749743E-7</v>
      </c>
      <c r="M92">
        <f>'Transpo perseq'!Y92*Pondération!$D$13</f>
        <v>3.7603476407831901E-8</v>
      </c>
      <c r="N92">
        <f>'Transpo perseq'!Z92*Pondération!$D$3</f>
        <v>7.1218600389220408E-16</v>
      </c>
      <c r="O92">
        <f>'Transpo perseq'!AA92*Pondération!$D$6</f>
        <v>3.5040340915217184E-6</v>
      </c>
      <c r="P92">
        <f>'Transpo perseq'!AB92*Pondération!$D$8</f>
        <v>1.7196641955390131E-6</v>
      </c>
      <c r="Q92">
        <f>'Transpo perseq'!AC92*Pondération!$D$10</f>
        <v>1.0123848358285822E-5</v>
      </c>
      <c r="R92">
        <f>'Transpo perseq'!AD92*Pondération!$D$9</f>
        <v>2.8947263351603082E-7</v>
      </c>
      <c r="S92">
        <f>'Transpo perseq'!AE92*Pondération!$D$11</f>
        <v>1.8095972936422651E-6</v>
      </c>
      <c r="T92">
        <f t="shared" si="1"/>
        <v>4.1541512510781462E-5</v>
      </c>
    </row>
    <row r="93" spans="1:20" x14ac:dyDescent="0.3">
      <c r="A93" t="s">
        <v>1</v>
      </c>
      <c r="B93" t="s">
        <v>28</v>
      </c>
      <c r="C93" t="s">
        <v>84</v>
      </c>
      <c r="D93">
        <f>'Transpo perseq'!D93*Pondération!$D$17</f>
        <v>4.57312E-5</v>
      </c>
      <c r="E93">
        <f>'Transpo perseq'!E93*Pondération!$D$2</f>
        <v>1.482624E-4</v>
      </c>
      <c r="F93">
        <f>'Transpo perseq'!I93*Pondération!$D$12</f>
        <v>1.2165119999999999E-5</v>
      </c>
      <c r="G93">
        <f>'Transpo perseq'!M93*Pondération!$D$15</f>
        <v>1.1020800000000001E-6</v>
      </c>
      <c r="H93">
        <f>'Transpo perseq'!N93*Pondération!$D$14</f>
        <v>8.0038400000000006E-6</v>
      </c>
      <c r="I93">
        <f>'Transpo perseq'!O93*Pondération!$D$16</f>
        <v>1.199072E-5</v>
      </c>
      <c r="J93">
        <f>'Transpo perseq'!P93*Pondération!$D$4</f>
        <v>2.1947519999999999E-3</v>
      </c>
      <c r="K93">
        <f>'Transpo perseq'!T93*Pondération!$D$5</f>
        <v>9.2603899528551487E-6</v>
      </c>
      <c r="L93">
        <f>'Transpo perseq'!X93*Pondération!$D$7</f>
        <v>0</v>
      </c>
      <c r="M93">
        <f>'Transpo perseq'!Y93*Pondération!$D$13</f>
        <v>0</v>
      </c>
      <c r="N93">
        <f>'Transpo perseq'!Z93*Pondération!$D$3</f>
        <v>0</v>
      </c>
      <c r="O93">
        <f>'Transpo perseq'!AA93*Pondération!$D$6</f>
        <v>5.8735758741540102E-5</v>
      </c>
      <c r="P93">
        <f>'Transpo perseq'!AB93*Pondération!$D$8</f>
        <v>1.9081684279047862E-5</v>
      </c>
      <c r="Q93">
        <f>'Transpo perseq'!AC93*Pondération!$D$10</f>
        <v>1.9101985177183466E-4</v>
      </c>
      <c r="R93">
        <f>'Transpo perseq'!AD93*Pondération!$D$9</f>
        <v>7.1529821281634381E-7</v>
      </c>
      <c r="S93">
        <f>'Transpo perseq'!AE93*Pondération!$D$11</f>
        <v>5.431064730921817E-5</v>
      </c>
      <c r="T93">
        <f t="shared" si="1"/>
        <v>2.7551309902673119E-3</v>
      </c>
    </row>
    <row r="94" spans="1:20" x14ac:dyDescent="0.3">
      <c r="A94" t="s">
        <v>1</v>
      </c>
      <c r="B94" t="s">
        <v>28</v>
      </c>
      <c r="C94" t="s">
        <v>74</v>
      </c>
      <c r="D94">
        <f>'Transpo perseq'!D94*Pondération!$D$17</f>
        <v>8.6083190941467366E-7</v>
      </c>
      <c r="E94">
        <f>'Transpo perseq'!E94*Pondération!$D$2</f>
        <v>9.0822201237873454E-6</v>
      </c>
      <c r="F94">
        <f>'Transpo perseq'!I94*Pondération!$D$12</f>
        <v>3.9737304390316644E-6</v>
      </c>
      <c r="G94">
        <f>'Transpo perseq'!M94*Pondération!$D$15</f>
        <v>1.8489835962391046E-7</v>
      </c>
      <c r="H94">
        <f>'Transpo perseq'!N94*Pondération!$D$14</f>
        <v>3.4278113647624956E-7</v>
      </c>
      <c r="I94">
        <f>'Transpo perseq'!O94*Pondération!$D$16</f>
        <v>5.050389379785573E-7</v>
      </c>
      <c r="J94">
        <f>'Transpo perseq'!P94*Pondération!$D$4</f>
        <v>1.3208031278509511E-7</v>
      </c>
      <c r="K94">
        <f>'Transpo perseq'!T94*Pondération!$D$5</f>
        <v>6.9528792106790986E-7</v>
      </c>
      <c r="L94">
        <f>'Transpo perseq'!X94*Pondération!$D$7</f>
        <v>6.2985844345831674E-7</v>
      </c>
      <c r="M94">
        <f>'Transpo perseq'!Y94*Pondération!$D$13</f>
        <v>4.2146442580442958E-9</v>
      </c>
      <c r="N94">
        <f>'Transpo perseq'!Z94*Pondération!$D$3</f>
        <v>5.3380055265222082E-15</v>
      </c>
      <c r="O94">
        <f>'Transpo perseq'!AA94*Pondération!$D$6</f>
        <v>6.4530807155706714E-7</v>
      </c>
      <c r="P94">
        <f>'Transpo perseq'!AB94*Pondération!$D$8</f>
        <v>7.2288762118277646E-7</v>
      </c>
      <c r="Q94">
        <f>'Transpo perseq'!AC94*Pondération!$D$10</f>
        <v>7.5452170318594867E-6</v>
      </c>
      <c r="R94">
        <f>'Transpo perseq'!AD94*Pondération!$D$9</f>
        <v>-7.8347446092544388E-9</v>
      </c>
      <c r="S94">
        <f>'Transpo perseq'!AE94*Pondération!$D$11</f>
        <v>-1.3561079201414762E-7</v>
      </c>
      <c r="T94">
        <f t="shared" si="1"/>
        <v>2.5180909421195701E-5</v>
      </c>
    </row>
    <row r="95" spans="1:20" x14ac:dyDescent="0.3">
      <c r="A95" t="s">
        <v>1</v>
      </c>
      <c r="B95" t="s">
        <v>28</v>
      </c>
      <c r="C95" t="s">
        <v>79</v>
      </c>
      <c r="D95">
        <f>'Transpo perseq'!D95*Pondération!$D$17</f>
        <v>2.6234524325796621E-6</v>
      </c>
      <c r="E95">
        <f>'Transpo perseq'!E95*Pondération!$D$2</f>
        <v>2.4446182551519778E-5</v>
      </c>
      <c r="F95">
        <f>'Transpo perseq'!I95*Pondération!$D$12</f>
        <v>9.9482982165695996E-6</v>
      </c>
      <c r="G95">
        <f>'Transpo perseq'!M95*Pondération!$D$15</f>
        <v>1.0950521257735764E-7</v>
      </c>
      <c r="H95">
        <f>'Transpo perseq'!N95*Pondération!$D$14</f>
        <v>9.4357848196585709E-7</v>
      </c>
      <c r="I95">
        <f>'Transpo perseq'!O95*Pondération!$D$16</f>
        <v>1.3216452703524848E-6</v>
      </c>
      <c r="J95">
        <f>'Transpo perseq'!P95*Pondération!$D$4</f>
        <v>4.593731106600542E-7</v>
      </c>
      <c r="K95">
        <f>'Transpo perseq'!T95*Pondération!$D$5</f>
        <v>1.9981951616247197E-6</v>
      </c>
      <c r="L95">
        <f>'Transpo perseq'!X95*Pondération!$D$7</f>
        <v>4.8164712111003521E-7</v>
      </c>
      <c r="M95">
        <f>'Transpo perseq'!Y95*Pondération!$D$13</f>
        <v>7.9259420235676856E-8</v>
      </c>
      <c r="N95">
        <f>'Transpo perseq'!Z95*Pondération!$D$3</f>
        <v>5.7471247769123272E-9</v>
      </c>
      <c r="O95">
        <f>'Transpo perseq'!AA95*Pondération!$D$6</f>
        <v>4.687683922682235E-6</v>
      </c>
      <c r="P95">
        <f>'Transpo perseq'!AB95*Pondération!$D$8</f>
        <v>2.3241601455387835E-6</v>
      </c>
      <c r="Q95">
        <f>'Transpo perseq'!AC95*Pondération!$D$10</f>
        <v>2.7019414642944522E-5</v>
      </c>
      <c r="R95">
        <f>'Transpo perseq'!AD95*Pondération!$D$9</f>
        <v>6.8060799576074463E-6</v>
      </c>
      <c r="S95">
        <f>'Transpo perseq'!AE95*Pondération!$D$11</f>
        <v>2.0766712159867801E-6</v>
      </c>
      <c r="T95">
        <f t="shared" si="1"/>
        <v>8.5330893988731904E-5</v>
      </c>
    </row>
    <row r="96" spans="1:20" x14ac:dyDescent="0.3">
      <c r="A96" t="s">
        <v>1</v>
      </c>
      <c r="B96" t="s">
        <v>28</v>
      </c>
      <c r="C96" t="s">
        <v>78</v>
      </c>
      <c r="D96">
        <f>'Transpo perseq'!D96*Pondération!$D$17</f>
        <v>1.3002267531448739E-4</v>
      </c>
      <c r="E96">
        <f>'Transpo perseq'!E96*Pondération!$D$2</f>
        <v>1.1453811198223612E-3</v>
      </c>
      <c r="F96">
        <f>'Transpo perseq'!I96*Pondération!$D$12</f>
        <v>2.362077711312098E-4</v>
      </c>
      <c r="G96">
        <f>'Transpo perseq'!M96*Pondération!$D$15</f>
        <v>3.7741626233590093E-5</v>
      </c>
      <c r="H96">
        <f>'Transpo perseq'!N96*Pondération!$D$14</f>
        <v>4.1836733165203357E-5</v>
      </c>
      <c r="I96">
        <f>'Transpo perseq'!O96*Pondération!$D$16</f>
        <v>5.8058284784996121E-5</v>
      </c>
      <c r="J96">
        <f>'Transpo perseq'!P96*Pondération!$D$4</f>
        <v>2.1099850873704826E-5</v>
      </c>
      <c r="K96">
        <f>'Transpo perseq'!T96*Pondération!$D$5</f>
        <v>6.7260797456546262E-5</v>
      </c>
      <c r="L96">
        <f>'Transpo perseq'!X96*Pondération!$D$7</f>
        <v>1.9236711198582806E-4</v>
      </c>
      <c r="M96">
        <f>'Transpo perseq'!Y96*Pondération!$D$13</f>
        <v>6.8050991419455374E-6</v>
      </c>
      <c r="N96">
        <f>'Transpo perseq'!Z96*Pondération!$D$3</f>
        <v>6.3357930312008677E-7</v>
      </c>
      <c r="O96">
        <f>'Transpo perseq'!AA96*Pondération!$D$6</f>
        <v>1.5020943172980184E-4</v>
      </c>
      <c r="P96">
        <f>'Transpo perseq'!AB96*Pondération!$D$8</f>
        <v>1.2005529631969353E-4</v>
      </c>
      <c r="Q96">
        <f>'Transpo perseq'!AC96*Pondération!$D$10</f>
        <v>1.7187513349494826E-3</v>
      </c>
      <c r="R96">
        <f>'Transpo perseq'!AD96*Pondération!$D$9</f>
        <v>3.3999285877429962E-5</v>
      </c>
      <c r="S96">
        <f>'Transpo perseq'!AE96*Pondération!$D$11</f>
        <v>4.695492820429092E-4</v>
      </c>
      <c r="T96">
        <f t="shared" si="1"/>
        <v>4.4299792801323103E-3</v>
      </c>
    </row>
    <row r="97" spans="1:20" x14ac:dyDescent="0.3">
      <c r="A97" t="s">
        <v>1</v>
      </c>
      <c r="B97" t="s">
        <v>28</v>
      </c>
      <c r="C97" t="s">
        <v>59</v>
      </c>
      <c r="D97">
        <f>'Transpo perseq'!D97*Pondération!$D$17</f>
        <v>1.8235555918242663E-6</v>
      </c>
      <c r="E97">
        <f>'Transpo perseq'!E97*Pondération!$D$2</f>
        <v>1.7739413459253499E-5</v>
      </c>
      <c r="F97">
        <f>'Transpo perseq'!I97*Pondération!$D$12</f>
        <v>3.1861578807186735E-5</v>
      </c>
      <c r="G97">
        <f>'Transpo perseq'!M97*Pondération!$D$15</f>
        <v>4.1792711662350699E-7</v>
      </c>
      <c r="H97">
        <f>'Transpo perseq'!N97*Pondération!$D$14</f>
        <v>7.5631877791920714E-7</v>
      </c>
      <c r="I97">
        <f>'Transpo perseq'!O97*Pondération!$D$16</f>
        <v>9.1426765290061779E-7</v>
      </c>
      <c r="J97">
        <f>'Transpo perseq'!P97*Pondération!$D$4</f>
        <v>1.2266258805208021E-6</v>
      </c>
      <c r="K97">
        <f>'Transpo perseq'!T97*Pondération!$D$5</f>
        <v>7.839765281503648E-6</v>
      </c>
      <c r="L97">
        <f>'Transpo perseq'!X97*Pondération!$D$7</f>
        <v>2.1139046382133882E-6</v>
      </c>
      <c r="M97">
        <f>'Transpo perseq'!Y97*Pondération!$D$13</f>
        <v>8.199270294319666E-9</v>
      </c>
      <c r="N97">
        <f>'Transpo perseq'!Z97*Pondération!$D$3</f>
        <v>3.3055866364638243E-14</v>
      </c>
      <c r="O97">
        <f>'Transpo perseq'!AA97*Pondération!$D$6</f>
        <v>1.8853223503295284E-6</v>
      </c>
      <c r="P97">
        <f>'Transpo perseq'!AB97*Pondération!$D$8</f>
        <v>1.6432039074599957E-6</v>
      </c>
      <c r="Q97">
        <f>'Transpo perseq'!AC97*Pondération!$D$10</f>
        <v>1.6183665962342195E-5</v>
      </c>
      <c r="R97">
        <f>'Transpo perseq'!AD97*Pondération!$D$9</f>
        <v>3.98065389519104E-7</v>
      </c>
      <c r="S97">
        <f>'Transpo perseq'!AE97*Pondération!$D$11</f>
        <v>3.6607269377003055E-5</v>
      </c>
      <c r="T97">
        <f t="shared" si="1"/>
        <v>1.2141908349594975E-4</v>
      </c>
    </row>
    <row r="98" spans="1:20" x14ac:dyDescent="0.3">
      <c r="A98" t="s">
        <v>1</v>
      </c>
      <c r="B98" t="s">
        <v>28</v>
      </c>
      <c r="C98" t="s">
        <v>56</v>
      </c>
      <c r="D98">
        <f>'Transpo perseq'!D98*Pondération!$D$17</f>
        <v>1.734995401306507E-6</v>
      </c>
      <c r="E98">
        <f>'Transpo perseq'!E98*Pondération!$D$2</f>
        <v>6.6242922304731384E-6</v>
      </c>
      <c r="F98">
        <f>'Transpo perseq'!I98*Pondération!$D$12</f>
        <v>5.0326073266633422E-7</v>
      </c>
      <c r="G98">
        <f>'Transpo perseq'!M98*Pondération!$D$15</f>
        <v>3.958643724385939E-7</v>
      </c>
      <c r="H98">
        <f>'Transpo perseq'!N98*Pondération!$D$14</f>
        <v>8.5570602938946805E-7</v>
      </c>
      <c r="I98">
        <f>'Transpo perseq'!O98*Pondération!$D$16</f>
        <v>1.1916150156616542E-6</v>
      </c>
      <c r="J98">
        <f>'Transpo perseq'!P98*Pondération!$D$4</f>
        <v>1.3226117915781045E-7</v>
      </c>
      <c r="K98">
        <f>'Transpo perseq'!T98*Pondération!$D$5</f>
        <v>6.0144340371413303E-7</v>
      </c>
      <c r="L98">
        <f>'Transpo perseq'!X98*Pondération!$D$7</f>
        <v>-2.4521339308351104E-6</v>
      </c>
      <c r="M98">
        <f>'Transpo perseq'!Y98*Pondération!$D$13</f>
        <v>3.1785974820701707E-5</v>
      </c>
      <c r="N98">
        <f>'Transpo perseq'!Z98*Pondération!$D$3</f>
        <v>4.8697936932715371E-9</v>
      </c>
      <c r="O98">
        <f>'Transpo perseq'!AA98*Pondération!$D$6</f>
        <v>2.9629658752797714E-6</v>
      </c>
      <c r="P98">
        <f>'Transpo perseq'!AB98*Pondération!$D$8</f>
        <v>1.8823555390017306E-6</v>
      </c>
      <c r="Q98">
        <f>'Transpo perseq'!AC98*Pondération!$D$10</f>
        <v>-1.3065839969956113E-6</v>
      </c>
      <c r="R98">
        <f>'Transpo perseq'!AD98*Pondération!$D$9</f>
        <v>7.2100568574217531E-8</v>
      </c>
      <c r="S98">
        <f>'Transpo perseq'!AE98*Pondération!$D$11</f>
        <v>6.0922546878820953E-5</v>
      </c>
      <c r="T98">
        <f t="shared" si="1"/>
        <v>1.0591153391304856E-4</v>
      </c>
    </row>
    <row r="99" spans="1:20" x14ac:dyDescent="0.3">
      <c r="A99" t="s">
        <v>1</v>
      </c>
      <c r="B99" t="s">
        <v>28</v>
      </c>
      <c r="C99" t="s">
        <v>57</v>
      </c>
      <c r="D99">
        <f>'Transpo perseq'!D99*Pondération!$D$17</f>
        <v>1.3631270269217695E-5</v>
      </c>
      <c r="E99">
        <f>'Transpo perseq'!E99*Pondération!$D$2</f>
        <v>5.3165535910189262E-5</v>
      </c>
      <c r="F99">
        <f>'Transpo perseq'!I99*Pondération!$D$12</f>
        <v>9.071566195453869E-6</v>
      </c>
      <c r="G99">
        <f>'Transpo perseq'!M99*Pondération!$D$15</f>
        <v>1.056239816339931E-7</v>
      </c>
      <c r="H99">
        <f>'Transpo perseq'!N99*Pondération!$D$14</f>
        <v>9.0412996578091427E-6</v>
      </c>
      <c r="I99">
        <f>'Transpo perseq'!O99*Pondération!$D$16</f>
        <v>1.3867651930254673E-5</v>
      </c>
      <c r="J99">
        <f>'Transpo perseq'!P99*Pondération!$D$4</f>
        <v>5.1426890415020081E-7</v>
      </c>
      <c r="K99">
        <f>'Transpo perseq'!T99*Pondération!$D$5</f>
        <v>1.8136223442814486E-6</v>
      </c>
      <c r="L99">
        <f>'Transpo perseq'!X99*Pondération!$D$7</f>
        <v>8.5897143675629286E-8</v>
      </c>
      <c r="M99">
        <f>'Transpo perseq'!Y99*Pondération!$D$13</f>
        <v>9.0500419602523321E-7</v>
      </c>
      <c r="N99">
        <f>'Transpo perseq'!Z99*Pondération!$D$3</f>
        <v>4.7378279205532233E-16</v>
      </c>
      <c r="O99">
        <f>'Transpo perseq'!AA99*Pondération!$D$6</f>
        <v>6.8255751170554144E-6</v>
      </c>
      <c r="P99">
        <f>'Transpo perseq'!AB99*Pondération!$D$8</f>
        <v>1.3562585654391102E-5</v>
      </c>
      <c r="Q99">
        <f>'Transpo perseq'!AC99*Pondération!$D$10</f>
        <v>3.4783171283914924E-5</v>
      </c>
      <c r="R99">
        <f>'Transpo perseq'!AD99*Pondération!$D$9</f>
        <v>2.1546035825424078E-7</v>
      </c>
      <c r="S99">
        <f>'Transpo perseq'!AE99*Pondération!$D$11</f>
        <v>1.404894898104118E-7</v>
      </c>
      <c r="T99">
        <f t="shared" si="1"/>
        <v>1.5772902243659103E-4</v>
      </c>
    </row>
    <row r="100" spans="1:20" x14ac:dyDescent="0.3">
      <c r="A100" t="s">
        <v>1</v>
      </c>
      <c r="B100" t="s">
        <v>29</v>
      </c>
      <c r="C100" t="s">
        <v>58</v>
      </c>
      <c r="D100">
        <f>'Transpo perseq'!D100*Pondération!$D$17</f>
        <v>3.3529599999999998E-5</v>
      </c>
      <c r="E100">
        <f>'Transpo perseq'!E100*Pondération!$D$2</f>
        <v>4.110912E-4</v>
      </c>
      <c r="F100">
        <f>'Transpo perseq'!I100*Pondération!$D$12</f>
        <v>6.6662399999999992E-6</v>
      </c>
      <c r="G100">
        <f>'Transpo perseq'!M100*Pondération!$D$15</f>
        <v>7.0784000000000007E-8</v>
      </c>
      <c r="H100">
        <f>'Transpo perseq'!N100*Pondération!$D$14</f>
        <v>9.140480000000002E-6</v>
      </c>
      <c r="I100">
        <f>'Transpo perseq'!O100*Pondération!$D$16</f>
        <v>1.2940480000000001E-5</v>
      </c>
      <c r="J100">
        <f>'Transpo perseq'!P100*Pondération!$D$4</f>
        <v>9.4060799999999999E-6</v>
      </c>
      <c r="K100">
        <f>'Transpo perseq'!T100*Pondération!$D$5</f>
        <v>1.4988844357756703E-5</v>
      </c>
      <c r="L100">
        <f>'Transpo perseq'!X100*Pondération!$D$7</f>
        <v>2.859039129215542E-6</v>
      </c>
      <c r="M100">
        <f>'Transpo perseq'!Y100*Pondération!$D$13</f>
        <v>-2.3591056235099653E-8</v>
      </c>
      <c r="N100">
        <f>'Transpo perseq'!Z100*Pondération!$D$3</f>
        <v>4.3017965724747412E-14</v>
      </c>
      <c r="O100">
        <f>'Transpo perseq'!AA100*Pondération!$D$6</f>
        <v>7.946969712064022E-5</v>
      </c>
      <c r="P100">
        <f>'Transpo perseq'!AB100*Pondération!$D$8</f>
        <v>2.980182644911896E-5</v>
      </c>
      <c r="Q100">
        <f>'Transpo perseq'!AC100*Pondération!$D$10</f>
        <v>2.0608739535444201E-4</v>
      </c>
      <c r="R100">
        <f>'Transpo perseq'!AD100*Pondération!$D$9</f>
        <v>4.0274950252538089E-5</v>
      </c>
      <c r="S100">
        <f>'Transpo perseq'!AE100*Pondération!$D$11</f>
        <v>2.7586008223060249E-4</v>
      </c>
      <c r="T100">
        <f t="shared" si="1"/>
        <v>1.1321631078810967E-3</v>
      </c>
    </row>
    <row r="101" spans="1:20" x14ac:dyDescent="0.3">
      <c r="A101" t="s">
        <v>1</v>
      </c>
      <c r="B101" t="s">
        <v>29</v>
      </c>
      <c r="C101" t="s">
        <v>85</v>
      </c>
      <c r="D101">
        <f>'Transpo perseq'!D101*Pondération!$D$17</f>
        <v>1.02176E-3</v>
      </c>
      <c r="E101">
        <f>'Transpo perseq'!E101*Pondération!$D$2</f>
        <v>9.1316160000000004E-3</v>
      </c>
      <c r="F101">
        <f>'Transpo perseq'!I101*Pondération!$D$12</f>
        <v>4.5465599999999998E-3</v>
      </c>
      <c r="G101">
        <f>'Transpo perseq'!M101*Pondération!$D$15</f>
        <v>4.03648E-4</v>
      </c>
      <c r="H101">
        <f>'Transpo perseq'!N101*Pondération!$D$14</f>
        <v>4.0540159999999999E-4</v>
      </c>
      <c r="I101">
        <f>'Transpo perseq'!O101*Pondération!$D$16</f>
        <v>5.4255039999999996E-4</v>
      </c>
      <c r="J101">
        <f>'Transpo perseq'!P101*Pondération!$D$4</f>
        <v>1.6256159999999999E-4</v>
      </c>
      <c r="K101">
        <f>'Transpo perseq'!T101*Pondération!$D$5</f>
        <v>8.7413080303314398E-4</v>
      </c>
      <c r="L101">
        <f>'Transpo perseq'!X101*Pondération!$D$7</f>
        <v>1.2405457704846605E-3</v>
      </c>
      <c r="M101">
        <f>'Transpo perseq'!Y101*Pondération!$D$13</f>
        <v>1.8683766663477497E-3</v>
      </c>
      <c r="N101">
        <f>'Transpo perseq'!Z101*Pondération!$D$3</f>
        <v>1.0516762939622427E-5</v>
      </c>
      <c r="O101">
        <f>'Transpo perseq'!AA101*Pondération!$D$6</f>
        <v>1.7851828153377504E-3</v>
      </c>
      <c r="P101">
        <f>'Transpo perseq'!AB101*Pondération!$D$8</f>
        <v>9.7046825905246225E-4</v>
      </c>
      <c r="Q101">
        <f>'Transpo perseq'!AC101*Pondération!$D$10</f>
        <v>9.3253162080739471E-3</v>
      </c>
      <c r="R101">
        <f>'Transpo perseq'!AD101*Pondération!$D$9</f>
        <v>1.4558849126732856E-4</v>
      </c>
      <c r="S101">
        <f>'Transpo perseq'!AE101*Pondération!$D$11</f>
        <v>1.676541440352319E-3</v>
      </c>
      <c r="T101">
        <f t="shared" si="1"/>
        <v>3.4110764816888989E-2</v>
      </c>
    </row>
    <row r="102" spans="1:20" x14ac:dyDescent="0.3">
      <c r="A102" t="s">
        <v>1</v>
      </c>
      <c r="B102" t="s">
        <v>29</v>
      </c>
      <c r="C102" t="s">
        <v>56</v>
      </c>
      <c r="D102">
        <f>'Transpo perseq'!D102*Pondération!$D$17</f>
        <v>3.9382399999999998E-4</v>
      </c>
      <c r="E102">
        <f>'Transpo perseq'!E102*Pondération!$D$2</f>
        <v>2.5002432000000002E-3</v>
      </c>
      <c r="F102">
        <f>'Transpo perseq'!I102*Pondération!$D$12</f>
        <v>3.6863999999999994E-4</v>
      </c>
      <c r="G102">
        <f>'Transpo perseq'!M102*Pondération!$D$15</f>
        <v>9.0048000000000005E-4</v>
      </c>
      <c r="H102">
        <f>'Transpo perseq'!N102*Pondération!$D$14</f>
        <v>4.6554880000000002E-5</v>
      </c>
      <c r="I102">
        <f>'Transpo perseq'!O102*Pondération!$D$16</f>
        <v>8.0136000000000007E-5</v>
      </c>
      <c r="J102">
        <f>'Transpo perseq'!P102*Pondération!$D$4</f>
        <v>1.7278559999999999E-4</v>
      </c>
      <c r="K102">
        <f>'Transpo perseq'!T102*Pondération!$D$5</f>
        <v>3.1043304932996111E-5</v>
      </c>
      <c r="L102">
        <f>'Transpo perseq'!X102*Pondération!$D$7</f>
        <v>-6.3349180252221234E-4</v>
      </c>
      <c r="M102">
        <f>'Transpo perseq'!Y102*Pondération!$D$13</f>
        <v>-9.749257294937478E-3</v>
      </c>
      <c r="N102">
        <f>'Transpo perseq'!Z102*Pondération!$D$3</f>
        <v>1.3557662254348664E-5</v>
      </c>
      <c r="O102">
        <f>'Transpo perseq'!AA102*Pondération!$D$6</f>
        <v>1.2123059881008742E-3</v>
      </c>
      <c r="P102">
        <f>'Transpo perseq'!AB102*Pondération!$D$8</f>
        <v>5.3457705432285747E-4</v>
      </c>
      <c r="Q102">
        <f>'Transpo perseq'!AC102*Pondération!$D$10</f>
        <v>-2.9794867603724954E-4</v>
      </c>
      <c r="R102">
        <f>'Transpo perseq'!AD102*Pondération!$D$9</f>
        <v>3.0896280400344219E-4</v>
      </c>
      <c r="S102">
        <f>'Transpo perseq'!AE102*Pondération!$D$11</f>
        <v>0.15333211670565669</v>
      </c>
      <c r="T102">
        <f t="shared" si="1"/>
        <v>0.14921452942577426</v>
      </c>
    </row>
    <row r="103" spans="1:20" x14ac:dyDescent="0.3">
      <c r="A103" t="s">
        <v>1</v>
      </c>
      <c r="B103" t="s">
        <v>29</v>
      </c>
      <c r="C103" t="s">
        <v>86</v>
      </c>
      <c r="D103">
        <f>'Transpo perseq'!D103*Pondération!$D$17</f>
        <v>2.31136E-4</v>
      </c>
      <c r="E103">
        <f>'Transpo perseq'!E103*Pondération!$D$2</f>
        <v>2.0049120000000002E-3</v>
      </c>
      <c r="F103">
        <f>'Transpo perseq'!I103*Pondération!$D$12</f>
        <v>1.1182079999999999E-3</v>
      </c>
      <c r="G103">
        <f>'Transpo perseq'!M103*Pondération!$D$15</f>
        <v>2.5177599999999998E-5</v>
      </c>
      <c r="H103">
        <f>'Transpo perseq'!N103*Pondération!$D$14</f>
        <v>6.4883199999999996E-5</v>
      </c>
      <c r="I103">
        <f>'Transpo perseq'!O103*Pondération!$D$16</f>
        <v>9.7943999999999996E-5</v>
      </c>
      <c r="J103">
        <f>'Transpo perseq'!P103*Pondération!$D$4</f>
        <v>5.0779199999999998E-6</v>
      </c>
      <c r="K103">
        <f>'Transpo perseq'!T103*Pondération!$D$5</f>
        <v>1.0872829987866534E-4</v>
      </c>
      <c r="L103">
        <f>'Transpo perseq'!X103*Pondération!$D$7</f>
        <v>7.474118032097455E-5</v>
      </c>
      <c r="M103">
        <f>'Transpo perseq'!Y103*Pondération!$D$13</f>
        <v>6.8558213264186508E-7</v>
      </c>
      <c r="N103">
        <f>'Transpo perseq'!Z103*Pondération!$D$3</f>
        <v>5.130797627134575E-14</v>
      </c>
      <c r="O103">
        <f>'Transpo perseq'!AA103*Pondération!$D$6</f>
        <v>7.1783380087313015E-4</v>
      </c>
      <c r="P103">
        <f>'Transpo perseq'!AB103*Pondération!$D$8</f>
        <v>1.5131973660361815E-4</v>
      </c>
      <c r="Q103">
        <f>'Transpo perseq'!AC103*Pondération!$D$10</f>
        <v>1.4215084380685126E-3</v>
      </c>
      <c r="R103">
        <f>'Transpo perseq'!AD103*Pondération!$D$9</f>
        <v>1.2712398586254364E-5</v>
      </c>
      <c r="S103">
        <f>'Transpo perseq'!AE103*Pondération!$D$11</f>
        <v>9.0083485162961751E-4</v>
      </c>
      <c r="T103">
        <f t="shared" si="1"/>
        <v>6.9357030081447224E-3</v>
      </c>
    </row>
    <row r="104" spans="1:20" x14ac:dyDescent="0.3">
      <c r="A104" t="s">
        <v>1</v>
      </c>
      <c r="B104" t="s">
        <v>29</v>
      </c>
      <c r="C104" t="s">
        <v>57</v>
      </c>
      <c r="D104">
        <f>'Transpo perseq'!D104*Pondération!$D$17</f>
        <v>8.0649599999999994E-5</v>
      </c>
      <c r="E104">
        <f>'Transpo perseq'!E104*Pondération!$D$2</f>
        <v>3.1472063999999999E-4</v>
      </c>
      <c r="F104">
        <f>'Transpo perseq'!I104*Pondération!$D$12</f>
        <v>5.3759999999999994E-5</v>
      </c>
      <c r="G104">
        <f>'Transpo perseq'!M104*Pondération!$D$15</f>
        <v>6.272E-7</v>
      </c>
      <c r="H104">
        <f>'Transpo perseq'!N104*Pondération!$D$14</f>
        <v>5.3516800000000002E-5</v>
      </c>
      <c r="I104">
        <f>'Transpo perseq'!O104*Pondération!$D$16</f>
        <v>8.1916799999999995E-5</v>
      </c>
      <c r="J104">
        <f>'Transpo perseq'!P104*Pondération!$D$4</f>
        <v>3.0433439999999997E-6</v>
      </c>
      <c r="K104">
        <f>'Transpo perseq'!T104*Pondération!$D$5</f>
        <v>1.0731504619077836E-5</v>
      </c>
      <c r="L104">
        <f>'Transpo perseq'!X104*Pondération!$D$7</f>
        <v>5.0826766500046935E-7</v>
      </c>
      <c r="M104">
        <f>'Transpo perseq'!Y104*Pondération!$D$13</f>
        <v>5.3550601317594016E-6</v>
      </c>
      <c r="N104">
        <f>'Transpo perseq'!Z104*Pondération!$D$3</f>
        <v>2.8034514668464216E-15</v>
      </c>
      <c r="O104">
        <f>'Transpo perseq'!AA104*Pondération!$D$6</f>
        <v>4.0388061565024339E-5</v>
      </c>
      <c r="P104">
        <f>'Transpo perseq'!AB104*Pondération!$D$8</f>
        <v>8.0252071802965161E-5</v>
      </c>
      <c r="Q104">
        <f>'Transpo perseq'!AC104*Pondération!$D$10</f>
        <v>2.0581780130603694E-4</v>
      </c>
      <c r="R104">
        <f>'Transpo perseq'!AD104*Pondération!$D$9</f>
        <v>1.2749147236326246E-6</v>
      </c>
      <c r="S104">
        <f>'Transpo perseq'!AE104*Pondération!$D$11</f>
        <v>8.3129964382399933E-7</v>
      </c>
      <c r="T104">
        <f t="shared" si="1"/>
        <v>9.3339336546012443E-4</v>
      </c>
    </row>
    <row r="105" spans="1:20" x14ac:dyDescent="0.3">
      <c r="A105" t="s">
        <v>1</v>
      </c>
      <c r="B105" t="s">
        <v>30</v>
      </c>
      <c r="C105" t="s">
        <v>72</v>
      </c>
      <c r="D105">
        <f>'Transpo perseq'!D105*Pondération!$D$17</f>
        <v>2.9065599999999999E-3</v>
      </c>
      <c r="E105">
        <f>'Transpo perseq'!E105*Pondération!$D$2</f>
        <v>1.5331680000000002E-2</v>
      </c>
      <c r="F105">
        <f>'Transpo perseq'!I105*Pondération!$D$12</f>
        <v>1.0813439999999999E-3</v>
      </c>
      <c r="G105">
        <f>'Transpo perseq'!M105*Pondération!$D$15</f>
        <v>4.3724800000000004E-6</v>
      </c>
      <c r="H105">
        <f>'Transpo perseq'!N105*Pondération!$D$14</f>
        <v>5.6831999999999998E-4</v>
      </c>
      <c r="I105">
        <f>'Transpo perseq'!O105*Pondération!$D$16</f>
        <v>8.5478400000000003E-4</v>
      </c>
      <c r="J105">
        <f>'Transpo perseq'!P105*Pondération!$D$4</f>
        <v>3.6124799999999999E-4</v>
      </c>
      <c r="K105">
        <f>'Transpo perseq'!T105*Pondération!$D$5</f>
        <v>4.9976021599087972E-4</v>
      </c>
      <c r="L105">
        <f>'Transpo perseq'!X105*Pondération!$D$7</f>
        <v>9.7840839108311777E-4</v>
      </c>
      <c r="M105">
        <f>'Transpo perseq'!Y105*Pondération!$D$13</f>
        <v>5.6428707739670372E-5</v>
      </c>
      <c r="N105">
        <f>'Transpo perseq'!Z105*Pondération!$D$3</f>
        <v>2.1687663532290349E-11</v>
      </c>
      <c r="O105">
        <f>'Transpo perseq'!AA105*Pondération!$D$6</f>
        <v>4.4659575342701815E-3</v>
      </c>
      <c r="P105">
        <f>'Transpo perseq'!AB105*Pondération!$D$8</f>
        <v>1.36265339710066E-3</v>
      </c>
      <c r="Q105">
        <f>'Transpo perseq'!AC105*Pondération!$D$10</f>
        <v>9.3196529382922836E-3</v>
      </c>
      <c r="R105">
        <f>'Transpo perseq'!AD105*Pondération!$D$9</f>
        <v>1.0840980630025731E-3</v>
      </c>
      <c r="S105">
        <f>'Transpo perseq'!AE105*Pondération!$D$11</f>
        <v>6.4997990431304412E-4</v>
      </c>
      <c r="T105">
        <f t="shared" si="1"/>
        <v>3.9525247653480082E-2</v>
      </c>
    </row>
    <row r="106" spans="1:20" x14ac:dyDescent="0.3">
      <c r="A106" t="s">
        <v>1</v>
      </c>
      <c r="B106" t="s">
        <v>30</v>
      </c>
      <c r="C106" t="s">
        <v>58</v>
      </c>
      <c r="D106">
        <f>'Transpo perseq'!D106*Pondération!$D$17</f>
        <v>1.3987200000000001E-5</v>
      </c>
      <c r="E106">
        <f>'Transpo perseq'!E106*Pondération!$D$2</f>
        <v>1.2299040000000001E-4</v>
      </c>
      <c r="F106">
        <f>'Transpo perseq'!I106*Pondération!$D$12</f>
        <v>3.6249599999999998E-6</v>
      </c>
      <c r="G106">
        <f>'Transpo perseq'!M106*Pondération!$D$15</f>
        <v>3.3958400000000001E-8</v>
      </c>
      <c r="H106">
        <f>'Transpo perseq'!N106*Pondération!$D$14</f>
        <v>4.3334400000000001E-6</v>
      </c>
      <c r="I106">
        <f>'Transpo perseq'!O106*Pondération!$D$16</f>
        <v>6.3515199999999998E-6</v>
      </c>
      <c r="J106">
        <f>'Transpo perseq'!P106*Pondération!$D$4</f>
        <v>5.1460799999999992E-7</v>
      </c>
      <c r="K106">
        <f>'Transpo perseq'!T106*Pondération!$D$5</f>
        <v>4.0512642236937047E-6</v>
      </c>
      <c r="L106">
        <f>'Transpo perseq'!X106*Pondération!$D$7</f>
        <v>1.8602912919909911E-6</v>
      </c>
      <c r="M106">
        <f>'Transpo perseq'!Y106*Pondération!$D$13</f>
        <v>2.4653875712645908E-7</v>
      </c>
      <c r="N106">
        <f>'Transpo perseq'!Z106*Pondération!$D$3</f>
        <v>4.6692877631354848E-15</v>
      </c>
      <c r="O106">
        <f>'Transpo perseq'!AA106*Pondération!$D$6</f>
        <v>2.2973413428141858E-5</v>
      </c>
      <c r="P106">
        <f>'Transpo perseq'!AB106*Pondération!$D$8</f>
        <v>1.1274592509610573E-5</v>
      </c>
      <c r="Q106">
        <f>'Transpo perseq'!AC106*Pondération!$D$10</f>
        <v>6.6374740582992689E-5</v>
      </c>
      <c r="R106">
        <f>'Transpo perseq'!AD106*Pondération!$D$9</f>
        <v>1.8978623815297353E-6</v>
      </c>
      <c r="S106">
        <f>'Transpo perseq'!AE106*Pondération!$D$11</f>
        <v>1.1864218691786988E-5</v>
      </c>
      <c r="T106">
        <f t="shared" si="1"/>
        <v>2.7237900827154231E-4</v>
      </c>
    </row>
    <row r="107" spans="1:20" x14ac:dyDescent="0.3">
      <c r="A107" t="s">
        <v>1</v>
      </c>
      <c r="B107" t="s">
        <v>30</v>
      </c>
      <c r="C107" t="s">
        <v>74</v>
      </c>
      <c r="D107">
        <f>'Transpo perseq'!D107*Pondération!$D$17</f>
        <v>4.9996800000000003E-8</v>
      </c>
      <c r="E107">
        <f>'Transpo perseq'!E107*Pondération!$D$2</f>
        <v>5.2565760000000004E-7</v>
      </c>
      <c r="F107">
        <f>'Transpo perseq'!I107*Pondération!$D$12</f>
        <v>2.2886399999999998E-7</v>
      </c>
      <c r="G107">
        <f>'Transpo perseq'!M107*Pondération!$D$15</f>
        <v>1.0662400000000002E-8</v>
      </c>
      <c r="H107">
        <f>'Transpo perseq'!N107*Pondération!$D$14</f>
        <v>1.9985920000000002E-8</v>
      </c>
      <c r="I107">
        <f>'Transpo perseq'!O107*Pondération!$D$16</f>
        <v>2.944256E-8</v>
      </c>
      <c r="J107">
        <f>'Transpo perseq'!P107*Pondération!$D$4</f>
        <v>7.5998400000000005E-9</v>
      </c>
      <c r="K107">
        <f>'Transpo perseq'!T107*Pondération!$D$5</f>
        <v>4.0072908626021274E-8</v>
      </c>
      <c r="L107">
        <f>'Transpo perseq'!X107*Pondération!$D$7</f>
        <v>3.5494524187139504E-8</v>
      </c>
      <c r="M107">
        <f>'Transpo perseq'!Y107*Pondération!$D$13</f>
        <v>2.3641229348621947E-10</v>
      </c>
      <c r="N107">
        <f>'Transpo perseq'!Z107*Pondération!$D$3</f>
        <v>3.0729029769761292E-16</v>
      </c>
      <c r="O107">
        <f>'Transpo perseq'!AA107*Pondération!$D$6</f>
        <v>3.7252432969185852E-8</v>
      </c>
      <c r="P107">
        <f>'Transpo perseq'!AB107*Pondération!$D$8</f>
        <v>4.2127928625181031E-8</v>
      </c>
      <c r="Q107">
        <f>'Transpo perseq'!AC107*Pondération!$D$10</f>
        <v>4.3305569844201128E-7</v>
      </c>
      <c r="R107">
        <f>'Transpo perseq'!AD107*Pondération!$D$9</f>
        <v>-4.5953371454806586E-10</v>
      </c>
      <c r="S107">
        <f>'Transpo perseq'!AE107*Pondération!$D$11</f>
        <v>-7.6946685913369662E-9</v>
      </c>
      <c r="T107">
        <f t="shared" si="1"/>
        <v>1.4522948231444308E-6</v>
      </c>
    </row>
    <row r="108" spans="1:20" x14ac:dyDescent="0.3">
      <c r="A108" t="s">
        <v>1</v>
      </c>
      <c r="B108" t="s">
        <v>30</v>
      </c>
      <c r="C108" t="s">
        <v>59</v>
      </c>
      <c r="D108">
        <f>'Transpo perseq'!D108*Pondération!$D$17</f>
        <v>7.8367999999999999E-7</v>
      </c>
      <c r="E108">
        <f>'Transpo perseq'!E108*Pondération!$D$2</f>
        <v>7.6152960000000005E-6</v>
      </c>
      <c r="F108">
        <f>'Transpo perseq'!I108*Pondération!$D$12</f>
        <v>1.3701119999999998E-5</v>
      </c>
      <c r="G108">
        <f>'Transpo perseq'!M108*Pondération!$D$15</f>
        <v>1.79648E-7</v>
      </c>
      <c r="H108">
        <f>'Transpo perseq'!N108*Pondération!$D$14</f>
        <v>3.2488960000000002E-7</v>
      </c>
      <c r="I108">
        <f>'Transpo perseq'!O108*Pondération!$D$16</f>
        <v>3.9296320000000001E-7</v>
      </c>
      <c r="J108">
        <f>'Transpo perseq'!P108*Pondération!$D$4</f>
        <v>5.2824000000000002E-7</v>
      </c>
      <c r="K108">
        <f>'Transpo perseq'!T108*Pondération!$D$5</f>
        <v>3.3683551531980609E-6</v>
      </c>
      <c r="L108">
        <f>'Transpo perseq'!X108*Pondération!$D$7</f>
        <v>9.0823912780837965E-7</v>
      </c>
      <c r="M108">
        <f>'Transpo perseq'!Y108*Pondération!$D$13</f>
        <v>3.5228164819544653E-9</v>
      </c>
      <c r="N108">
        <f>'Transpo perseq'!Z108*Pondération!$D$3</f>
        <v>1.4202452983566791E-14</v>
      </c>
      <c r="O108">
        <f>'Transpo perseq'!AA108*Pondération!$D$6</f>
        <v>8.1002874781908315E-7</v>
      </c>
      <c r="P108">
        <f>'Transpo perseq'!AB108*Pondération!$D$8</f>
        <v>7.0600255884018835E-7</v>
      </c>
      <c r="Q108">
        <f>'Transpo perseq'!AC108*Pondération!$D$10</f>
        <v>6.9533120807203123E-6</v>
      </c>
      <c r="R108">
        <f>'Transpo perseq'!AD108*Pondération!$D$9</f>
        <v>1.7102879460688384E-7</v>
      </c>
      <c r="S108">
        <f>'Transpo perseq'!AE108*Pondération!$D$11</f>
        <v>1.572831328782934E-5</v>
      </c>
      <c r="T108">
        <f t="shared" si="1"/>
        <v>5.2174639381506648E-5</v>
      </c>
    </row>
    <row r="109" spans="1:20" x14ac:dyDescent="0.3">
      <c r="A109" t="s">
        <v>1</v>
      </c>
      <c r="B109" t="s">
        <v>30</v>
      </c>
      <c r="C109" t="s">
        <v>56</v>
      </c>
      <c r="D109">
        <f>'Transpo perseq'!D109*Pondération!$D$17</f>
        <v>4.2060799999999999E-10</v>
      </c>
      <c r="E109">
        <f>'Transpo perseq'!E109*Pondération!$D$2</f>
        <v>1.6072992000000002E-9</v>
      </c>
      <c r="F109">
        <f>'Transpo perseq'!I109*Pondération!$D$12</f>
        <v>1.2257279999999998E-10</v>
      </c>
      <c r="G109">
        <f>'Transpo perseq'!M109*Pondération!$D$15</f>
        <v>9.632000000000001E-11</v>
      </c>
      <c r="H109">
        <f>'Transpo perseq'!N109*Pondération!$D$14</f>
        <v>2.074368E-10</v>
      </c>
      <c r="I109">
        <f>'Transpo perseq'!O109*Pondération!$D$16</f>
        <v>2.8908319999999998E-10</v>
      </c>
      <c r="J109">
        <f>'Transpo perseq'!P109*Pondération!$D$4</f>
        <v>3.2103359999999999E-11</v>
      </c>
      <c r="K109">
        <f>'Transpo perseq'!T109*Pondération!$D$5</f>
        <v>1.4587517661909263E-10</v>
      </c>
      <c r="L109">
        <f>'Transpo perseq'!X109*Pondération!$D$7</f>
        <v>-5.9411299369749807E-10</v>
      </c>
      <c r="M109">
        <f>'Transpo perseq'!Y109*Pondération!$D$13</f>
        <v>7.7043707305872082E-9</v>
      </c>
      <c r="N109">
        <f>'Transpo perseq'!Z109*Pondération!$D$3</f>
        <v>1.1882296636162024E-12</v>
      </c>
      <c r="O109">
        <f>'Transpo perseq'!AA109*Pondération!$D$6</f>
        <v>7.1930839024012881E-10</v>
      </c>
      <c r="P109">
        <f>'Transpo perseq'!AB109*Pondération!$D$8</f>
        <v>4.5654264089688571E-10</v>
      </c>
      <c r="Q109">
        <f>'Transpo perseq'!AC109*Pondération!$D$10</f>
        <v>-3.1484253799032718E-10</v>
      </c>
      <c r="R109">
        <f>'Transpo perseq'!AD109*Pondération!$D$9</f>
        <v>1.7559202370080932E-11</v>
      </c>
      <c r="S109">
        <f>'Transpo perseq'!AE109*Pondération!$D$11</f>
        <v>1.4863542194658521E-8</v>
      </c>
      <c r="T109">
        <f t="shared" si="1"/>
        <v>2.5774854393347708E-8</v>
      </c>
    </row>
    <row r="110" spans="1:20" x14ac:dyDescent="0.3">
      <c r="A110" t="s">
        <v>1</v>
      </c>
      <c r="B110" t="s">
        <v>30</v>
      </c>
      <c r="C110" t="s">
        <v>57</v>
      </c>
      <c r="D110">
        <f>'Transpo perseq'!D110*Pondération!$D$17</f>
        <v>8.8369939534192098E-5</v>
      </c>
      <c r="E110">
        <f>'Transpo perseq'!E110*Pondération!$D$2</f>
        <v>3.446659849666341E-4</v>
      </c>
      <c r="F110">
        <f>'Transpo perseq'!I110*Pondération!$D$12</f>
        <v>5.88099084193923E-5</v>
      </c>
      <c r="G110">
        <f>'Transpo perseq'!M110*Pondération!$D$15</f>
        <v>6.847479865053139E-7</v>
      </c>
      <c r="H110">
        <f>'Transpo perseq'!N110*Pondération!$D$14</f>
        <v>5.8613693976516053E-5</v>
      </c>
      <c r="I110">
        <f>'Transpo perseq'!O110*Pondération!$D$16</f>
        <v>8.9902374346228977E-5</v>
      </c>
      <c r="J110">
        <f>'Transpo perseq'!P110*Pondération!$D$4</f>
        <v>3.3339454846475285E-6</v>
      </c>
      <c r="K110">
        <f>'Transpo perseq'!T110*Pondération!$D$5</f>
        <v>1.1757502693196119E-5</v>
      </c>
      <c r="L110">
        <f>'Transpo perseq'!X110*Pondération!$D$7</f>
        <v>5.5686119069303839E-7</v>
      </c>
      <c r="M110">
        <f>'Transpo perseq'!Y110*Pondération!$D$13</f>
        <v>5.8670369306329596E-6</v>
      </c>
      <c r="N110">
        <f>'Transpo perseq'!Z110*Pondération!$D$3</f>
        <v>3.0714787293753999E-15</v>
      </c>
      <c r="O110">
        <f>'Transpo perseq'!AA110*Pondération!$D$6</f>
        <v>4.4249409517055164E-5</v>
      </c>
      <c r="P110">
        <f>'Transpo perseq'!AB110*Pondération!$D$8</f>
        <v>8.7924665165826154E-5</v>
      </c>
      <c r="Q110">
        <f>'Transpo perseq'!AC110*Pondération!$D$10</f>
        <v>2.2549525337402151E-4</v>
      </c>
      <c r="R110">
        <f>'Transpo perseq'!AD110*Pondération!$D$9</f>
        <v>1.3968044397109067E-6</v>
      </c>
      <c r="S110">
        <f>'Transpo perseq'!AE110*Pondération!$D$11</f>
        <v>9.1077702037579792E-7</v>
      </c>
      <c r="T110">
        <f t="shared" si="1"/>
        <v>1.0225389050486993E-3</v>
      </c>
    </row>
    <row r="111" spans="1:20" x14ac:dyDescent="0.3">
      <c r="A111" t="s">
        <v>1</v>
      </c>
      <c r="B111" t="s">
        <v>30</v>
      </c>
      <c r="C111" t="s">
        <v>81</v>
      </c>
      <c r="D111">
        <f>'Transpo perseq'!D111*Pondération!$D$17</f>
        <v>1.8402917482949107E-6</v>
      </c>
      <c r="E111">
        <f>'Transpo perseq'!E111*Pondération!$D$2</f>
        <v>2.170029498824304E-5</v>
      </c>
      <c r="F111">
        <f>'Transpo perseq'!I111*Pondération!$D$12</f>
        <v>4.8447353030270053E-6</v>
      </c>
      <c r="G111">
        <f>'Transpo perseq'!M111*Pondération!$D$15</f>
        <v>4.010791648932029E-8</v>
      </c>
      <c r="H111">
        <f>'Transpo perseq'!N111*Pondération!$D$14</f>
        <v>8.2454960838011627E-7</v>
      </c>
      <c r="I111">
        <f>'Transpo perseq'!O111*Pondération!$D$16</f>
        <v>1.1606047423436188E-6</v>
      </c>
      <c r="J111">
        <f>'Transpo perseq'!P111*Pondération!$D$4</f>
        <v>2.8369401423667575E-7</v>
      </c>
      <c r="K111">
        <f>'Transpo perseq'!T111*Pondération!$D$5</f>
        <v>9.5121399666396186E-7</v>
      </c>
      <c r="L111">
        <f>'Transpo perseq'!X111*Pondération!$D$7</f>
        <v>4.5369002034989078E-7</v>
      </c>
      <c r="M111">
        <f>'Transpo perseq'!Y111*Pondération!$D$13</f>
        <v>5.7251142504266282E-8</v>
      </c>
      <c r="N111">
        <f>'Transpo perseq'!Z111*Pondération!$D$3</f>
        <v>1.4367831307393582E-9</v>
      </c>
      <c r="O111">
        <f>'Transpo perseq'!AA111*Pondération!$D$6</f>
        <v>2.0888813116698994E-6</v>
      </c>
      <c r="P111">
        <f>'Transpo perseq'!AB111*Pondération!$D$8</f>
        <v>2.1350440721325688E-6</v>
      </c>
      <c r="Q111">
        <f>'Transpo perseq'!AC111*Pondération!$D$10</f>
        <v>2.0553975202317636E-5</v>
      </c>
      <c r="R111">
        <f>'Transpo perseq'!AD111*Pondération!$D$9</f>
        <v>1.754028565103506E-6</v>
      </c>
      <c r="S111">
        <f>'Transpo perseq'!AE111*Pondération!$D$11</f>
        <v>1.0766971604617679E-6</v>
      </c>
      <c r="T111">
        <f t="shared" si="1"/>
        <v>5.9766496575348919E-5</v>
      </c>
    </row>
    <row r="112" spans="1:20" x14ac:dyDescent="0.3">
      <c r="A112" t="s">
        <v>1</v>
      </c>
      <c r="B112" t="s">
        <v>31</v>
      </c>
      <c r="C112" t="s">
        <v>87</v>
      </c>
      <c r="D112">
        <f>'Transpo perseq'!D112*Pondération!$D$17</f>
        <v>7.9756799999999992E-6</v>
      </c>
      <c r="E112">
        <f>'Transpo perseq'!E112*Pondération!$D$2</f>
        <v>7.0424640000000006E-5</v>
      </c>
      <c r="F112">
        <f>'Transpo perseq'!I112*Pondération!$D$12</f>
        <v>2.0674559999999997E-6</v>
      </c>
      <c r="G112">
        <f>'Transpo perseq'!M112*Pondération!$D$15</f>
        <v>1.9443199999999998E-8</v>
      </c>
      <c r="H112">
        <f>'Transpo perseq'!N112*Pondération!$D$14</f>
        <v>2.4816640000000002E-6</v>
      </c>
      <c r="I112">
        <f>'Transpo perseq'!O112*Pondération!$D$16</f>
        <v>3.6209600000000003E-6</v>
      </c>
      <c r="J112">
        <f>'Transpo perseq'!P112*Pondération!$D$4</f>
        <v>2.9376959999999999E-7</v>
      </c>
      <c r="K112">
        <f>'Transpo perseq'!T112*Pondération!$D$5</f>
        <v>2.3174498720008925E-6</v>
      </c>
      <c r="L112">
        <f>'Transpo perseq'!X112*Pondération!$D$7</f>
        <v>1.064144814671763E-6</v>
      </c>
      <c r="M112">
        <f>'Transpo perseq'!Y112*Pondération!$D$13</f>
        <v>1.4102788156953439E-7</v>
      </c>
      <c r="N112">
        <f>'Transpo perseq'!Z112*Pondération!$D$3</f>
        <v>2.6709786702452676E-15</v>
      </c>
      <c r="O112">
        <f>'Transpo perseq'!AA112*Pondération!$D$6</f>
        <v>1.314151116017066E-5</v>
      </c>
      <c r="P112">
        <f>'Transpo perseq'!AB112*Pondération!$D$8</f>
        <v>6.449419619547056E-6</v>
      </c>
      <c r="Q112">
        <f>'Transpo perseq'!AC112*Pondération!$D$10</f>
        <v>3.7968428020205629E-5</v>
      </c>
      <c r="R112">
        <f>'Transpo perseq'!AD112*Pondération!$D$9</f>
        <v>1.0856366532275606E-6</v>
      </c>
      <c r="S112">
        <f>'Transpo perseq'!AE112*Pondération!$D$11</f>
        <v>6.7867042410786286E-6</v>
      </c>
      <c r="T112">
        <f t="shared" si="1"/>
        <v>1.5583793506514267E-4</v>
      </c>
    </row>
    <row r="113" spans="1:20" x14ac:dyDescent="0.3">
      <c r="A113" t="s">
        <v>1</v>
      </c>
      <c r="B113" t="s">
        <v>31</v>
      </c>
      <c r="C113" t="s">
        <v>70</v>
      </c>
      <c r="D113">
        <f>'Transpo perseq'!D113*Pondération!$D$17</f>
        <v>1.26976E-2</v>
      </c>
      <c r="E113">
        <f>'Transpo perseq'!E113*Pondération!$D$2</f>
        <v>6.6044160000000005E-2</v>
      </c>
      <c r="F113">
        <f>'Transpo perseq'!I113*Pondération!$D$12</f>
        <v>5.1916799999999989E-3</v>
      </c>
      <c r="G113">
        <f>'Transpo perseq'!M113*Pondération!$D$15</f>
        <v>1.6441599999999999E-4</v>
      </c>
      <c r="H113">
        <f>'Transpo perseq'!N113*Pondération!$D$14</f>
        <v>2.690048E-3</v>
      </c>
      <c r="I113">
        <f>'Transpo perseq'!O113*Pondération!$D$16</f>
        <v>4.0602240000000003E-3</v>
      </c>
      <c r="J113">
        <f>'Transpo perseq'!P113*Pondération!$D$4</f>
        <v>1.4654399999999999E-3</v>
      </c>
      <c r="K113">
        <f>'Transpo perseq'!T113*Pondération!$D$5</f>
        <v>2.2173445161681659E-3</v>
      </c>
      <c r="L113">
        <f>'Transpo perseq'!X113*Pondération!$D$7</f>
        <v>4.8930016131286374E-3</v>
      </c>
      <c r="M113">
        <f>'Transpo perseq'!Y113*Pondération!$D$13</f>
        <v>4.625487460714516E-4</v>
      </c>
      <c r="N113">
        <f>'Transpo perseq'!Z113*Pondération!$D$3</f>
        <v>2.9029403660256946E-5</v>
      </c>
      <c r="O113">
        <f>'Transpo perseq'!AA113*Pondération!$D$6</f>
        <v>1.7951499891143311E-2</v>
      </c>
      <c r="P113">
        <f>'Transpo perseq'!AB113*Pondération!$D$8</f>
        <v>6.4471508846429115E-3</v>
      </c>
      <c r="Q113">
        <f>'Transpo perseq'!AC113*Pondération!$D$10</f>
        <v>4.4135341538533941E-2</v>
      </c>
      <c r="R113">
        <f>'Transpo perseq'!AD113*Pondération!$D$9</f>
        <v>4.5015026495306421E-2</v>
      </c>
      <c r="S113">
        <f>'Transpo perseq'!AE113*Pondération!$D$11</f>
        <v>6.4450248488731599E-3</v>
      </c>
      <c r="T113">
        <f t="shared" si="1"/>
        <v>0.21990953593752827</v>
      </c>
    </row>
    <row r="114" spans="1:20" x14ac:dyDescent="0.3">
      <c r="A114" t="s">
        <v>1</v>
      </c>
      <c r="B114" t="s">
        <v>31</v>
      </c>
      <c r="C114" t="s">
        <v>58</v>
      </c>
      <c r="D114">
        <f>'Transpo perseq'!D114*Pondération!$D$17</f>
        <v>8.1145599999999998E-5</v>
      </c>
      <c r="E114">
        <f>'Transpo perseq'!E114*Pondération!$D$2</f>
        <v>7.1435520000000003E-4</v>
      </c>
      <c r="F114">
        <f>'Transpo perseq'!I114*Pondération!$D$12</f>
        <v>2.1043199999999999E-5</v>
      </c>
      <c r="G114">
        <f>'Transpo perseq'!M114*Pondération!$D$15</f>
        <v>1.9756800000000001E-7</v>
      </c>
      <c r="H114">
        <f>'Transpo perseq'!N114*Pondération!$D$14</f>
        <v>2.524288E-5</v>
      </c>
      <c r="I114">
        <f>'Transpo perseq'!O114*Pondération!$D$16</f>
        <v>3.68032E-5</v>
      </c>
      <c r="J114">
        <f>'Transpo perseq'!P114*Pondération!$D$4</f>
        <v>2.9888160000000001E-6</v>
      </c>
      <c r="K114">
        <f>'Transpo perseq'!T114*Pondération!$D$5</f>
        <v>2.3581068872991538E-5</v>
      </c>
      <c r="L114">
        <f>'Transpo perseq'!X114*Pondération!$D$7</f>
        <v>1.0828140219467073E-5</v>
      </c>
      <c r="M114">
        <f>'Transpo perseq'!Y114*Pondération!$D$13</f>
        <v>1.4350205493040422E-6</v>
      </c>
      <c r="N114">
        <f>'Transpo perseq'!Z114*Pondération!$D$3</f>
        <v>2.717837945161845E-14</v>
      </c>
      <c r="O114">
        <f>'Transpo perseq'!AA114*Pondération!$D$6</f>
        <v>1.3372063987542062E-4</v>
      </c>
      <c r="P114">
        <f>'Transpo perseq'!AB114*Pondération!$D$8</f>
        <v>6.562567332170683E-5</v>
      </c>
      <c r="Q114">
        <f>'Transpo perseq'!AC114*Pondération!$D$10</f>
        <v>3.8634540792489836E-4</v>
      </c>
      <c r="R114">
        <f>'Transpo perseq'!AD114*Pondération!$D$9</f>
        <v>1.104682910301728E-5</v>
      </c>
      <c r="S114">
        <f>'Transpo perseq'!AE114*Pondération!$D$11</f>
        <v>6.9057692277642627E-5</v>
      </c>
      <c r="T114">
        <f t="shared" si="1"/>
        <v>1.583416936171627E-3</v>
      </c>
    </row>
    <row r="115" spans="1:20" x14ac:dyDescent="0.3">
      <c r="A115" t="s">
        <v>1</v>
      </c>
      <c r="B115" t="s">
        <v>31</v>
      </c>
      <c r="C115" t="s">
        <v>73</v>
      </c>
      <c r="D115">
        <f>'Transpo perseq'!D115*Pondération!$D$17</f>
        <v>1.71616E-4</v>
      </c>
      <c r="E115">
        <f>'Transpo perseq'!E115*Pondération!$D$2</f>
        <v>9.1653120000000001E-4</v>
      </c>
      <c r="F115">
        <f>'Transpo perseq'!I115*Pondération!$D$12</f>
        <v>6.2975999999999988E-5</v>
      </c>
      <c r="G115">
        <f>'Transpo perseq'!M115*Pondération!$D$15</f>
        <v>2.54912E-7</v>
      </c>
      <c r="H115">
        <f>'Transpo perseq'!N115*Pondération!$D$14</f>
        <v>3.3720319999999998E-5</v>
      </c>
      <c r="I115">
        <f>'Transpo perseq'!O115*Pondération!$D$16</f>
        <v>5.0990240000000001E-5</v>
      </c>
      <c r="J115">
        <f>'Transpo perseq'!P115*Pondération!$D$4</f>
        <v>2.136816E-5</v>
      </c>
      <c r="K115">
        <f>'Transpo perseq'!T115*Pondération!$D$5</f>
        <v>2.9040551448758964E-5</v>
      </c>
      <c r="L115">
        <f>'Transpo perseq'!X115*Pondération!$D$7</f>
        <v>5.7910570900851549E-5</v>
      </c>
      <c r="M115">
        <f>'Transpo perseq'!Y115*Pondération!$D$13</f>
        <v>3.1500007939185375E-6</v>
      </c>
      <c r="N115">
        <f>'Transpo perseq'!Z115*Pondération!$D$3</f>
        <v>1.2806440150167214E-12</v>
      </c>
      <c r="O115">
        <f>'Transpo perseq'!AA115*Pondération!$D$6</f>
        <v>2.6613121638642957E-4</v>
      </c>
      <c r="P115">
        <f>'Transpo perseq'!AB115*Pondération!$D$8</f>
        <v>8.080880456031948E-5</v>
      </c>
      <c r="Q115">
        <f>'Transpo perseq'!AC115*Pondération!$D$10</f>
        <v>5.5308733969150633E-4</v>
      </c>
      <c r="R115">
        <f>'Transpo perseq'!AD115*Pondération!$D$9</f>
        <v>-2.8492740150159177E-5</v>
      </c>
      <c r="S115">
        <f>'Transpo perseq'!AE115*Pondération!$D$11</f>
        <v>3.8519019797827001E-5</v>
      </c>
      <c r="T115">
        <f t="shared" si="1"/>
        <v>2.2576115967100959E-3</v>
      </c>
    </row>
    <row r="116" spans="1:20" x14ac:dyDescent="0.3">
      <c r="A116" t="s">
        <v>1</v>
      </c>
      <c r="B116" t="s">
        <v>31</v>
      </c>
      <c r="C116" t="s">
        <v>75</v>
      </c>
      <c r="D116">
        <f>'Transpo perseq'!D116*Pondération!$D$17</f>
        <v>1.21024E-5</v>
      </c>
      <c r="E116">
        <f>'Transpo perseq'!E116*Pondération!$D$2</f>
        <v>4.3130880000000003E-5</v>
      </c>
      <c r="F116">
        <f>'Transpo perseq'!I116*Pondération!$D$12</f>
        <v>4.6079999999999998E-6</v>
      </c>
      <c r="G116">
        <f>'Transpo perseq'!M116*Pondération!$D$15</f>
        <v>3.8214400000000002E-8</v>
      </c>
      <c r="H116">
        <f>'Transpo perseq'!N116*Pondération!$D$14</f>
        <v>2.8605439999999999E-6</v>
      </c>
      <c r="I116">
        <f>'Transpo perseq'!O116*Pondération!$D$16</f>
        <v>4.3035999999999998E-6</v>
      </c>
      <c r="J116">
        <f>'Transpo perseq'!P116*Pondération!$D$4</f>
        <v>1.543824E-4</v>
      </c>
      <c r="K116">
        <f>'Transpo perseq'!T116*Pondération!$D$5</f>
        <v>2.1347088130997671E-6</v>
      </c>
      <c r="L116">
        <f>'Transpo perseq'!X116*Pondération!$D$7</f>
        <v>1.2051124247832514E-6</v>
      </c>
      <c r="M116">
        <f>'Transpo perseq'!Y116*Pondération!$D$13</f>
        <v>5.2753288058739446E-7</v>
      </c>
      <c r="N116">
        <f>'Transpo perseq'!Z116*Pondération!$D$3</f>
        <v>6.7797681999298794E-15</v>
      </c>
      <c r="O116">
        <f>'Transpo perseq'!AA116*Pondération!$D$6</f>
        <v>2.8346441256273527E-5</v>
      </c>
      <c r="P116">
        <f>'Transpo perseq'!AB116*Pondération!$D$8</f>
        <v>6.6436678793728686E-6</v>
      </c>
      <c r="Q116">
        <f>'Transpo perseq'!AC116*Pondération!$D$10</f>
        <v>2.7485140163182671E-5</v>
      </c>
      <c r="R116">
        <f>'Transpo perseq'!AD116*Pondération!$D$9</f>
        <v>3.3822499704036981E-5</v>
      </c>
      <c r="S116">
        <f>'Transpo perseq'!AE116*Pondération!$D$11</f>
        <v>1.0235994348278306E-5</v>
      </c>
      <c r="T116">
        <f t="shared" si="1"/>
        <v>3.3182713587639448E-4</v>
      </c>
    </row>
    <row r="117" spans="1:20" x14ac:dyDescent="0.3">
      <c r="A117" t="s">
        <v>1</v>
      </c>
      <c r="B117" t="s">
        <v>31</v>
      </c>
      <c r="C117" t="s">
        <v>59</v>
      </c>
      <c r="D117">
        <f>'Transpo perseq'!D117*Pondération!$D$17</f>
        <v>1.22016E-5</v>
      </c>
      <c r="E117">
        <f>'Transpo perseq'!E117*Pondération!$D$2</f>
        <v>1.1827296000000001E-4</v>
      </c>
      <c r="F117">
        <f>'Transpo perseq'!I117*Pondération!$D$12</f>
        <v>2.1227519999999998E-4</v>
      </c>
      <c r="G117">
        <f>'Transpo perseq'!M117*Pondération!$D$15</f>
        <v>2.7865599999999999E-6</v>
      </c>
      <c r="H117">
        <f>'Transpo perseq'!N117*Pondération!$D$14</f>
        <v>5.0201600000000004E-6</v>
      </c>
      <c r="I117">
        <f>'Transpo perseq'!O117*Pondération!$D$16</f>
        <v>6.1140799999999999E-6</v>
      </c>
      <c r="J117">
        <f>'Transpo perseq'!P117*Pondération!$D$4</f>
        <v>8.1791999999999995E-6</v>
      </c>
      <c r="K117">
        <f>'Transpo perseq'!T117*Pondération!$D$5</f>
        <v>5.2265101876691086E-5</v>
      </c>
      <c r="L117">
        <f>'Transpo perseq'!X117*Pondération!$D$7</f>
        <v>1.4092697588089253E-5</v>
      </c>
      <c r="M117">
        <f>'Transpo perseq'!Y117*Pondération!$D$13</f>
        <v>5.4661801962131274E-8</v>
      </c>
      <c r="N117">
        <f>'Transpo perseq'!Z117*Pondération!$D$3</f>
        <v>2.2037244243092159E-13</v>
      </c>
      <c r="O117">
        <f>'Transpo perseq'!AA117*Pondération!$D$6</f>
        <v>1.2568815668863556E-5</v>
      </c>
      <c r="P117">
        <f>'Transpo perseq'!AB117*Pondération!$D$8</f>
        <v>1.0954692716399972E-5</v>
      </c>
      <c r="Q117">
        <f>'Transpo perseq'!AC117*Pondération!$D$10</f>
        <v>1.0789110641561453E-4</v>
      </c>
      <c r="R117">
        <f>'Transpo perseq'!AD117*Pondération!$D$9</f>
        <v>2.6537692634606977E-6</v>
      </c>
      <c r="S117">
        <f>'Transpo perseq'!AE117*Pondération!$D$11</f>
        <v>2.4404846251335373E-4</v>
      </c>
      <c r="T117">
        <f t="shared" si="1"/>
        <v>8.0937906806480731E-4</v>
      </c>
    </row>
    <row r="118" spans="1:20" x14ac:dyDescent="0.3">
      <c r="A118" t="s">
        <v>1</v>
      </c>
      <c r="B118" t="s">
        <v>31</v>
      </c>
      <c r="C118" t="s">
        <v>56</v>
      </c>
      <c r="D118">
        <f>'Transpo perseq'!D118*Pondération!$D$17</f>
        <v>9.1207286614532044E-6</v>
      </c>
      <c r="E118">
        <f>'Transpo perseq'!E118*Pondération!$D$2</f>
        <v>3.4819811331042219E-5</v>
      </c>
      <c r="F118">
        <f>'Transpo perseq'!I118*Pondération!$D$12</f>
        <v>2.6437354865947509E-6</v>
      </c>
      <c r="G118">
        <f>'Transpo perseq'!M118*Pondération!$D$15</f>
        <v>2.0799766100194098E-6</v>
      </c>
      <c r="H118">
        <f>'Transpo perseq'!N118*Pondération!$D$14</f>
        <v>4.4985937260387542E-6</v>
      </c>
      <c r="I118">
        <f>'Transpo perseq'!O118*Pondération!$D$16</f>
        <v>6.264573759511244E-6</v>
      </c>
      <c r="J118">
        <f>'Transpo perseq'!P118*Pondération!$D$4</f>
        <v>6.9523649098867819E-7</v>
      </c>
      <c r="K118">
        <f>'Transpo perseq'!T118*Pondération!$D$5</f>
        <v>3.1618238258622159E-6</v>
      </c>
      <c r="L118">
        <f>'Transpo perseq'!X118*Pondération!$D$7</f>
        <v>-1.2893011044416707E-5</v>
      </c>
      <c r="M118">
        <f>'Transpo perseq'!Y118*Pondération!$D$13</f>
        <v>1.6711868327788843E-4</v>
      </c>
      <c r="N118">
        <f>'Transpo perseq'!Z118*Pondération!$D$3</f>
        <v>2.5582649528321523E-8</v>
      </c>
      <c r="O118">
        <f>'Transpo perseq'!AA118*Pondération!$D$6</f>
        <v>1.5575176181599213E-5</v>
      </c>
      <c r="P118">
        <f>'Transpo perseq'!AB118*Pondération!$D$8</f>
        <v>9.8958585923786035E-6</v>
      </c>
      <c r="Q118">
        <f>'Transpo perseq'!AC118*Pondération!$D$10</f>
        <v>-6.8756442303672383E-6</v>
      </c>
      <c r="R118">
        <f>'Transpo perseq'!AD118*Pondération!$D$9</f>
        <v>3.7884759992739277E-7</v>
      </c>
      <c r="S118">
        <f>'Transpo perseq'!AE118*Pondération!$D$11</f>
        <v>3.2005076181687889E-4</v>
      </c>
      <c r="T118">
        <f t="shared" si="1"/>
        <v>5.5656073473492741E-4</v>
      </c>
    </row>
    <row r="119" spans="1:20" x14ac:dyDescent="0.3">
      <c r="A119" t="s">
        <v>1</v>
      </c>
      <c r="B119" t="s">
        <v>31</v>
      </c>
      <c r="C119" t="s">
        <v>88</v>
      </c>
      <c r="D119">
        <f>'Transpo perseq'!D119*Pondération!$D$17</f>
        <v>4.1408639071168286E-7</v>
      </c>
      <c r="E119">
        <f>'Transpo perseq'!E119*Pondération!$D$2</f>
        <v>5.9414331007894785E-6</v>
      </c>
      <c r="F119">
        <f>'Transpo perseq'!I119*Pondération!$D$12</f>
        <v>1.546984297713537E-6</v>
      </c>
      <c r="G119">
        <f>'Transpo perseq'!M119*Pondération!$D$15</f>
        <v>6.3928263604867202E-9</v>
      </c>
      <c r="H119">
        <f>'Transpo perseq'!N119*Pondération!$D$14</f>
        <v>1.6733543670231266E-7</v>
      </c>
      <c r="I119">
        <f>'Transpo perseq'!O119*Pondération!$D$16</f>
        <v>2.5189961012150559E-7</v>
      </c>
      <c r="J119">
        <f>'Transpo perseq'!P119*Pondération!$D$4</f>
        <v>9.5060108584300043E-8</v>
      </c>
      <c r="K119">
        <f>'Transpo perseq'!T119*Pondération!$D$5</f>
        <v>2.8800374840492593E-7</v>
      </c>
      <c r="L119">
        <f>'Transpo perseq'!X119*Pondération!$D$7</f>
        <v>8.9121958410416539E-7</v>
      </c>
      <c r="M119">
        <f>'Transpo perseq'!Y119*Pondération!$D$13</f>
        <v>3.0387003585102868E-8</v>
      </c>
      <c r="N119">
        <f>'Transpo perseq'!Z119*Pondération!$D$3</f>
        <v>1.5045029334080747E-15</v>
      </c>
      <c r="O119">
        <f>'Transpo perseq'!AA119*Pondération!$D$6</f>
        <v>4.8214617700049638E-7</v>
      </c>
      <c r="P119">
        <f>'Transpo perseq'!AB119*Pondération!$D$8</f>
        <v>4.5029442666435526E-7</v>
      </c>
      <c r="Q119">
        <f>'Transpo perseq'!AC119*Pondération!$D$10</f>
        <v>9.0548378675359079E-6</v>
      </c>
      <c r="R119">
        <f>'Transpo perseq'!AD119*Pondération!$D$9</f>
        <v>1.4758742986331107E-7</v>
      </c>
      <c r="S119">
        <f>'Transpo perseq'!AE119*Pondération!$D$11</f>
        <v>1.872635285429755E-7</v>
      </c>
      <c r="T119">
        <f t="shared" si="1"/>
        <v>1.9954931538189047E-5</v>
      </c>
    </row>
    <row r="120" spans="1:20" x14ac:dyDescent="0.3">
      <c r="A120" t="s">
        <v>1</v>
      </c>
      <c r="B120" t="s">
        <v>31</v>
      </c>
      <c r="C120" t="s">
        <v>57</v>
      </c>
      <c r="D120">
        <f>'Transpo perseq'!D120*Pondération!$D$17</f>
        <v>1.4655001774526634E-4</v>
      </c>
      <c r="E120">
        <f>'Transpo perseq'!E120*Pondération!$D$2</f>
        <v>5.7158357784669765E-4</v>
      </c>
      <c r="F120">
        <f>'Transpo perseq'!I120*Pondération!$D$12</f>
        <v>9.7528561950919058E-5</v>
      </c>
      <c r="G120">
        <f>'Transpo perseq'!M120*Pondération!$D$15</f>
        <v>1.1355652171127891E-6</v>
      </c>
      <c r="H120">
        <f>'Transpo perseq'!N120*Pondération!$D$14</f>
        <v>9.7203165891614421E-5</v>
      </c>
      <c r="I120">
        <f>'Transpo perseq'!O120*Pondération!$D$16</f>
        <v>1.4909136099027902E-4</v>
      </c>
      <c r="J120">
        <f>'Transpo perseq'!P120*Pondération!$D$4</f>
        <v>5.5289137065415726E-6</v>
      </c>
      <c r="K120">
        <f>'Transpo perseq'!T120*Pondération!$D$5</f>
        <v>1.9498284568376521E-5</v>
      </c>
      <c r="L120">
        <f>'Transpo perseq'!X120*Pondération!$D$7</f>
        <v>9.2348164780783539E-7</v>
      </c>
      <c r="M120">
        <f>'Transpo perseq'!Y120*Pondération!$D$13</f>
        <v>9.7297154533382341E-6</v>
      </c>
      <c r="N120">
        <f>'Transpo perseq'!Z120*Pondération!$D$3</f>
        <v>5.0936468290782232E-15</v>
      </c>
      <c r="O120">
        <f>'Transpo perseq'!AA120*Pondération!$D$6</f>
        <v>7.338187379242109E-5</v>
      </c>
      <c r="P120">
        <f>'Transpo perseq'!AB120*Pondération!$D$8</f>
        <v>1.4581158828690577E-4</v>
      </c>
      <c r="Q120">
        <f>'Transpo perseq'!AC120*Pondération!$D$10</f>
        <v>3.7395446412690728E-4</v>
      </c>
      <c r="R120">
        <f>'Transpo perseq'!AD120*Pondération!$D$9</f>
        <v>2.3164179641324339E-6</v>
      </c>
      <c r="S120">
        <f>'Transpo perseq'!AE120*Pondération!$D$11</f>
        <v>1.5104048865667933E-6</v>
      </c>
      <c r="T120">
        <f t="shared" si="1"/>
        <v>1.6957473940799801E-3</v>
      </c>
    </row>
    <row r="121" spans="1:20" x14ac:dyDescent="0.3">
      <c r="A121" t="s">
        <v>1</v>
      </c>
      <c r="B121" t="s">
        <v>32</v>
      </c>
      <c r="C121" t="s">
        <v>58</v>
      </c>
      <c r="D121">
        <f>'Transpo perseq'!D121*Pondération!$D$17</f>
        <v>6.0313600000000001E-6</v>
      </c>
      <c r="E121">
        <f>'Transpo perseq'!E121*Pondération!$D$2</f>
        <v>5.3239680000000003E-5</v>
      </c>
      <c r="F121">
        <f>'Transpo perseq'!I121*Pondération!$D$12</f>
        <v>1.5605759999999997E-6</v>
      </c>
      <c r="G121">
        <f>'Transpo perseq'!M121*Pondération!$D$15</f>
        <v>1.4694400000000001E-8</v>
      </c>
      <c r="H121">
        <f>'Transpo perseq'!N121*Pondération!$D$14</f>
        <v>1.8754560000000001E-6</v>
      </c>
      <c r="I121">
        <f>'Transpo perseq'!O121*Pondération!$D$16</f>
        <v>2.7364959999999999E-6</v>
      </c>
      <c r="J121">
        <f>'Transpo perseq'!P121*Pondération!$D$4</f>
        <v>2.2186079999999999E-7</v>
      </c>
      <c r="K121">
        <f>'Transpo perseq'!T121*Pondération!$D$5</f>
        <v>1.7513456566894335E-6</v>
      </c>
      <c r="L121">
        <f>'Transpo perseq'!X121*Pondération!$D$7</f>
        <v>8.0419663949618211E-7</v>
      </c>
      <c r="M121">
        <f>'Transpo perseq'!Y121*Pondération!$D$13</f>
        <v>1.0657773911013054E-7</v>
      </c>
      <c r="N121">
        <f>'Transpo perseq'!Z121*Pondération!$D$3</f>
        <v>2.0185148122342474E-15</v>
      </c>
      <c r="O121">
        <f>'Transpo perseq'!AA121*Pondération!$D$6</f>
        <v>9.9313166471338084E-6</v>
      </c>
      <c r="P121">
        <f>'Transpo perseq'!AB121*Pondération!$D$8</f>
        <v>4.8739621837468586E-6</v>
      </c>
      <c r="Q121">
        <f>'Transpo perseq'!AC121*Pondération!$D$10</f>
        <v>2.869354039019613E-5</v>
      </c>
      <c r="R121">
        <f>'Transpo perseq'!AD121*Pondération!$D$9</f>
        <v>8.2043847435255664E-7</v>
      </c>
      <c r="S121">
        <f>'Transpo perseq'!AE121*Pondération!$D$11</f>
        <v>5.1288552729671885E-6</v>
      </c>
      <c r="T121">
        <f t="shared" si="1"/>
        <v>1.177903562057108E-4</v>
      </c>
    </row>
    <row r="122" spans="1:20" x14ac:dyDescent="0.3">
      <c r="A122" t="s">
        <v>1</v>
      </c>
      <c r="B122" t="s">
        <v>32</v>
      </c>
      <c r="C122" t="s">
        <v>89</v>
      </c>
      <c r="D122">
        <f>'Transpo perseq'!D122*Pondération!$D$17</f>
        <v>4.3945600000000002E-5</v>
      </c>
      <c r="E122">
        <f>'Transpo perseq'!E122*Pondération!$D$2</f>
        <v>3.8750400000000005E-4</v>
      </c>
      <c r="F122">
        <f>'Transpo perseq'!I122*Pondération!$D$12</f>
        <v>7.9871999999999983E-5</v>
      </c>
      <c r="G122">
        <f>'Transpo perseq'!M122*Pondération!$D$15</f>
        <v>1.27232E-5</v>
      </c>
      <c r="H122">
        <f>'Transpo perseq'!N122*Pondération!$D$14</f>
        <v>1.4113279999999999E-5</v>
      </c>
      <c r="I122">
        <f>'Transpo perseq'!O122*Pondération!$D$16</f>
        <v>1.9588800000000001E-5</v>
      </c>
      <c r="J122">
        <f>'Transpo perseq'!P122*Pondération!$D$4</f>
        <v>7.1227200000000001E-6</v>
      </c>
      <c r="K122">
        <f>'Transpo perseq'!T122*Pondération!$D$5</f>
        <v>2.2709933335888179E-5</v>
      </c>
      <c r="L122">
        <f>'Transpo perseq'!X122*Pondération!$D$7</f>
        <v>6.495082506325988E-5</v>
      </c>
      <c r="M122">
        <f>'Transpo perseq'!Y122*Pondération!$D$13</f>
        <v>2.2976734398300245E-6</v>
      </c>
      <c r="N122">
        <f>'Transpo perseq'!Z122*Pondération!$D$3</f>
        <v>2.1392169407672155E-7</v>
      </c>
      <c r="O122">
        <f>'Transpo perseq'!AA122*Pondération!$D$6</f>
        <v>5.0716707354075894E-5</v>
      </c>
      <c r="P122">
        <f>'Transpo perseq'!AB122*Pondération!$D$8</f>
        <v>4.0535466113109268E-5</v>
      </c>
      <c r="Q122">
        <f>'Transpo perseq'!AC122*Pondération!$D$10</f>
        <v>5.8031914151610345E-4</v>
      </c>
      <c r="R122">
        <f>'Transpo perseq'!AD122*Pondération!$D$9</f>
        <v>1.1479517712276096E-5</v>
      </c>
      <c r="S122">
        <f>'Transpo perseq'!AE122*Pondération!$D$11</f>
        <v>1.5853860341155971E-4</v>
      </c>
      <c r="T122">
        <f t="shared" si="1"/>
        <v>1.4966313896401795E-3</v>
      </c>
    </row>
    <row r="123" spans="1:20" x14ac:dyDescent="0.3">
      <c r="A123" t="s">
        <v>1</v>
      </c>
      <c r="B123" t="s">
        <v>32</v>
      </c>
      <c r="C123" t="s">
        <v>73</v>
      </c>
      <c r="D123">
        <f>'Transpo perseq'!D123*Pondération!$D$17</f>
        <v>5.59488E-3</v>
      </c>
      <c r="E123">
        <f>'Transpo perseq'!E123*Pondération!$D$2</f>
        <v>2.6619840000000002E-2</v>
      </c>
      <c r="F123">
        <f>'Transpo perseq'!I123*Pondération!$D$12</f>
        <v>2.1411839999999995E-3</v>
      </c>
      <c r="G123">
        <f>'Transpo perseq'!M123*Pondération!$D$15</f>
        <v>4.7488000000000003E-5</v>
      </c>
      <c r="H123">
        <f>'Transpo perseq'!N123*Pondération!$D$14</f>
        <v>1.0466560000000002E-3</v>
      </c>
      <c r="I123">
        <f>'Transpo perseq'!O123*Pondération!$D$16</f>
        <v>1.5730400000000002E-3</v>
      </c>
      <c r="J123">
        <f>'Transpo perseq'!P123*Pondération!$D$4</f>
        <v>6.8159999999999998E-4</v>
      </c>
      <c r="K123">
        <f>'Transpo perseq'!T123*Pondération!$D$5</f>
        <v>1.020430454658508E-3</v>
      </c>
      <c r="L123">
        <f>'Transpo perseq'!X123*Pondération!$D$7</f>
        <v>1.773339977188383E-3</v>
      </c>
      <c r="M123">
        <f>'Transpo perseq'!Y123*Pondération!$D$13</f>
        <v>1.7317346223836612E-4</v>
      </c>
      <c r="N123">
        <f>'Transpo perseq'!Z123*Pondération!$D$3</f>
        <v>8.033225400027733E-6</v>
      </c>
      <c r="O123">
        <f>'Transpo perseq'!AA123*Pondération!$D$6</f>
        <v>8.1359874753614489E-3</v>
      </c>
      <c r="P123">
        <f>'Transpo perseq'!AB123*Pondération!$D$8</f>
        <v>2.5353013546755014E-3</v>
      </c>
      <c r="Q123">
        <f>'Transpo perseq'!AC123*Pondération!$D$10</f>
        <v>1.6705766007025571E-2</v>
      </c>
      <c r="R123">
        <f>'Transpo perseq'!AD123*Pondération!$D$9</f>
        <v>2.2026052907566429E-2</v>
      </c>
      <c r="S123">
        <f>'Transpo perseq'!AE123*Pondération!$D$11</f>
        <v>2.2766875669547708E-3</v>
      </c>
      <c r="T123">
        <f t="shared" si="1"/>
        <v>9.2359460431069004E-2</v>
      </c>
    </row>
    <row r="124" spans="1:20" x14ac:dyDescent="0.3">
      <c r="A124" t="s">
        <v>1</v>
      </c>
      <c r="B124" t="s">
        <v>32</v>
      </c>
      <c r="C124" t="s">
        <v>74</v>
      </c>
      <c r="D124">
        <f>'Transpo perseq'!D124*Pondération!$D$17</f>
        <v>5.7436800000000002E-7</v>
      </c>
      <c r="E124">
        <f>'Transpo perseq'!E124*Pondération!$D$2</f>
        <v>6.0652799999999996E-6</v>
      </c>
      <c r="F124">
        <f>'Transpo perseq'!I124*Pondération!$D$12</f>
        <v>2.648064E-6</v>
      </c>
      <c r="G124">
        <f>'Transpo perseq'!M124*Pondération!$D$15</f>
        <v>1.2320000000000002E-7</v>
      </c>
      <c r="H124">
        <f>'Transpo perseq'!N124*Pondération!$D$14</f>
        <v>2.2874879999999999E-7</v>
      </c>
      <c r="I124">
        <f>'Transpo perseq'!O124*Pondération!$D$16</f>
        <v>3.3657120000000001E-7</v>
      </c>
      <c r="J124">
        <f>'Transpo perseq'!P124*Pondération!$D$4</f>
        <v>8.7926399999999998E-8</v>
      </c>
      <c r="K124">
        <f>'Transpo perseq'!T124*Pondération!$D$5</f>
        <v>4.6352528071193897E-7</v>
      </c>
      <c r="L124">
        <f>'Transpo perseq'!X124*Pondération!$D$7</f>
        <v>4.1990562897221084E-7</v>
      </c>
      <c r="M124">
        <f>'Transpo perseq'!Y124*Pondération!$D$13</f>
        <v>2.8097628386961382E-9</v>
      </c>
      <c r="N124">
        <f>'Transpo perseq'!Z124*Pondération!$D$3</f>
        <v>3.5586703510148055E-15</v>
      </c>
      <c r="O124">
        <f>'Transpo perseq'!AA124*Pondération!$D$6</f>
        <v>4.3020538103804481E-7</v>
      </c>
      <c r="P124">
        <f>'Transpo perseq'!AB124*Pondération!$D$8</f>
        <v>4.819250807885176E-7</v>
      </c>
      <c r="Q124">
        <f>'Transpo perseq'!AC124*Pondération!$D$10</f>
        <v>5.0301446879063247E-6</v>
      </c>
      <c r="R124">
        <f>'Transpo perseq'!AD124*Pondération!$D$9</f>
        <v>-5.2231630728362801E-9</v>
      </c>
      <c r="S124">
        <f>'Transpo perseq'!AE124*Pondération!$D$11</f>
        <v>-9.0407194676102545E-8</v>
      </c>
      <c r="T124">
        <f t="shared" si="1"/>
        <v>1.6797043868065463E-5</v>
      </c>
    </row>
    <row r="125" spans="1:20" x14ac:dyDescent="0.3">
      <c r="A125" t="s">
        <v>1</v>
      </c>
      <c r="B125" t="s">
        <v>32</v>
      </c>
      <c r="C125" t="s">
        <v>75</v>
      </c>
      <c r="D125">
        <f>'Transpo perseq'!D125*Pondération!$D$17</f>
        <v>2.4204799999999998E-6</v>
      </c>
      <c r="E125">
        <f>'Transpo perseq'!E125*Pondération!$D$2</f>
        <v>8.6261759999999999E-6</v>
      </c>
      <c r="F125">
        <f>'Transpo perseq'!I125*Pondération!$D$12</f>
        <v>9.2159999999999999E-7</v>
      </c>
      <c r="G125">
        <f>'Transpo perseq'!M125*Pondération!$D$15</f>
        <v>7.6608000000000007E-9</v>
      </c>
      <c r="H125">
        <f>'Transpo perseq'!N125*Pondération!$D$14</f>
        <v>5.7305600000000002E-7</v>
      </c>
      <c r="I125">
        <f>'Transpo perseq'!O125*Pondération!$D$16</f>
        <v>8.607200000000001E-7</v>
      </c>
      <c r="J125">
        <f>'Transpo perseq'!P125*Pondération!$D$4</f>
        <v>3.0978719999999997E-5</v>
      </c>
      <c r="K125">
        <f>'Transpo perseq'!T125*Pondération!$D$5</f>
        <v>4.2789479776373603E-7</v>
      </c>
      <c r="L125">
        <f>'Transpo perseq'!X125*Pondération!$D$7</f>
        <v>2.4156050423402507E-7</v>
      </c>
      <c r="M125">
        <f>'Transpo perseq'!Y125*Pondération!$D$13</f>
        <v>1.0574209178669612E-7</v>
      </c>
      <c r="N125">
        <f>'Transpo perseq'!Z125*Pondération!$D$3</f>
        <v>1.3589804496949147E-15</v>
      </c>
      <c r="O125">
        <f>'Transpo perseq'!AA125*Pondération!$D$6</f>
        <v>5.6819434455147645E-6</v>
      </c>
      <c r="P125">
        <f>'Transpo perseq'!AB125*Pondération!$D$8</f>
        <v>1.3316996239528006E-6</v>
      </c>
      <c r="Q125">
        <f>'Transpo perseq'!AC125*Pondération!$D$10</f>
        <v>5.5092987012853774E-6</v>
      </c>
      <c r="R125">
        <f>'Transpo perseq'!AD125*Pondération!$D$9</f>
        <v>6.7795999069811375E-6</v>
      </c>
      <c r="S125">
        <f>'Transpo perseq'!AE125*Pondération!$D$11</f>
        <v>2.0517687024523869E-6</v>
      </c>
      <c r="T125">
        <f t="shared" si="1"/>
        <v>6.6517920575329887E-5</v>
      </c>
    </row>
    <row r="126" spans="1:20" x14ac:dyDescent="0.3">
      <c r="A126" t="s">
        <v>1</v>
      </c>
      <c r="B126" t="s">
        <v>32</v>
      </c>
      <c r="C126" t="s">
        <v>78</v>
      </c>
      <c r="D126">
        <f>'Transpo perseq'!D126*Pondération!$D$17</f>
        <v>1.5499688426808824E-4</v>
      </c>
      <c r="E126">
        <f>'Transpo perseq'!E126*Pondération!$D$2</f>
        <v>1.3653811109682556E-3</v>
      </c>
      <c r="F126">
        <f>'Transpo perseq'!I126*Pondération!$D$12</f>
        <v>2.8157756696433651E-4</v>
      </c>
      <c r="G126">
        <f>'Transpo perseq'!M126*Pondération!$D$15</f>
        <v>4.4990879162177989E-5</v>
      </c>
      <c r="H126">
        <f>'Transpo perseq'!N126*Pondération!$D$14</f>
        <v>4.9872557020362899E-5</v>
      </c>
      <c r="I126">
        <f>'Transpo perseq'!O126*Pondération!$D$16</f>
        <v>6.9209876091674773E-5</v>
      </c>
      <c r="J126">
        <f>'Transpo perseq'!P126*Pondération!$D$4</f>
        <v>2.5152621541091688E-5</v>
      </c>
      <c r="K126">
        <f>'Transpo perseq'!T126*Pondération!$D$5</f>
        <v>8.0179968716503151E-5</v>
      </c>
      <c r="L126">
        <f>'Transpo perseq'!X126*Pondération!$D$7</f>
        <v>2.2931617828457092E-4</v>
      </c>
      <c r="M126">
        <f>'Transpo perseq'!Y126*Pondération!$D$13</f>
        <v>8.1121939814406749E-6</v>
      </c>
      <c r="N126">
        <f>'Transpo perseq'!Z126*Pondération!$D$3</f>
        <v>7.5527455255658927E-7</v>
      </c>
      <c r="O126">
        <f>'Transpo perseq'!AA126*Pondération!$D$6</f>
        <v>1.7906102800520704E-4</v>
      </c>
      <c r="P126">
        <f>'Transpo perseq'!AB126*Pondération!$D$8</f>
        <v>1.4311501301158956E-4</v>
      </c>
      <c r="Q126">
        <f>'Transpo perseq'!AC126*Pondération!$D$10</f>
        <v>2.0488818669854281E-3</v>
      </c>
      <c r="R126">
        <f>'Transpo perseq'!AD126*Pondération!$D$9</f>
        <v>4.0529725800485018E-5</v>
      </c>
      <c r="S126">
        <f>'Transpo perseq'!AE126*Pondération!$D$11</f>
        <v>5.5973833449387254E-4</v>
      </c>
      <c r="T126">
        <f t="shared" si="1"/>
        <v>5.2808710798476401E-3</v>
      </c>
    </row>
    <row r="127" spans="1:20" x14ac:dyDescent="0.3">
      <c r="A127" t="s">
        <v>1</v>
      </c>
      <c r="B127" t="s">
        <v>32</v>
      </c>
      <c r="C127" t="s">
        <v>59</v>
      </c>
      <c r="D127">
        <f>'Transpo perseq'!D127*Pondération!$D$17</f>
        <v>3.1608296924953868E-6</v>
      </c>
      <c r="E127">
        <f>'Transpo perseq'!E127*Pondération!$D$2</f>
        <v>3.0748316662706058E-5</v>
      </c>
      <c r="F127">
        <f>'Transpo perseq'!I127*Pondération!$D$12</f>
        <v>5.522673659912355E-5</v>
      </c>
      <c r="G127">
        <f>'Transpo perseq'!M127*Pondération!$D$15</f>
        <v>7.2440700214741379E-7</v>
      </c>
      <c r="H127">
        <f>'Transpo perseq'!N127*Pondération!$D$14</f>
        <v>1.3109525483932885E-6</v>
      </c>
      <c r="I127">
        <f>'Transpo perseq'!O127*Pondération!$D$16</f>
        <v>1.5847305983610729E-6</v>
      </c>
      <c r="J127">
        <f>'Transpo perseq'!P127*Pondération!$D$4</f>
        <v>2.1261515262360539E-6</v>
      </c>
      <c r="K127">
        <f>'Transpo perseq'!T127*Pondération!$D$5</f>
        <v>1.3588926487939676E-5</v>
      </c>
      <c r="L127">
        <f>'Transpo perseq'!X127*Pondération!$D$7</f>
        <v>3.6641013729032011E-6</v>
      </c>
      <c r="M127">
        <f>'Transpo perseq'!Y127*Pondération!$D$13</f>
        <v>1.4212068510154111E-8</v>
      </c>
      <c r="N127">
        <f>'Transpo perseq'!Z127*Pondération!$D$3</f>
        <v>5.7296835032039669E-14</v>
      </c>
      <c r="O127">
        <f>'Transpo perseq'!AA127*Pondération!$D$6</f>
        <v>3.2678920739045249E-6</v>
      </c>
      <c r="P127">
        <f>'Transpo perseq'!AB127*Pondération!$D$8</f>
        <v>2.8482201062639943E-6</v>
      </c>
      <c r="Q127">
        <f>'Transpo perseq'!AC127*Pondération!$D$10</f>
        <v>2.8051687668059757E-5</v>
      </c>
      <c r="R127">
        <f>'Transpo perseq'!AD127*Pondération!$D$9</f>
        <v>6.8998000849978064E-7</v>
      </c>
      <c r="S127">
        <f>'Transpo perseq'!AE127*Pondération!$D$11</f>
        <v>6.3452600253471916E-5</v>
      </c>
      <c r="T127">
        <f t="shared" si="1"/>
        <v>2.1045974472631265E-4</v>
      </c>
    </row>
    <row r="128" spans="1:20" x14ac:dyDescent="0.3">
      <c r="A128" t="s">
        <v>1</v>
      </c>
      <c r="B128" t="s">
        <v>32</v>
      </c>
      <c r="C128" t="s">
        <v>56</v>
      </c>
      <c r="D128">
        <f>'Transpo perseq'!D128*Pondération!$D$17</f>
        <v>9.1207286614532044E-6</v>
      </c>
      <c r="E128">
        <f>'Transpo perseq'!E128*Pondération!$D$2</f>
        <v>3.4819811331042219E-5</v>
      </c>
      <c r="F128">
        <f>'Transpo perseq'!I128*Pondération!$D$12</f>
        <v>2.6437354865947509E-6</v>
      </c>
      <c r="G128">
        <f>'Transpo perseq'!M128*Pondération!$D$15</f>
        <v>2.0799766100194098E-6</v>
      </c>
      <c r="H128">
        <f>'Transpo perseq'!N128*Pondération!$D$14</f>
        <v>4.4985937260387542E-6</v>
      </c>
      <c r="I128">
        <f>'Transpo perseq'!O128*Pondération!$D$16</f>
        <v>6.264573759511244E-6</v>
      </c>
      <c r="J128">
        <f>'Transpo perseq'!P128*Pondération!$D$4</f>
        <v>6.9523649098867819E-7</v>
      </c>
      <c r="K128">
        <f>'Transpo perseq'!T128*Pondération!$D$5</f>
        <v>3.1618238258622159E-6</v>
      </c>
      <c r="L128">
        <f>'Transpo perseq'!X128*Pondération!$D$7</f>
        <v>-1.2893011044416707E-5</v>
      </c>
      <c r="M128">
        <f>'Transpo perseq'!Y128*Pondération!$D$13</f>
        <v>1.6711868327788843E-4</v>
      </c>
      <c r="N128">
        <f>'Transpo perseq'!Z128*Pondération!$D$3</f>
        <v>2.5582649528321523E-8</v>
      </c>
      <c r="O128">
        <f>'Transpo perseq'!AA128*Pondération!$D$6</f>
        <v>1.5575176181599213E-5</v>
      </c>
      <c r="P128">
        <f>'Transpo perseq'!AB128*Pondération!$D$8</f>
        <v>9.8958585923786035E-6</v>
      </c>
      <c r="Q128">
        <f>'Transpo perseq'!AC128*Pondération!$D$10</f>
        <v>-6.8756442303672383E-6</v>
      </c>
      <c r="R128">
        <f>'Transpo perseq'!AD128*Pondération!$D$9</f>
        <v>3.7884759992739277E-7</v>
      </c>
      <c r="S128">
        <f>'Transpo perseq'!AE128*Pondération!$D$11</f>
        <v>3.2005076181687889E-4</v>
      </c>
      <c r="T128">
        <f t="shared" si="1"/>
        <v>5.5656073473492741E-4</v>
      </c>
    </row>
    <row r="129" spans="1:20" x14ac:dyDescent="0.3">
      <c r="A129" t="s">
        <v>1</v>
      </c>
      <c r="B129" t="s">
        <v>32</v>
      </c>
      <c r="C129" t="s">
        <v>57</v>
      </c>
      <c r="D129">
        <f>'Transpo perseq'!D129*Pondération!$D$17</f>
        <v>7.1623462079989982E-5</v>
      </c>
      <c r="E129">
        <f>'Transpo perseq'!E129*Pondération!$D$2</f>
        <v>2.7935032245856195E-4</v>
      </c>
      <c r="F129">
        <f>'Transpo perseq'!I129*Pondération!$D$12</f>
        <v>4.7665181936378572E-5</v>
      </c>
      <c r="G129">
        <f>'Transpo perseq'!M129*Pondération!$D$15</f>
        <v>5.5498534574459646E-7</v>
      </c>
      <c r="H129">
        <f>'Transpo perseq'!N129*Pondération!$D$14</f>
        <v>4.7506150960653079E-5</v>
      </c>
      <c r="I129">
        <f>'Transpo perseq'!O129*Pondération!$D$16</f>
        <v>7.2865494011080295E-5</v>
      </c>
      <c r="J129">
        <f>'Transpo perseq'!P129*Pondération!$D$4</f>
        <v>2.7021487086569046E-6</v>
      </c>
      <c r="K129">
        <f>'Transpo perseq'!T129*Pondération!$D$5</f>
        <v>9.5294061842792381E-6</v>
      </c>
      <c r="L129">
        <f>'Transpo perseq'!X129*Pondération!$D$7</f>
        <v>4.5133363885565243E-7</v>
      </c>
      <c r="M129">
        <f>'Transpo perseq'!Y129*Pondération!$D$13</f>
        <v>4.7552086075661562E-6</v>
      </c>
      <c r="N129">
        <f>'Transpo perseq'!Z129*Pondération!$D$3</f>
        <v>2.4894205140628889E-15</v>
      </c>
      <c r="O129">
        <f>'Transpo perseq'!AA129*Pondération!$D$6</f>
        <v>3.5863959184678196E-5</v>
      </c>
      <c r="P129">
        <f>'Transpo perseq'!AB129*Pondération!$D$8</f>
        <v>7.1262569088481956E-5</v>
      </c>
      <c r="Q129">
        <f>'Transpo perseq'!AC129*Pondération!$D$10</f>
        <v>1.8276294874008505E-4</v>
      </c>
      <c r="R129">
        <f>'Transpo perseq'!AD129*Pondération!$D$9</f>
        <v>1.132104088201699E-6</v>
      </c>
      <c r="S129">
        <f>'Transpo perseq'!AE129*Pondération!$D$11</f>
        <v>7.3818092131848811E-7</v>
      </c>
      <c r="T129">
        <f t="shared" si="1"/>
        <v>8.2876345595702132E-4</v>
      </c>
    </row>
    <row r="130" spans="1:20" x14ac:dyDescent="0.3">
      <c r="A130" t="s">
        <v>1</v>
      </c>
      <c r="B130" t="s">
        <v>33</v>
      </c>
      <c r="C130" t="s">
        <v>87</v>
      </c>
      <c r="D130">
        <f>'Transpo perseq'!D130*Pondération!$D$17</f>
        <v>2.19232E-4</v>
      </c>
      <c r="E130">
        <f>'Transpo perseq'!E130*Pondération!$D$2</f>
        <v>1.8330624E-3</v>
      </c>
      <c r="F130">
        <f>'Transpo perseq'!I130*Pondération!$D$12</f>
        <v>5.3452799999999998E-5</v>
      </c>
      <c r="G130">
        <f>'Transpo perseq'!M130*Pondération!$D$15</f>
        <v>1.67104E-6</v>
      </c>
      <c r="H130">
        <f>'Transpo perseq'!N130*Pondération!$D$14</f>
        <v>5.6832000000000001E-5</v>
      </c>
      <c r="I130">
        <f>'Transpo perseq'!O130*Pondération!$D$16</f>
        <v>8.369760000000001E-5</v>
      </c>
      <c r="J130">
        <f>'Transpo perseq'!P130*Pondération!$D$4</f>
        <v>2.3583359999999999E-5</v>
      </c>
      <c r="K130">
        <f>'Transpo perseq'!T130*Pondération!$D$5</f>
        <v>6.0977091346723238E-5</v>
      </c>
      <c r="L130">
        <f>'Transpo perseq'!X130*Pondération!$D$7</f>
        <v>-1.6481169500478098E-7</v>
      </c>
      <c r="M130">
        <f>'Transpo perseq'!Y130*Pondération!$D$13</f>
        <v>6.2892115769782539E-6</v>
      </c>
      <c r="N130">
        <f>'Transpo perseq'!Z130*Pondération!$D$3</f>
        <v>6.676380465668338E-14</v>
      </c>
      <c r="O130">
        <f>'Transpo perseq'!AA130*Pondération!$D$6</f>
        <v>1.2983679363721358E-3</v>
      </c>
      <c r="P130">
        <f>'Transpo perseq'!AB130*Pondération!$D$8</f>
        <v>1.5685038548686456E-4</v>
      </c>
      <c r="Q130">
        <f>'Transpo perseq'!AC130*Pondération!$D$10</f>
        <v>1.0337226231709391E-3</v>
      </c>
      <c r="R130">
        <f>'Transpo perseq'!AD130*Pondération!$D$9</f>
        <v>1.7348398709382952E-4</v>
      </c>
      <c r="S130">
        <f>'Transpo perseq'!AE130*Pondération!$D$11</f>
        <v>3.6083363411889566E-3</v>
      </c>
      <c r="T130">
        <f t="shared" si="1"/>
        <v>8.6093939646081884E-3</v>
      </c>
    </row>
    <row r="131" spans="1:20" x14ac:dyDescent="0.3">
      <c r="A131" t="s">
        <v>1</v>
      </c>
      <c r="B131" t="s">
        <v>33</v>
      </c>
      <c r="C131">
        <v>4140</v>
      </c>
      <c r="D131">
        <f>'Transpo perseq'!D131*Pondération!$D$17</f>
        <v>3.1049600000000003E-7</v>
      </c>
      <c r="E131">
        <f>'Transpo perseq'!E131*Pondération!$D$2</f>
        <v>2.5878528000000001E-6</v>
      </c>
      <c r="F131">
        <f>'Transpo perseq'!I131*Pondération!$D$12</f>
        <v>7.5263999999999992E-8</v>
      </c>
      <c r="G131">
        <f>'Transpo perseq'!M131*Pondération!$D$15</f>
        <v>2.3609600000000001E-9</v>
      </c>
      <c r="H131">
        <f>'Transpo perseq'!N131*Pondération!$D$14</f>
        <v>8.0512E-8</v>
      </c>
      <c r="I131">
        <f>'Transpo perseq'!O131*Pondération!$D$16</f>
        <v>1.1871999999999999E-7</v>
      </c>
      <c r="J131">
        <f>'Transpo perseq'!P131*Pondération!$D$4</f>
        <v>3.3296160000000001E-8</v>
      </c>
      <c r="K131">
        <f>'Transpo perseq'!T131*Pondération!$D$5</f>
        <v>8.6065054829531586E-8</v>
      </c>
      <c r="L131">
        <f>'Transpo perseq'!X131*Pondération!$D$7</f>
        <v>-2.3262059986560202E-10</v>
      </c>
      <c r="M131">
        <f>'Transpo perseq'!Y131*Pondération!$D$13</f>
        <v>8.876798273787223E-9</v>
      </c>
      <c r="N131">
        <f>'Transpo perseq'!Z131*Pondération!$D$3</f>
        <v>9.4232610665749242E-17</v>
      </c>
      <c r="O131">
        <f>'Transpo perseq'!AA131*Pondération!$D$6</f>
        <v>1.8325588375047761E-6</v>
      </c>
      <c r="P131">
        <f>'Transpo perseq'!AB131*Pondération!$D$8</f>
        <v>2.213837480407403E-7</v>
      </c>
      <c r="Q131">
        <f>'Transpo perseq'!AC131*Pondération!$D$10</f>
        <v>1.4590298139321682E-6</v>
      </c>
      <c r="R131">
        <f>'Transpo perseq'!AD131*Pondération!$D$9</f>
        <v>2.4486095567230679E-7</v>
      </c>
      <c r="S131">
        <f>'Transpo perseq'!AE131*Pondération!$D$11</f>
        <v>5.0929235584882799E-6</v>
      </c>
      <c r="T131">
        <f t="shared" ref="T131:T194" si="2">SUM(D131:S131)</f>
        <v>1.2153968066235955E-5</v>
      </c>
    </row>
    <row r="132" spans="1:20" x14ac:dyDescent="0.3">
      <c r="A132" t="s">
        <v>1</v>
      </c>
      <c r="B132" t="s">
        <v>33</v>
      </c>
      <c r="C132" t="s">
        <v>70</v>
      </c>
      <c r="D132">
        <f>'Transpo perseq'!D132*Pondération!$D$17</f>
        <v>1.3888000000000001E-2</v>
      </c>
      <c r="E132">
        <f>'Transpo perseq'!E132*Pondération!$D$2</f>
        <v>6.705504000000001E-2</v>
      </c>
      <c r="F132">
        <f>'Transpo perseq'!I132*Pondération!$D$12</f>
        <v>5.0380800000000003E-3</v>
      </c>
      <c r="G132">
        <f>'Transpo perseq'!M132*Pondération!$D$15</f>
        <v>1.3753600000000001E-4</v>
      </c>
      <c r="H132">
        <f>'Transpo perseq'!N132*Pondération!$D$14</f>
        <v>2.8084480000000003E-3</v>
      </c>
      <c r="I132">
        <f>'Transpo perseq'!O132*Pondération!$D$16</f>
        <v>4.2442399999999998E-3</v>
      </c>
      <c r="J132">
        <f>'Transpo perseq'!P132*Pondération!$D$4</f>
        <v>1.506336E-3</v>
      </c>
      <c r="K132">
        <f>'Transpo perseq'!T132*Pondération!$D$5</f>
        <v>2.3176277853145951E-3</v>
      </c>
      <c r="L132">
        <f>'Transpo perseq'!X132*Pondération!$D$7</f>
        <v>3.9709949791843953E-3</v>
      </c>
      <c r="M132">
        <f>'Transpo perseq'!Y132*Pondération!$D$13</f>
        <v>5.6012479166651387E-4</v>
      </c>
      <c r="N132">
        <f>'Transpo perseq'!Z132*Pondération!$D$3</f>
        <v>2.2093528418216407E-5</v>
      </c>
      <c r="O132">
        <f>'Transpo perseq'!AA132*Pondération!$D$6</f>
        <v>1.9577728050861425E-2</v>
      </c>
      <c r="P132">
        <f>'Transpo perseq'!AB132*Pondération!$D$8</f>
        <v>6.7319266643850106E-3</v>
      </c>
      <c r="Q132">
        <f>'Transpo perseq'!AC132*Pondération!$D$10</f>
        <v>4.3222252708714791E-2</v>
      </c>
      <c r="R132">
        <f>'Transpo perseq'!AD132*Pondération!$D$9</f>
        <v>4.6193820148201607E-2</v>
      </c>
      <c r="S132">
        <f>'Transpo perseq'!AE132*Pondération!$D$11</f>
        <v>5.5995298941519155E-3</v>
      </c>
      <c r="T132">
        <f t="shared" si="2"/>
        <v>0.22287377855089849</v>
      </c>
    </row>
    <row r="133" spans="1:20" x14ac:dyDescent="0.3">
      <c r="A133" t="s">
        <v>1</v>
      </c>
      <c r="B133" t="s">
        <v>33</v>
      </c>
      <c r="C133" t="s">
        <v>71</v>
      </c>
      <c r="D133">
        <f>'Transpo perseq'!D133*Pondération!$D$17</f>
        <v>5.6841599999999997E-3</v>
      </c>
      <c r="E133">
        <f>'Transpo perseq'!E133*Pondération!$D$2</f>
        <v>2.7192672000000005E-2</v>
      </c>
      <c r="F133">
        <f>'Transpo perseq'!I133*Pondération!$D$12</f>
        <v>2.1534719999999996E-3</v>
      </c>
      <c r="G133">
        <f>'Transpo perseq'!M133*Pondération!$D$15</f>
        <v>7.8848000000000001E-5</v>
      </c>
      <c r="H133">
        <f>'Transpo perseq'!N133*Pondération!$D$14</f>
        <v>1.1413759999999999E-3</v>
      </c>
      <c r="I133">
        <f>'Transpo perseq'!O133*Pondération!$D$16</f>
        <v>1.7214399999999999E-3</v>
      </c>
      <c r="J133">
        <f>'Transpo perseq'!P133*Pondération!$D$4</f>
        <v>6.3729599999999998E-4</v>
      </c>
      <c r="K133">
        <f>'Transpo perseq'!T133*Pondération!$D$5</f>
        <v>9.7090919486158059E-4</v>
      </c>
      <c r="L133">
        <f>'Transpo perseq'!X133*Pondération!$D$7</f>
        <v>1.6314868307773865E-3</v>
      </c>
      <c r="M133">
        <f>'Transpo perseq'!Y133*Pondération!$D$13</f>
        <v>2.3321629101087665E-4</v>
      </c>
      <c r="N133">
        <f>'Transpo perseq'!Z133*Pondération!$D$3</f>
        <v>1.3924861263829111E-5</v>
      </c>
      <c r="O133">
        <f>'Transpo perseq'!AA133*Pondération!$D$6</f>
        <v>8.140703818673994E-3</v>
      </c>
      <c r="P133">
        <f>'Transpo perseq'!AB133*Pondération!$D$8</f>
        <v>2.7498292792629414E-3</v>
      </c>
      <c r="Q133">
        <f>'Transpo perseq'!AC133*Pondération!$D$10</f>
        <v>1.7464406006000712E-2</v>
      </c>
      <c r="R133">
        <f>'Transpo perseq'!AD133*Pondération!$D$9</f>
        <v>1.9477649324594844E-2</v>
      </c>
      <c r="S133">
        <f>'Transpo perseq'!AE133*Pondération!$D$11</f>
        <v>2.9777617558282405E-3</v>
      </c>
      <c r="T133">
        <f t="shared" si="2"/>
        <v>9.2269151362274412E-2</v>
      </c>
    </row>
    <row r="134" spans="1:20" x14ac:dyDescent="0.3">
      <c r="A134" t="s">
        <v>1</v>
      </c>
      <c r="B134" t="s">
        <v>33</v>
      </c>
      <c r="C134" t="s">
        <v>72</v>
      </c>
      <c r="D134">
        <f>'Transpo perseq'!D134*Pondération!$D$17</f>
        <v>3.7993599999999999E-4</v>
      </c>
      <c r="E134">
        <f>'Transpo perseq'!E134*Pondération!$D$2</f>
        <v>1.9476287999999999E-3</v>
      </c>
      <c r="F134">
        <f>'Transpo perseq'!I134*Pondération!$D$12</f>
        <v>1.345536E-4</v>
      </c>
      <c r="G134">
        <f>'Transpo perseq'!M134*Pondération!$D$15</f>
        <v>6.3168E-7</v>
      </c>
      <c r="H134">
        <f>'Transpo perseq'!N134*Pondération!$D$14</f>
        <v>7.3407999999999999E-5</v>
      </c>
      <c r="I134">
        <f>'Transpo perseq'!O134*Pondération!$D$16</f>
        <v>1.1100319999999999E-4</v>
      </c>
      <c r="J134">
        <f>'Transpo perseq'!P134*Pondération!$D$4</f>
        <v>4.5667200000000002E-5</v>
      </c>
      <c r="K134">
        <f>'Transpo perseq'!T134*Pondération!$D$5</f>
        <v>6.3510476563643183E-5</v>
      </c>
      <c r="L134">
        <f>'Transpo perseq'!X134*Pondération!$D$7</f>
        <v>1.1468241755564434E-4</v>
      </c>
      <c r="M134">
        <f>'Transpo perseq'!Y134*Pondération!$D$13</f>
        <v>8.5362314408067974E-6</v>
      </c>
      <c r="N134">
        <f>'Transpo perseq'!Z134*Pondération!$D$3</f>
        <v>2.7253660894683662E-12</v>
      </c>
      <c r="O134">
        <f>'Transpo perseq'!AA134*Pondération!$D$6</f>
        <v>5.8038256925502588E-4</v>
      </c>
      <c r="P134">
        <f>'Transpo perseq'!AB134*Pondération!$D$8</f>
        <v>1.7629899143989074E-4</v>
      </c>
      <c r="Q134">
        <f>'Transpo perseq'!AC134*Pondération!$D$10</f>
        <v>1.1735104475685853E-3</v>
      </c>
      <c r="R134">
        <f>'Transpo perseq'!AD134*Pondération!$D$9</f>
        <v>1.3667988225214437E-4</v>
      </c>
      <c r="S134">
        <f>'Transpo perseq'!AE134*Pondération!$D$11</f>
        <v>8.2309455181792582E-5</v>
      </c>
      <c r="T134">
        <f t="shared" si="2"/>
        <v>5.0287389539828992E-3</v>
      </c>
    </row>
    <row r="135" spans="1:20" x14ac:dyDescent="0.3">
      <c r="A135" t="s">
        <v>1</v>
      </c>
      <c r="B135" t="s">
        <v>33</v>
      </c>
      <c r="C135" t="s">
        <v>58</v>
      </c>
      <c r="D135">
        <f>'Transpo perseq'!D135*Pondération!$D$17</f>
        <v>2.6150553805489804E-4</v>
      </c>
      <c r="E135">
        <f>'Transpo perseq'!E135*Pondération!$D$2</f>
        <v>2.1831449173307562E-3</v>
      </c>
      <c r="F135">
        <f>'Transpo perseq'!I135*Pondération!$D$12</f>
        <v>6.3559651997822044E-5</v>
      </c>
      <c r="G135">
        <f>'Transpo perseq'!M135*Pondération!$D$15</f>
        <v>1.9909116927435322E-6</v>
      </c>
      <c r="H135">
        <f>'Transpo perseq'!N135*Pondération!$D$14</f>
        <v>6.7741229562197079E-5</v>
      </c>
      <c r="I135">
        <f>'Transpo perseq'!O135*Pondération!$D$16</f>
        <v>9.9992302051970689E-5</v>
      </c>
      <c r="J135">
        <f>'Transpo perseq'!P135*Pondération!$D$4</f>
        <v>2.8081680114237221E-5</v>
      </c>
      <c r="K135">
        <f>'Transpo perseq'!T135*Pondération!$D$5</f>
        <v>7.2595873748709851E-5</v>
      </c>
      <c r="L135">
        <f>'Transpo perseq'!X135*Pondération!$D$7</f>
        <v>-1.9621547598663995E-7</v>
      </c>
      <c r="M135">
        <f>'Transpo perseq'!Y135*Pondération!$D$13</f>
        <v>7.4875793439395326E-6</v>
      </c>
      <c r="N135">
        <f>'Transpo perseq'!Z135*Pondération!$D$3</f>
        <v>7.9485207096559549E-14</v>
      </c>
      <c r="O135">
        <f>'Transpo perseq'!AA135*Pondération!$D$6</f>
        <v>1.5457633794352761E-3</v>
      </c>
      <c r="P135">
        <f>'Transpo perseq'!AB135*Pondération!$D$8</f>
        <v>1.867371914723646E-4</v>
      </c>
      <c r="Q135">
        <f>'Transpo perseq'!AC135*Pondération!$D$10</f>
        <v>1.2306916480517814E-3</v>
      </c>
      <c r="R135">
        <f>'Transpo perseq'!AD135*Pondération!$D$9</f>
        <v>2.0654021610959095E-4</v>
      </c>
      <c r="S135">
        <f>'Transpo perseq'!AE135*Pondération!$D$11</f>
        <v>4.2958810215848802E-3</v>
      </c>
      <c r="T135">
        <f t="shared" si="2"/>
        <v>1.0251516925154667E-2</v>
      </c>
    </row>
    <row r="136" spans="1:20" x14ac:dyDescent="0.3">
      <c r="A136" t="s">
        <v>1</v>
      </c>
      <c r="B136" t="s">
        <v>33</v>
      </c>
      <c r="C136" t="s">
        <v>75</v>
      </c>
      <c r="D136">
        <f>'Transpo perseq'!D136*Pondération!$D$17</f>
        <v>2.3715570312463537E-5</v>
      </c>
      <c r="E136">
        <f>'Transpo perseq'!E136*Pondération!$D$2</f>
        <v>8.3026791996841266E-5</v>
      </c>
      <c r="F136">
        <f>'Transpo perseq'!I136*Pondération!$D$12</f>
        <v>8.7079574519064576E-6</v>
      </c>
      <c r="G136">
        <f>'Transpo perseq'!M136*Pondération!$D$15</f>
        <v>7.7460993703453248E-8</v>
      </c>
      <c r="H136">
        <f>'Transpo perseq'!N136*Pondération!$D$14</f>
        <v>5.5550599458231808E-6</v>
      </c>
      <c r="I136">
        <f>'Transpo perseq'!O136*Pondération!$D$16</f>
        <v>8.3648093454989315E-6</v>
      </c>
      <c r="J136">
        <f>'Transpo perseq'!P136*Pondération!$D$4</f>
        <v>2.9285696388966982E-4</v>
      </c>
      <c r="K136">
        <f>'Transpo perseq'!T136*Pondération!$D$5</f>
        <v>4.1023454878872526E-6</v>
      </c>
      <c r="L136">
        <f>'Transpo perseq'!X136*Pondération!$D$7</f>
        <v>1.7943678808148528E-6</v>
      </c>
      <c r="M136">
        <f>'Transpo perseq'!Y136*Pondération!$D$13</f>
        <v>1.0835590770562665E-6</v>
      </c>
      <c r="N136">
        <f>'Transpo perseq'!Z136*Pondération!$D$3</f>
        <v>1.2523708374990072E-14</v>
      </c>
      <c r="O136">
        <f>'Transpo perseq'!AA136*Pondération!$D$6</f>
        <v>5.4784217716975737E-5</v>
      </c>
      <c r="P136">
        <f>'Transpo perseq'!AB136*Pondération!$D$8</f>
        <v>1.290784060024228E-5</v>
      </c>
      <c r="Q136">
        <f>'Transpo perseq'!AC136*Pondération!$D$10</f>
        <v>5.2421372026136024E-5</v>
      </c>
      <c r="R136">
        <f>'Transpo perseq'!AD136*Pondération!$D$9</f>
        <v>6.4112179140708383E-5</v>
      </c>
      <c r="S136">
        <f>'Transpo perseq'!AE136*Pondération!$D$11</f>
        <v>1.9435208916779905E-5</v>
      </c>
      <c r="T136">
        <f t="shared" si="2"/>
        <v>6.3294570479503103E-4</v>
      </c>
    </row>
    <row r="137" spans="1:20" x14ac:dyDescent="0.3">
      <c r="A137" t="s">
        <v>1</v>
      </c>
      <c r="B137" t="s">
        <v>33</v>
      </c>
      <c r="C137" t="s">
        <v>59</v>
      </c>
      <c r="D137">
        <f>'Transpo perseq'!D137*Pondération!$D$17</f>
        <v>4.4141182604908756E-5</v>
      </c>
      <c r="E137">
        <f>'Transpo perseq'!E137*Pondération!$D$2</f>
        <v>2.7194082653930296E-4</v>
      </c>
      <c r="F137">
        <f>'Transpo perseq'!I137*Pondération!$D$12</f>
        <v>4.300167091836303E-4</v>
      </c>
      <c r="G137">
        <f>'Transpo perseq'!M137*Pondération!$D$15</f>
        <v>5.7647703610362435E-6</v>
      </c>
      <c r="H137">
        <f>'Transpo perseq'!N137*Pondération!$D$14</f>
        <v>1.3495186600952215E-5</v>
      </c>
      <c r="I137">
        <f>'Transpo perseq'!O137*Pondération!$D$16</f>
        <v>1.7416602793235439E-5</v>
      </c>
      <c r="J137">
        <f>'Transpo perseq'!P137*Pondération!$D$4</f>
        <v>1.7023785309006974E-5</v>
      </c>
      <c r="K137">
        <f>'Transpo perseq'!T137*Pondération!$D$5</f>
        <v>1.0722499497956277E-4</v>
      </c>
      <c r="L137">
        <f>'Transpo perseq'!X137*Pondération!$D$7</f>
        <v>1.6531561278352265E-5</v>
      </c>
      <c r="M137">
        <f>'Transpo perseq'!Y137*Pondération!$D$13</f>
        <v>2.1637290064466715E-6</v>
      </c>
      <c r="N137">
        <f>'Transpo perseq'!Z137*Pondération!$D$3</f>
        <v>4.3826306004687154E-13</v>
      </c>
      <c r="O137">
        <f>'Transpo perseq'!AA137*Pondération!$D$6</f>
        <v>5.139469169129093E-5</v>
      </c>
      <c r="P137">
        <f>'Transpo perseq'!AB137*Pondération!$D$8</f>
        <v>2.9880500707709407E-5</v>
      </c>
      <c r="Q137">
        <f>'Transpo perseq'!AC137*Pondération!$D$10</f>
        <v>2.2652427690420334E-4</v>
      </c>
      <c r="R137">
        <f>'Transpo perseq'!AD137*Pondération!$D$9</f>
        <v>5.5834075286343709E-6</v>
      </c>
      <c r="S137">
        <f>'Transpo perseq'!AE137*Pondération!$D$11</f>
        <v>4.9505572191278107E-4</v>
      </c>
      <c r="T137">
        <f t="shared" si="2"/>
        <v>1.7341579478393166E-3</v>
      </c>
    </row>
    <row r="138" spans="1:20" x14ac:dyDescent="0.3">
      <c r="A138" t="s">
        <v>1</v>
      </c>
      <c r="B138" t="s">
        <v>33</v>
      </c>
      <c r="C138" t="s">
        <v>56</v>
      </c>
      <c r="D138">
        <f>'Transpo perseq'!D138*Pondération!$D$17</f>
        <v>1.9007035035632758E-4</v>
      </c>
      <c r="E138">
        <f>'Transpo perseq'!E138*Pondération!$D$2</f>
        <v>7.6828920490554752E-4</v>
      </c>
      <c r="F138">
        <f>'Transpo perseq'!I138*Pondération!$D$12</f>
        <v>1.3773193480303287E-4</v>
      </c>
      <c r="G138">
        <f>'Transpo perseq'!M138*Pondération!$D$15</f>
        <v>2.0642306311613191E-4</v>
      </c>
      <c r="H138">
        <f>'Transpo perseq'!N138*Pondération!$D$14</f>
        <v>5.6667096563586633E-5</v>
      </c>
      <c r="I138">
        <f>'Transpo perseq'!O138*Pondération!$D$16</f>
        <v>7.3128852572386776E-5</v>
      </c>
      <c r="J138">
        <f>'Transpo perseq'!P138*Pondération!$D$4</f>
        <v>1.3522582164077264E-5</v>
      </c>
      <c r="K138">
        <f>'Transpo perseq'!T138*Pondération!$D$5</f>
        <v>2.6623178679275588E-5</v>
      </c>
      <c r="L138">
        <f>'Transpo perseq'!X138*Pondération!$D$7</f>
        <v>8.1758653438900549E-5</v>
      </c>
      <c r="M138">
        <f>'Transpo perseq'!Y138*Pondération!$D$13</f>
        <v>2.8830838409321267E-4</v>
      </c>
      <c r="N138">
        <f>'Transpo perseq'!Z138*Pondération!$D$3</f>
        <v>3.2465300286591329E-6</v>
      </c>
      <c r="O138">
        <f>'Transpo perseq'!AA138*Pondération!$D$6</f>
        <v>4.9588707019319336E-4</v>
      </c>
      <c r="P138">
        <f>'Transpo perseq'!AB138*Pondération!$D$8</f>
        <v>1.1865899964464057E-4</v>
      </c>
      <c r="Q138">
        <f>'Transpo perseq'!AC138*Pondération!$D$10</f>
        <v>4.8916253455365971E-4</v>
      </c>
      <c r="R138">
        <f>'Transpo perseq'!AD138*Pondération!$D$9</f>
        <v>3.260774003021712E-5</v>
      </c>
      <c r="S138">
        <f>'Transpo perseq'!AE138*Pondération!$D$11</f>
        <v>4.0018409122801718E-2</v>
      </c>
      <c r="T138">
        <f t="shared" si="2"/>
        <v>4.3000495297944565E-2</v>
      </c>
    </row>
    <row r="139" spans="1:20" x14ac:dyDescent="0.3">
      <c r="A139" t="s">
        <v>1</v>
      </c>
      <c r="B139" t="s">
        <v>33</v>
      </c>
      <c r="C139" t="s">
        <v>57</v>
      </c>
      <c r="D139">
        <f>'Transpo perseq'!D139*Pondération!$D$17</f>
        <v>1.1285377765166294E-2</v>
      </c>
      <c r="E139">
        <f>'Transpo perseq'!E139*Pondération!$D$2</f>
        <v>6.5763789017744725E-2</v>
      </c>
      <c r="F139">
        <f>'Transpo perseq'!I139*Pondération!$D$12</f>
        <v>1.1186586851368641E-2</v>
      </c>
      <c r="G139">
        <f>'Transpo perseq'!M139*Pondération!$D$15</f>
        <v>7.127006555412039E-6</v>
      </c>
      <c r="H139">
        <f>'Transpo perseq'!N139*Pondération!$D$14</f>
        <v>6.9208515985361603E-3</v>
      </c>
      <c r="I139">
        <f>'Transpo perseq'!O139*Pondération!$D$16</f>
        <v>1.05054038466867E-2</v>
      </c>
      <c r="J139">
        <f>'Transpo perseq'!P139*Pondération!$D$4</f>
        <v>5.8105275475872338E-4</v>
      </c>
      <c r="K139">
        <f>'Transpo perseq'!T139*Pondération!$D$5</f>
        <v>1.6747519643115062E-3</v>
      </c>
      <c r="L139">
        <f>'Transpo perseq'!X139*Pondération!$D$7</f>
        <v>4.5070491920492507E-5</v>
      </c>
      <c r="M139">
        <f>'Transpo perseq'!Y139*Pondération!$D$13</f>
        <v>6.7274266280560776E-6</v>
      </c>
      <c r="N139">
        <f>'Transpo perseq'!Z139*Pondération!$D$3</f>
        <v>2.3511112776566807E-13</v>
      </c>
      <c r="O139">
        <f>'Transpo perseq'!AA139*Pondération!$D$6</f>
        <v>4.8553676151635123E-3</v>
      </c>
      <c r="P139">
        <f>'Transpo perseq'!AB139*Pondération!$D$8</f>
        <v>1.5328271602720767E-2</v>
      </c>
      <c r="Q139">
        <f>'Transpo perseq'!AC139*Pondération!$D$10</f>
        <v>4.3770808765119754E-2</v>
      </c>
      <c r="R139">
        <f>'Transpo perseq'!AD139*Pondération!$D$9</f>
        <v>9.9091082800183936E-5</v>
      </c>
      <c r="S139">
        <f>'Transpo perseq'!AE139*Pondération!$D$11</f>
        <v>2.4479912791273163E-5</v>
      </c>
      <c r="T139">
        <f t="shared" si="2"/>
        <v>0.17205475770250733</v>
      </c>
    </row>
    <row r="140" spans="1:20" x14ac:dyDescent="0.3">
      <c r="A140" t="s">
        <v>1</v>
      </c>
      <c r="B140" t="s">
        <v>34</v>
      </c>
      <c r="C140" t="s">
        <v>82</v>
      </c>
      <c r="D140">
        <f>'Transpo perseq'!D140*Pondération!$D$17</f>
        <v>1.380218811221183E-5</v>
      </c>
      <c r="E140">
        <f>'Transpo perseq'!E140*Pondération!$D$2</f>
        <v>1.627522124118227E-4</v>
      </c>
      <c r="F140">
        <f>'Transpo perseq'!I140*Pondération!$D$12</f>
        <v>3.6335514772702306E-5</v>
      </c>
      <c r="G140">
        <f>'Transpo perseq'!M140*Pondération!$D$15</f>
        <v>3.0080937366990227E-7</v>
      </c>
      <c r="H140">
        <f>'Transpo perseq'!N140*Pondération!$D$14</f>
        <v>6.1841220628508476E-6</v>
      </c>
      <c r="I140">
        <f>'Transpo perseq'!O140*Pondération!$D$16</f>
        <v>8.704535567577127E-6</v>
      </c>
      <c r="J140">
        <f>'Transpo perseq'!P140*Pondération!$D$4</f>
        <v>2.1277051067750657E-6</v>
      </c>
      <c r="K140">
        <f>'Transpo perseq'!T140*Pondération!$D$5</f>
        <v>7.1341049749797279E-6</v>
      </c>
      <c r="L140">
        <f>'Transpo perseq'!X140*Pondération!$D$7</f>
        <v>3.4026751526241851E-6</v>
      </c>
      <c r="M140">
        <f>'Transpo perseq'!Y140*Pondération!$D$13</f>
        <v>4.2938356878199423E-7</v>
      </c>
      <c r="N140">
        <f>'Transpo perseq'!Z140*Pondération!$D$3</f>
        <v>1.0775873480545237E-8</v>
      </c>
      <c r="O140">
        <f>'Transpo perseq'!AA140*Pondération!$D$6</f>
        <v>1.566660983752417E-5</v>
      </c>
      <c r="P140">
        <f>'Transpo perseq'!AB140*Pondération!$D$8</f>
        <v>1.6012830540994305E-5</v>
      </c>
      <c r="Q140">
        <f>'Transpo perseq'!AC140*Pondération!$D$10</f>
        <v>1.541548140173823E-4</v>
      </c>
      <c r="R140">
        <f>'Transpo perseq'!AD140*Pondération!$D$9</f>
        <v>1.3155214238276264E-5</v>
      </c>
      <c r="S140">
        <f>'Transpo perseq'!AE140*Pondération!$D$11</f>
        <v>8.0752287034638173E-6</v>
      </c>
      <c r="T140">
        <f t="shared" si="2"/>
        <v>4.4824872431511705E-4</v>
      </c>
    </row>
    <row r="141" spans="1:20" x14ac:dyDescent="0.3">
      <c r="A141" t="s">
        <v>1</v>
      </c>
      <c r="B141" t="s">
        <v>34</v>
      </c>
      <c r="C141" t="s">
        <v>90</v>
      </c>
      <c r="D141">
        <f>'Transpo perseq'!D141*Pondération!$D$17</f>
        <v>4.5691998802013139E-4</v>
      </c>
      <c r="E141">
        <f>'Transpo perseq'!E141*Pondération!$D$2</f>
        <v>1.5996495258058091E-3</v>
      </c>
      <c r="F141">
        <f>'Transpo perseq'!I141*Pondération!$D$12</f>
        <v>1.6777331357339779E-4</v>
      </c>
      <c r="G141">
        <f>'Transpo perseq'!M141*Pondération!$D$15</f>
        <v>1.4924151453531982E-6</v>
      </c>
      <c r="H141">
        <f>'Transpo perseq'!N141*Pondération!$D$14</f>
        <v>1.0702748828952609E-4</v>
      </c>
      <c r="I141">
        <f>'Transpo perseq'!O141*Pondération!$D$16</f>
        <v>1.6116199338994609E-4</v>
      </c>
      <c r="J141">
        <f>'Transpo perseq'!P141*Pondération!$D$4</f>
        <v>5.6423775042742947E-3</v>
      </c>
      <c r="K141">
        <f>'Transpo perseq'!T141*Pondération!$D$5</f>
        <v>7.9038523066627553E-5</v>
      </c>
      <c r="L141">
        <f>'Transpo perseq'!X141*Pondération!$D$7</f>
        <v>3.45714878370329E-5</v>
      </c>
      <c r="M141">
        <f>'Transpo perseq'!Y141*Pondération!$D$13</f>
        <v>2.0876571551284258E-5</v>
      </c>
      <c r="N141">
        <f>'Transpo perseq'!Z141*Pondération!$D$3</f>
        <v>2.4129011469147487E-13</v>
      </c>
      <c r="O141">
        <f>'Transpo perseq'!AA141*Pondération!$D$6</f>
        <v>1.0555092613470647E-3</v>
      </c>
      <c r="P141">
        <f>'Transpo perseq'!AB141*Pondération!$D$8</f>
        <v>2.4869106223133499E-4</v>
      </c>
      <c r="Q141">
        <f>'Transpo perseq'!AC141*Pondération!$D$10</f>
        <v>1.0099851010368871E-3</v>
      </c>
      <c r="R141">
        <f>'Transpo perseq'!AD141*Pondération!$D$9</f>
        <v>1.2352279847776442E-3</v>
      </c>
      <c r="S141">
        <f>'Transpo perseq'!AE141*Pondération!$D$11</f>
        <v>3.7445169179663174E-4</v>
      </c>
      <c r="T141">
        <f t="shared" si="2"/>
        <v>1.2194753912384258E-2</v>
      </c>
    </row>
    <row r="142" spans="1:20" x14ac:dyDescent="0.3">
      <c r="A142" t="s">
        <v>1</v>
      </c>
      <c r="B142" t="s">
        <v>35</v>
      </c>
      <c r="C142" t="s">
        <v>87</v>
      </c>
      <c r="D142">
        <f>'Transpo perseq'!D142*Pondération!$D$17</f>
        <v>1.9641599999999999E-6</v>
      </c>
      <c r="E142">
        <f>'Transpo perseq'!E142*Pondération!$D$2</f>
        <v>2.3957855999999999E-5</v>
      </c>
      <c r="F142">
        <f>'Transpo perseq'!I142*Pondération!$D$12</f>
        <v>3.9014399999999992E-7</v>
      </c>
      <c r="G142">
        <f>'Transpo perseq'!M142*Pondération!$D$15</f>
        <v>4.1484800000000001E-9</v>
      </c>
      <c r="H142">
        <f>'Transpo perseq'!N142*Pondération!$D$14</f>
        <v>5.3516800000000004E-7</v>
      </c>
      <c r="I142">
        <f>'Transpo perseq'!O142*Pondération!$D$16</f>
        <v>7.5387199999999996E-7</v>
      </c>
      <c r="J142">
        <f>'Transpo perseq'!P142*Pondération!$D$4</f>
        <v>5.5209599999999997E-7</v>
      </c>
      <c r="K142">
        <f>'Transpo perseq'!T142*Pondération!$D$5</f>
        <v>8.7636388382045162E-7</v>
      </c>
      <c r="L142">
        <f>'Transpo perseq'!X142*Pondération!$D$7</f>
        <v>1.6716156199042575E-7</v>
      </c>
      <c r="M142">
        <f>'Transpo perseq'!Y142*Pondération!$D$13</f>
        <v>-1.3793157879392166E-9</v>
      </c>
      <c r="N142">
        <f>'Transpo perseq'!Z142*Pondération!$D$3</f>
        <v>2.5151633185840162E-15</v>
      </c>
      <c r="O142">
        <f>'Transpo perseq'!AA142*Pondération!$D$6</f>
        <v>4.6464137429406557E-6</v>
      </c>
      <c r="P142">
        <f>'Transpo perseq'!AB142*Pondération!$D$8</f>
        <v>1.7424454980331623E-6</v>
      </c>
      <c r="Q142">
        <f>'Transpo perseq'!AC142*Pondération!$D$10</f>
        <v>1.204946464773951E-5</v>
      </c>
      <c r="R142">
        <f>'Transpo perseq'!AD142*Pondération!$D$9</f>
        <v>2.3547853978298455E-6</v>
      </c>
      <c r="S142">
        <f>'Transpo perseq'!AE142*Pondération!$D$11</f>
        <v>1.6128916098160135E-5</v>
      </c>
      <c r="T142">
        <f t="shared" si="2"/>
        <v>6.6121615997241401E-5</v>
      </c>
    </row>
    <row r="143" spans="1:20" x14ac:dyDescent="0.3">
      <c r="A143" t="s">
        <v>1</v>
      </c>
      <c r="B143" t="s">
        <v>35</v>
      </c>
      <c r="C143" t="s">
        <v>58</v>
      </c>
      <c r="D143">
        <f>'Transpo perseq'!D143*Pondération!$D$17</f>
        <v>2.0038400000000001E-4</v>
      </c>
      <c r="E143">
        <f>'Transpo perseq'!E143*Pondération!$D$2</f>
        <v>1.7690399999999999E-3</v>
      </c>
      <c r="F143">
        <f>'Transpo perseq'!I143*Pondération!$D$12</f>
        <v>5.1916799999999991E-5</v>
      </c>
      <c r="G143">
        <f>'Transpo perseq'!M143*Pondération!$D$15</f>
        <v>4.8831999999999997E-7</v>
      </c>
      <c r="H143">
        <f>'Transpo perseq'!N143*Pondération!$D$14</f>
        <v>6.2515200000000008E-5</v>
      </c>
      <c r="I143">
        <f>'Transpo perseq'!O143*Pondération!$D$16</f>
        <v>9.0820800000000003E-5</v>
      </c>
      <c r="J143">
        <f>'Transpo perseq'!P143*Pondération!$D$4</f>
        <v>7.3953599999999993E-6</v>
      </c>
      <c r="K143">
        <f>'Transpo perseq'!T143*Pondération!$D$5</f>
        <v>5.8247155061709769E-5</v>
      </c>
      <c r="L143">
        <f>'Transpo perseq'!X143*Pondération!$D$7</f>
        <v>2.6746385661746361E-5</v>
      </c>
      <c r="M143">
        <f>'Transpo perseq'!Y143*Pondération!$D$13</f>
        <v>3.54461729034626E-6</v>
      </c>
      <c r="N143">
        <f>'Transpo perseq'!Z143*Pondération!$D$3</f>
        <v>6.713280431734631E-14</v>
      </c>
      <c r="O143">
        <f>'Transpo perseq'!AA143*Pondération!$D$6</f>
        <v>3.3030083953045829E-4</v>
      </c>
      <c r="P143">
        <f>'Transpo perseq'!AB143*Pondération!$D$8</f>
        <v>1.6210074236188028E-4</v>
      </c>
      <c r="Q143">
        <f>'Transpo perseq'!AC143*Pondération!$D$10</f>
        <v>9.5430453148607412E-4</v>
      </c>
      <c r="R143">
        <f>'Transpo perseq'!AD143*Pondération!$D$9</f>
        <v>2.7286564963160892E-5</v>
      </c>
      <c r="S143">
        <f>'Transpo perseq'!AE143*Pondération!$D$11</f>
        <v>1.705781078866499E-4</v>
      </c>
      <c r="T143">
        <f t="shared" si="2"/>
        <v>3.9156694243091582E-3</v>
      </c>
    </row>
    <row r="144" spans="1:20" x14ac:dyDescent="0.3">
      <c r="A144" t="s">
        <v>1</v>
      </c>
      <c r="B144" t="s">
        <v>35</v>
      </c>
      <c r="C144" t="s">
        <v>73</v>
      </c>
      <c r="D144">
        <f>'Transpo perseq'!D144*Pondération!$D$17</f>
        <v>3.3430400000000002E-3</v>
      </c>
      <c r="E144">
        <f>'Transpo perseq'!E144*Pondération!$D$2</f>
        <v>1.6949088000000001E-2</v>
      </c>
      <c r="F144">
        <f>'Transpo perseq'!I144*Pondération!$D$12</f>
        <v>1.3025279999999998E-3</v>
      </c>
      <c r="G144">
        <f>'Transpo perseq'!M144*Pondération!$D$15</f>
        <v>2.5088000000000001E-5</v>
      </c>
      <c r="H144">
        <f>'Transpo perseq'!N144*Pondération!$D$14</f>
        <v>6.72512E-4</v>
      </c>
      <c r="I144">
        <f>'Transpo perseq'!O144*Pondération!$D$16</f>
        <v>1.0150560000000001E-3</v>
      </c>
      <c r="J144">
        <f>'Transpo perseq'!P144*Pondération!$D$4</f>
        <v>3.8851199999999998E-4</v>
      </c>
      <c r="K144">
        <f>'Transpo perseq'!T144*Pondération!$D$5</f>
        <v>5.8889248153263379E-4</v>
      </c>
      <c r="L144">
        <f>'Transpo perseq'!X144*Pondération!$D$7</f>
        <v>1.2308415332086184E-3</v>
      </c>
      <c r="M144">
        <f>'Transpo perseq'!Y144*Pondération!$D$13</f>
        <v>1.0686549341293231E-4</v>
      </c>
      <c r="N144">
        <f>'Transpo perseq'!Z144*Pondération!$D$3</f>
        <v>3.9635821379433274E-6</v>
      </c>
      <c r="O144">
        <f>'Transpo perseq'!AA144*Pondération!$D$6</f>
        <v>4.7156929285146277E-3</v>
      </c>
      <c r="P144">
        <f>'Transpo perseq'!AB144*Pondération!$D$8</f>
        <v>1.6153368699521524E-3</v>
      </c>
      <c r="Q144">
        <f>'Transpo perseq'!AC144*Pondération!$D$10</f>
        <v>1.1101977867589766E-2</v>
      </c>
      <c r="R144">
        <f>'Transpo perseq'!AD144*Pondération!$D$9</f>
        <v>1.2346147444397094E-2</v>
      </c>
      <c r="S144">
        <f>'Transpo perseq'!AE144*Pondération!$D$11</f>
        <v>1.2157193303507128E-3</v>
      </c>
      <c r="T144">
        <f t="shared" si="2"/>
        <v>5.6621261531096485E-2</v>
      </c>
    </row>
    <row r="145" spans="1:20" x14ac:dyDescent="0.3">
      <c r="A145" t="s">
        <v>1</v>
      </c>
      <c r="B145" t="s">
        <v>35</v>
      </c>
      <c r="C145" t="s">
        <v>91</v>
      </c>
      <c r="D145">
        <f>'Transpo perseq'!D145*Pondération!$D$17</f>
        <v>3.0156800000000001E-6</v>
      </c>
      <c r="E145">
        <f>'Transpo perseq'!E145*Pondération!$D$2</f>
        <v>2.0891519999999999E-5</v>
      </c>
      <c r="F145">
        <f>'Transpo perseq'!I145*Pondération!$D$12</f>
        <v>4.5772799999999997E-6</v>
      </c>
      <c r="G145">
        <f>'Transpo perseq'!M145*Pondération!$D$15</f>
        <v>3.8841600000000003E-8</v>
      </c>
      <c r="H145">
        <f>'Transpo perseq'!N145*Pondération!$D$14</f>
        <v>5.3990400000000012E-7</v>
      </c>
      <c r="I145">
        <f>'Transpo perseq'!O145*Pondération!$D$16</f>
        <v>8.0729599999999998E-7</v>
      </c>
      <c r="J145">
        <f>'Transpo perseq'!P145*Pondération!$D$4</f>
        <v>3.0365279999999999E-7</v>
      </c>
      <c r="K145">
        <f>'Transpo perseq'!T145*Pondération!$D$5</f>
        <v>1.6299040602287071E-6</v>
      </c>
      <c r="L145">
        <f>'Transpo perseq'!X145*Pondération!$D$7</f>
        <v>4.3676688428294388E-7</v>
      </c>
      <c r="M145">
        <f>'Transpo perseq'!Y145*Pondération!$D$13</f>
        <v>2.4572359371722464E-7</v>
      </c>
      <c r="N145">
        <f>'Transpo perseq'!Z145*Pondération!$D$3</f>
        <v>9.0178994703727483E-14</v>
      </c>
      <c r="O145">
        <f>'Transpo perseq'!AA145*Pondération!$D$6</f>
        <v>2.1214394538819113E-5</v>
      </c>
      <c r="P145">
        <f>'Transpo perseq'!AB145*Pondération!$D$8</f>
        <v>1.4026808613846252E-6</v>
      </c>
      <c r="Q145">
        <f>'Transpo perseq'!AC145*Pondération!$D$10</f>
        <v>2.0849668909695242E-5</v>
      </c>
      <c r="R145">
        <f>'Transpo perseq'!AD145*Pondération!$D$9</f>
        <v>2.601755362140318E-3</v>
      </c>
      <c r="S145">
        <f>'Transpo perseq'!AE145*Pondération!$D$11</f>
        <v>1.2300615443599408E-7</v>
      </c>
      <c r="T145">
        <f t="shared" si="2"/>
        <v>2.6778316816330606E-3</v>
      </c>
    </row>
    <row r="146" spans="1:20" x14ac:dyDescent="0.3">
      <c r="A146" t="s">
        <v>1</v>
      </c>
      <c r="B146" t="s">
        <v>35</v>
      </c>
      <c r="C146" t="s">
        <v>75</v>
      </c>
      <c r="D146">
        <f>'Transpo perseq'!D146*Pondération!$D$17</f>
        <v>1.3788800000000001E-5</v>
      </c>
      <c r="E146">
        <f>'Transpo perseq'!E146*Pondération!$D$2</f>
        <v>4.8859200000000001E-5</v>
      </c>
      <c r="F146">
        <f>'Transpo perseq'!I146*Pondération!$D$12</f>
        <v>5.2223999999999993E-6</v>
      </c>
      <c r="G146">
        <f>'Transpo perseq'!M146*Pondération!$D$15</f>
        <v>4.3455999999999996E-8</v>
      </c>
      <c r="H146">
        <f>'Transpo perseq'!N146*Pondération!$D$14</f>
        <v>3.2536320000000001E-6</v>
      </c>
      <c r="I146">
        <f>'Transpo perseq'!O146*Pondération!$D$16</f>
        <v>4.8912640000000008E-6</v>
      </c>
      <c r="J146">
        <f>'Transpo perseq'!P146*Pondération!$D$4</f>
        <v>1.7585279999999997E-4</v>
      </c>
      <c r="K146">
        <f>'Transpo perseq'!T146*Pondération!$D$5</f>
        <v>2.4275423473736961E-6</v>
      </c>
      <c r="L146">
        <f>'Transpo perseq'!X146*Pondération!$D$7</f>
        <v>1.3704264612369094E-6</v>
      </c>
      <c r="M146">
        <f>'Transpo perseq'!Y146*Pondération!$D$13</f>
        <v>5.9989840272331308E-7</v>
      </c>
      <c r="N146">
        <f>'Transpo perseq'!Z146*Pondération!$D$3</f>
        <v>7.709798315213182E-15</v>
      </c>
      <c r="O146">
        <f>'Transpo perseq'!AA146*Pondération!$D$6</f>
        <v>3.2234928775613279E-5</v>
      </c>
      <c r="P146">
        <f>'Transpo perseq'!AB146*Pondération!$D$8</f>
        <v>7.5550281237866972E-6</v>
      </c>
      <c r="Q146">
        <f>'Transpo perseq'!AC146*Pondération!$D$10</f>
        <v>3.1255476747080471E-5</v>
      </c>
      <c r="R146">
        <f>'Transpo perseq'!AD146*Pondération!$D$9</f>
        <v>3.8462177989681125E-5</v>
      </c>
      <c r="S146">
        <f>'Transpo perseq'!AE146*Pondération!$D$11</f>
        <v>1.1640140142506302E-5</v>
      </c>
      <c r="T146">
        <f t="shared" si="2"/>
        <v>3.7745717099771158E-4</v>
      </c>
    </row>
    <row r="147" spans="1:20" x14ac:dyDescent="0.3">
      <c r="A147" t="s">
        <v>1</v>
      </c>
      <c r="B147" t="s">
        <v>35</v>
      </c>
      <c r="C147" t="s">
        <v>59</v>
      </c>
      <c r="D147">
        <f>'Transpo perseq'!D147*Pondération!$D$17</f>
        <v>8.0964713358455754E-6</v>
      </c>
      <c r="E147">
        <f>'Transpo perseq'!E147*Pondération!$D$2</f>
        <v>7.8761872262899917E-5</v>
      </c>
      <c r="F147">
        <f>'Transpo perseq'!I147*Pondération!$D$12</f>
        <v>1.414633920039177E-4</v>
      </c>
      <c r="G147">
        <f>'Transpo perseq'!M147*Pondération!$D$15</f>
        <v>1.855569929090985E-6</v>
      </c>
      <c r="H147">
        <f>'Transpo perseq'!N147*Pondération!$D$14</f>
        <v>3.3580074737720038E-6</v>
      </c>
      <c r="I147">
        <f>'Transpo perseq'!O147*Pondération!$D$16</f>
        <v>4.0592904752607359E-6</v>
      </c>
      <c r="J147">
        <f>'Transpo perseq'!P147*Pondération!$D$4</f>
        <v>5.4461412232065934E-6</v>
      </c>
      <c r="K147">
        <f>'Transpo perseq'!T147*Pondération!$D$5</f>
        <v>3.4808061331408474E-5</v>
      </c>
      <c r="L147">
        <f>'Transpo perseq'!X147*Pondération!$D$7</f>
        <v>9.3856027130403403E-6</v>
      </c>
      <c r="M147">
        <f>'Transpo perseq'!Y147*Pondération!$D$13</f>
        <v>3.6404240819661418E-8</v>
      </c>
      <c r="N147">
        <f>'Transpo perseq'!Z147*Pondération!$D$3</f>
        <v>1.4676595312079082E-13</v>
      </c>
      <c r="O147">
        <f>'Transpo perseq'!AA147*Pondération!$D$6</f>
        <v>8.3707118317142694E-6</v>
      </c>
      <c r="P147">
        <f>'Transpo perseq'!AB147*Pondération!$D$8</f>
        <v>7.2957212795415853E-6</v>
      </c>
      <c r="Q147">
        <f>'Transpo perseq'!AC147*Pondération!$D$10</f>
        <v>7.1854451907288358E-5</v>
      </c>
      <c r="R147">
        <f>'Transpo perseq'!AD147*Pondération!$D$9</f>
        <v>1.7673851186568237E-6</v>
      </c>
      <c r="S147">
        <f>'Transpo perseq'!AE147*Pondération!$D$11</f>
        <v>1.6253395757349955E-4</v>
      </c>
      <c r="T147">
        <f t="shared" si="2"/>
        <v>5.3909304084672849E-4</v>
      </c>
    </row>
    <row r="148" spans="1:20" x14ac:dyDescent="0.3">
      <c r="A148" t="s">
        <v>1</v>
      </c>
      <c r="B148" t="s">
        <v>35</v>
      </c>
      <c r="C148" t="s">
        <v>56</v>
      </c>
      <c r="D148">
        <f>'Transpo perseq'!D148*Pondération!$D$17</f>
        <v>7.0834837391869598E-5</v>
      </c>
      <c r="E148">
        <f>'Transpo perseq'!E148*Pondération!$D$2</f>
        <v>4.669358334978786E-4</v>
      </c>
      <c r="F148">
        <f>'Transpo perseq'!I148*Pondération!$D$12</f>
        <v>6.8205560792713104E-5</v>
      </c>
      <c r="G148">
        <f>'Transpo perseq'!M148*Pondération!$D$15</f>
        <v>1.7803260081234747E-4</v>
      </c>
      <c r="H148">
        <f>'Transpo perseq'!N148*Pondération!$D$14</f>
        <v>7.3748381619971407E-6</v>
      </c>
      <c r="I148">
        <f>'Transpo perseq'!O148*Pondération!$D$16</f>
        <v>1.3530842511344921E-5</v>
      </c>
      <c r="J148">
        <f>'Transpo perseq'!P148*Pondération!$D$4</f>
        <v>3.4091018138214993E-5</v>
      </c>
      <c r="K148">
        <f>'Transpo perseq'!T148*Pondération!$D$5</f>
        <v>5.1237526013160393E-6</v>
      </c>
      <c r="L148">
        <f>'Transpo perseq'!X148*Pondération!$D$7</f>
        <v>-1.3114546047261928E-4</v>
      </c>
      <c r="M148">
        <f>'Transpo perseq'!Y148*Pondération!$D$13</f>
        <v>-1.9197632963890441E-3</v>
      </c>
      <c r="N148">
        <f>'Transpo perseq'!Z148*Pondération!$D$3</f>
        <v>2.5718577180791451E-6</v>
      </c>
      <c r="O148">
        <f>'Transpo perseq'!AA148*Pondération!$D$6</f>
        <v>2.1945779059787734E-4</v>
      </c>
      <c r="P148">
        <f>'Transpo perseq'!AB148*Pondération!$D$8</f>
        <v>1.0290023885597601E-4</v>
      </c>
      <c r="Q148">
        <f>'Transpo perseq'!AC148*Pondération!$D$10</f>
        <v>-8.2780304923004547E-5</v>
      </c>
      <c r="R148">
        <f>'Transpo perseq'!AD148*Pondération!$D$9</f>
        <v>6.210578480877747E-5</v>
      </c>
      <c r="S148">
        <f>'Transpo perseq'!AE148*Pondération!$D$11</f>
        <v>2.8554999499387317E-2</v>
      </c>
      <c r="T148">
        <f t="shared" si="2"/>
        <v>2.7652475393491041E-2</v>
      </c>
    </row>
    <row r="149" spans="1:20" x14ac:dyDescent="0.3">
      <c r="A149" t="s">
        <v>1</v>
      </c>
      <c r="B149" t="s">
        <v>35</v>
      </c>
      <c r="C149" t="s">
        <v>57</v>
      </c>
      <c r="D149">
        <f>'Transpo perseq'!D149*Pondération!$D$17</f>
        <v>2.7509793264946596E-5</v>
      </c>
      <c r="E149">
        <f>'Transpo perseq'!E149*Pondération!$D$2</f>
        <v>1.0729542242385083E-4</v>
      </c>
      <c r="F149">
        <f>'Transpo perseq'!I149*Pondération!$D$12</f>
        <v>1.8307678279240458E-5</v>
      </c>
      <c r="G149">
        <f>'Transpo perseq'!M149*Pondération!$D$15</f>
        <v>2.1316383881943316E-7</v>
      </c>
      <c r="H149">
        <f>'Transpo perseq'!N149*Pondération!$D$14</f>
        <v>1.824659621007102E-5</v>
      </c>
      <c r="I149">
        <f>'Transpo perseq'!O149*Pondération!$D$16</f>
        <v>2.798684422926029E-5</v>
      </c>
      <c r="J149">
        <f>'Transpo perseq'!P149*Pondération!$D$4</f>
        <v>1.0378659476593699E-6</v>
      </c>
      <c r="K149">
        <f>'Transpo perseq'!T149*Pondération!$D$5</f>
        <v>3.6601413343360973E-6</v>
      </c>
      <c r="L149">
        <f>'Transpo perseq'!X149*Pondération!$D$7</f>
        <v>1.7335234485828941E-7</v>
      </c>
      <c r="M149">
        <f>'Transpo perseq'!Y149*Pondération!$D$13</f>
        <v>1.8264239388448419E-6</v>
      </c>
      <c r="N149">
        <f>'Transpo perseq'!Z149*Pondération!$D$3</f>
        <v>9.5615936039092678E-16</v>
      </c>
      <c r="O149">
        <f>'Transpo perseq'!AA149*Pondération!$D$6</f>
        <v>1.377495689514588E-5</v>
      </c>
      <c r="P149">
        <f>'Transpo perseq'!AB149*Pondération!$D$8</f>
        <v>2.7371178189678801E-5</v>
      </c>
      <c r="Q149">
        <f>'Transpo perseq'!AC149*Pondération!$D$10</f>
        <v>7.0197262046850899E-5</v>
      </c>
      <c r="R149">
        <f>'Transpo perseq'!AD149*Pondération!$D$9</f>
        <v>4.3482887473447744E-7</v>
      </c>
      <c r="S149">
        <f>'Transpo perseq'!AE149*Pondération!$D$11</f>
        <v>2.835272681306878E-7</v>
      </c>
      <c r="T149">
        <f t="shared" si="2"/>
        <v>3.1831903508738418E-4</v>
      </c>
    </row>
    <row r="150" spans="1:20" x14ac:dyDescent="0.3">
      <c r="A150" t="s">
        <v>1</v>
      </c>
      <c r="B150" t="s">
        <v>36</v>
      </c>
      <c r="C150" t="s">
        <v>70</v>
      </c>
      <c r="D150">
        <f>'Transpo perseq'!D150*Pondération!$D$17</f>
        <v>1.3491199999999998E-2</v>
      </c>
      <c r="E150">
        <f>'Transpo perseq'!E150*Pondération!$D$2</f>
        <v>6.7392000000000007E-2</v>
      </c>
      <c r="F150">
        <f>'Transpo perseq'!I150*Pondération!$D$12</f>
        <v>5.1609599999999992E-3</v>
      </c>
      <c r="G150">
        <f>'Transpo perseq'!M150*Pondération!$D$15</f>
        <v>7.7504000000000009E-5</v>
      </c>
      <c r="H150">
        <f>'Transpo perseq'!N150*Pondération!$D$14</f>
        <v>2.6568960000000002E-3</v>
      </c>
      <c r="I150">
        <f>'Transpo perseq'!O150*Pondération!$D$16</f>
        <v>4.0068000000000005E-3</v>
      </c>
      <c r="J150">
        <f>'Transpo perseq'!P150*Pondération!$D$4</f>
        <v>1.5847199999999997E-3</v>
      </c>
      <c r="K150">
        <f>'Transpo perseq'!T150*Pondération!$D$5</f>
        <v>2.3897068026821175E-3</v>
      </c>
      <c r="L150">
        <f>'Transpo perseq'!X150*Pondération!$D$7</f>
        <v>4.837396795510665E-3</v>
      </c>
      <c r="M150">
        <f>'Transpo perseq'!Y150*Pondération!$D$13</f>
        <v>4.0996695696499124E-4</v>
      </c>
      <c r="N150">
        <f>'Transpo perseq'!Z150*Pondération!$D$3</f>
        <v>1.1248225742438043E-5</v>
      </c>
      <c r="O150">
        <f>'Transpo perseq'!AA150*Pondération!$D$6</f>
        <v>1.9059782804468368E-2</v>
      </c>
      <c r="P150">
        <f>'Transpo perseq'!AB150*Pondération!$D$8</f>
        <v>6.3768590782409479E-3</v>
      </c>
      <c r="Q150">
        <f>'Transpo perseq'!AC150*Pondération!$D$10</f>
        <v>4.3760163732019006E-2</v>
      </c>
      <c r="R150">
        <f>'Transpo perseq'!AD150*Pondération!$D$9</f>
        <v>5.0740846900581178E-2</v>
      </c>
      <c r="S150">
        <f>'Transpo perseq'!AE150*Pondération!$D$11</f>
        <v>4.2959558601558048E-3</v>
      </c>
      <c r="T150">
        <f t="shared" si="2"/>
        <v>0.22625200715636551</v>
      </c>
    </row>
    <row r="151" spans="1:20" x14ac:dyDescent="0.3">
      <c r="A151" t="s">
        <v>1</v>
      </c>
      <c r="B151" t="s">
        <v>36</v>
      </c>
      <c r="C151" t="s">
        <v>71</v>
      </c>
      <c r="D151">
        <f>'Transpo perseq'!D151*Pondération!$D$17</f>
        <v>2.5990400000000004E-4</v>
      </c>
      <c r="E151">
        <f>'Transpo perseq'!E151*Pondération!$D$2</f>
        <v>1.4522976000000002E-3</v>
      </c>
      <c r="F151">
        <f>'Transpo perseq'!I151*Pondération!$D$12</f>
        <v>2.5343999999999996E-4</v>
      </c>
      <c r="G151">
        <f>'Transpo perseq'!M151*Pondération!$D$15</f>
        <v>5.5104000000000006E-5</v>
      </c>
      <c r="H151">
        <f>'Transpo perseq'!N151*Pondération!$D$14</f>
        <v>9.1878400000000004E-5</v>
      </c>
      <c r="I151">
        <f>'Transpo perseq'!O151*Pondération!$D$16</f>
        <v>1.3890239999999999E-4</v>
      </c>
      <c r="J151">
        <f>'Transpo perseq'!P151*Pondération!$D$4</f>
        <v>3.6806400000000001E-5</v>
      </c>
      <c r="K151">
        <f>'Transpo perseq'!T151*Pondération!$D$5</f>
        <v>5.3437090373189323E-5</v>
      </c>
      <c r="L151">
        <f>'Transpo perseq'!X151*Pondération!$D$7</f>
        <v>6.2664763939277392E-5</v>
      </c>
      <c r="M151">
        <f>'Transpo perseq'!Y151*Pondération!$D$13</f>
        <v>4.5058977503575887E-5</v>
      </c>
      <c r="N151">
        <f>'Transpo perseq'!Z151*Pondération!$D$3</f>
        <v>1.1246478791562538E-5</v>
      </c>
      <c r="O151">
        <f>'Transpo perseq'!AA151*Pondération!$D$6</f>
        <v>5.4526005483253965E-4</v>
      </c>
      <c r="P151">
        <f>'Transpo perseq'!AB151*Pondération!$D$8</f>
        <v>2.3642417951635011E-4</v>
      </c>
      <c r="Q151">
        <f>'Transpo perseq'!AC151*Pondération!$D$10</f>
        <v>1.0299650787550484E-3</v>
      </c>
      <c r="R151">
        <f>'Transpo perseq'!AD151*Pondération!$D$9</f>
        <v>4.7678595870810246E-4</v>
      </c>
      <c r="S151">
        <f>'Transpo perseq'!AE151*Pondération!$D$11</f>
        <v>1.5620240668579634E-3</v>
      </c>
      <c r="T151">
        <f t="shared" si="2"/>
        <v>6.311199449277609E-3</v>
      </c>
    </row>
    <row r="152" spans="1:20" x14ac:dyDescent="0.3">
      <c r="A152" t="s">
        <v>1</v>
      </c>
      <c r="B152" t="s">
        <v>36</v>
      </c>
      <c r="C152" t="s">
        <v>58</v>
      </c>
      <c r="D152">
        <f>'Transpo perseq'!D152*Pondération!$D$17</f>
        <v>1.5872000000000003E-4</v>
      </c>
      <c r="E152">
        <f>'Transpo perseq'!E152*Pondération!$D$2</f>
        <v>1.3983840000000001E-3</v>
      </c>
      <c r="F152">
        <f>'Transpo perseq'!I152*Pondération!$D$12</f>
        <v>4.1164799999999996E-5</v>
      </c>
      <c r="G152">
        <f>'Transpo perseq'!M152*Pondération!$D$15</f>
        <v>3.8617599999999998E-7</v>
      </c>
      <c r="H152">
        <f>'Transpo perseq'!N152*Pondération!$D$14</f>
        <v>4.9254400000000001E-5</v>
      </c>
      <c r="I152">
        <f>'Transpo perseq'!O152*Pondération!$D$16</f>
        <v>7.1825599999999999E-5</v>
      </c>
      <c r="J152">
        <f>'Transpo perseq'!P152*Pondération!$D$4</f>
        <v>5.8276799999999996E-6</v>
      </c>
      <c r="K152">
        <f>'Transpo perseq'!T152*Pondération!$D$5</f>
        <v>4.6064398332929973E-5</v>
      </c>
      <c r="L152">
        <f>'Transpo perseq'!X152*Pondération!$D$7</f>
        <v>2.1152211842510703E-5</v>
      </c>
      <c r="M152">
        <f>'Transpo perseq'!Y152*Pondération!$D$13</f>
        <v>2.8032384178646174E-6</v>
      </c>
      <c r="N152">
        <f>'Transpo perseq'!Z152*Pondération!$D$3</f>
        <v>5.3091558480489177E-14</v>
      </c>
      <c r="O152">
        <f>'Transpo perseq'!AA152*Pondération!$D$6</f>
        <v>2.6121635341181255E-4</v>
      </c>
      <c r="P152">
        <f>'Transpo perseq'!AB152*Pondération!$D$8</f>
        <v>1.2819635840257573E-4</v>
      </c>
      <c r="Q152">
        <f>'Transpo perseq'!AC152*Pondération!$D$10</f>
        <v>7.5470577099812032E-4</v>
      </c>
      <c r="R152">
        <f>'Transpo perseq'!AD152*Pondération!$D$9</f>
        <v>2.1579409265032022E-5</v>
      </c>
      <c r="S152">
        <f>'Transpo perseq'!AE152*Pondération!$D$11</f>
        <v>1.3490062991477453E-4</v>
      </c>
      <c r="T152">
        <f t="shared" si="2"/>
        <v>3.0961810266387124E-3</v>
      </c>
    </row>
    <row r="153" spans="1:20" x14ac:dyDescent="0.3">
      <c r="A153" t="s">
        <v>1</v>
      </c>
      <c r="B153" t="s">
        <v>36</v>
      </c>
      <c r="C153" t="s">
        <v>75</v>
      </c>
      <c r="D153">
        <f>'Transpo perseq'!D153*Pondération!$D$17</f>
        <v>6.1107200000000003E-6</v>
      </c>
      <c r="E153">
        <f>'Transpo perseq'!E153*Pondération!$D$2</f>
        <v>2.1801312E-5</v>
      </c>
      <c r="F153">
        <f>'Transpo perseq'!I153*Pondération!$D$12</f>
        <v>2.3224319999999996E-6</v>
      </c>
      <c r="G153">
        <f>'Transpo perseq'!M153*Pondération!$D$15</f>
        <v>1.93088E-8</v>
      </c>
      <c r="H153">
        <f>'Transpo perseq'!N153*Pondération!$D$14</f>
        <v>1.44448E-6</v>
      </c>
      <c r="I153">
        <f>'Transpo perseq'!O153*Pondération!$D$16</f>
        <v>2.1725759999999999E-6</v>
      </c>
      <c r="J153">
        <f>'Transpo perseq'!P153*Pondération!$D$4</f>
        <v>7.8043199999999998E-5</v>
      </c>
      <c r="K153">
        <f>'Transpo perseq'!T153*Pondération!$D$5</f>
        <v>1.078907709943866E-6</v>
      </c>
      <c r="L153">
        <f>'Transpo perseq'!X153*Pondération!$D$7</f>
        <v>6.0907842721640316E-7</v>
      </c>
      <c r="M153">
        <f>'Transpo perseq'!Y153*Pondération!$D$13</f>
        <v>2.6662151232147348E-7</v>
      </c>
      <c r="N153">
        <f>'Transpo perseq'!Z153*Pondération!$D$3</f>
        <v>3.426577028983639E-15</v>
      </c>
      <c r="O153">
        <f>'Transpo perseq'!AA153*Pondération!$D$6</f>
        <v>1.4326635011383669E-5</v>
      </c>
      <c r="P153">
        <f>'Transpo perseq'!AB153*Pondération!$D$8</f>
        <v>3.3577902772385326E-6</v>
      </c>
      <c r="Q153">
        <f>'Transpo perseq'!AC153*Pondération!$D$10</f>
        <v>1.3891322998702489E-5</v>
      </c>
      <c r="R153">
        <f>'Transpo perseq'!AD153*Pondération!$D$9</f>
        <v>1.7094301328747222E-5</v>
      </c>
      <c r="S153">
        <f>'Transpo perseq'!AE153*Pondération!$D$11</f>
        <v>5.1733956188914593E-6</v>
      </c>
      <c r="T153">
        <f t="shared" si="2"/>
        <v>1.6771208168787167E-4</v>
      </c>
    </row>
    <row r="154" spans="1:20" x14ac:dyDescent="0.3">
      <c r="A154" t="s">
        <v>1</v>
      </c>
      <c r="B154" t="s">
        <v>36</v>
      </c>
      <c r="C154" t="s">
        <v>78</v>
      </c>
      <c r="D154">
        <f>'Transpo perseq'!D154*Pondération!$D$17</f>
        <v>5.0889600000000001E-5</v>
      </c>
      <c r="E154">
        <f>'Transpo perseq'!E154*Pondération!$D$2</f>
        <v>4.4815680000000007E-4</v>
      </c>
      <c r="F154">
        <f>'Transpo perseq'!I154*Pondération!$D$12</f>
        <v>9.2467199999999995E-5</v>
      </c>
      <c r="G154">
        <f>'Transpo perseq'!M154*Pondération!$D$15</f>
        <v>1.4739200000000001E-5</v>
      </c>
      <c r="H154">
        <f>'Transpo perseq'!N154*Pondération!$D$14</f>
        <v>1.6339200000000001E-5</v>
      </c>
      <c r="I154">
        <f>'Transpo perseq'!O154*Pondération!$D$16</f>
        <v>2.2675520000000001E-5</v>
      </c>
      <c r="J154">
        <f>'Transpo perseq'!P154*Pondération!$D$4</f>
        <v>8.2473599999999989E-6</v>
      </c>
      <c r="K154">
        <f>'Transpo perseq'!T154*Pondération!$D$5</f>
        <v>2.630181054717662E-5</v>
      </c>
      <c r="L154">
        <f>'Transpo perseq'!X154*Pondération!$D$7</f>
        <v>7.5223659639591764E-5</v>
      </c>
      <c r="M154">
        <f>'Transpo perseq'!Y154*Pondération!$D$13</f>
        <v>2.6610809736806834E-6</v>
      </c>
      <c r="N154">
        <f>'Transpo perseq'!Z154*Pondération!$D$3</f>
        <v>2.477562477317132E-7</v>
      </c>
      <c r="O154">
        <f>'Transpo perseq'!AA154*Pondération!$D$6</f>
        <v>5.8738227394771597E-5</v>
      </c>
      <c r="P154">
        <f>'Transpo perseq'!AB154*Pondération!$D$8</f>
        <v>4.6946687794264306E-5</v>
      </c>
      <c r="Q154">
        <f>'Transpo perseq'!AC154*Pondération!$D$10</f>
        <v>6.7210431185793517E-4</v>
      </c>
      <c r="R154">
        <f>'Transpo perseq'!AD154*Pondération!$D$9</f>
        <v>1.3295155717789211E-5</v>
      </c>
      <c r="S154">
        <f>'Transpo perseq'!AE154*Pondération!$D$11</f>
        <v>1.8361358660420426E-4</v>
      </c>
      <c r="T154">
        <f t="shared" si="2"/>
        <v>1.7326471567771454E-3</v>
      </c>
    </row>
    <row r="155" spans="1:20" x14ac:dyDescent="0.3">
      <c r="A155" t="s">
        <v>1</v>
      </c>
      <c r="B155" t="s">
        <v>36</v>
      </c>
      <c r="C155" t="s">
        <v>59</v>
      </c>
      <c r="D155">
        <f>'Transpo perseq'!D155*Pondération!$D$17</f>
        <v>7.9360000000000013E-5</v>
      </c>
      <c r="E155">
        <f>'Transpo perseq'!E155*Pondération!$D$2</f>
        <v>7.7163840000000008E-4</v>
      </c>
      <c r="F155">
        <f>'Transpo perseq'!I155*Pondération!$D$12</f>
        <v>1.385472E-3</v>
      </c>
      <c r="G155">
        <f>'Transpo perseq'!M155*Pondération!$D$15</f>
        <v>1.8188799999999998E-5</v>
      </c>
      <c r="H155">
        <f>'Transpo perseq'!N155*Pondération!$D$14</f>
        <v>3.29152E-5</v>
      </c>
      <c r="I155">
        <f>'Transpo perseq'!O155*Pondération!$D$16</f>
        <v>3.9771200000000003E-5</v>
      </c>
      <c r="J155">
        <f>'Transpo perseq'!P155*Pondération!$D$4</f>
        <v>5.3505599999999998E-5</v>
      </c>
      <c r="K155">
        <f>'Transpo perseq'!T155*Pondération!$D$5</f>
        <v>3.4102978974540982E-4</v>
      </c>
      <c r="L155">
        <f>'Transpo perseq'!X155*Pondération!$D$7</f>
        <v>9.1954851762282377E-5</v>
      </c>
      <c r="M155">
        <f>'Transpo perseq'!Y155*Pondération!$D$13</f>
        <v>3.5666825780290762E-7</v>
      </c>
      <c r="N155">
        <f>'Transpo perseq'!Z155*Pondération!$D$3</f>
        <v>1.4379301868617631E-12</v>
      </c>
      <c r="O155">
        <f>'Transpo perseq'!AA155*Pondération!$D$6</f>
        <v>8.2011522239334634E-5</v>
      </c>
      <c r="P155">
        <f>'Transpo perseq'!AB155*Pondération!$D$8</f>
        <v>7.1479369974509875E-5</v>
      </c>
      <c r="Q155">
        <f>'Transpo perseq'!AC155*Pondération!$D$10</f>
        <v>7.0398946936188543E-4</v>
      </c>
      <c r="R155">
        <f>'Transpo perseq'!AD155*Pondération!$D$9</f>
        <v>1.7315844444081012E-5</v>
      </c>
      <c r="S155">
        <f>'Transpo perseq'!AE155*Pondération!$D$11</f>
        <v>1.5924162178996258E-3</v>
      </c>
      <c r="T155">
        <f t="shared" si="2"/>
        <v>5.2814049351228619E-3</v>
      </c>
    </row>
    <row r="156" spans="1:20" x14ac:dyDescent="0.3">
      <c r="A156" t="s">
        <v>1</v>
      </c>
      <c r="B156" t="s">
        <v>36</v>
      </c>
      <c r="C156" t="s">
        <v>56</v>
      </c>
      <c r="D156">
        <f>'Transpo perseq'!D156*Pondération!$D$17</f>
        <v>1.3987618220450135E-6</v>
      </c>
      <c r="E156">
        <f>'Transpo perseq'!E156*Pondération!$D$2</f>
        <v>8.730275034867864E-6</v>
      </c>
      <c r="F156">
        <f>'Transpo perseq'!I156*Pondération!$D$12</f>
        <v>1.6910180911645316E-6</v>
      </c>
      <c r="G156">
        <f>'Transpo perseq'!M156*Pondération!$D$15</f>
        <v>8.4017882731431042E-8</v>
      </c>
      <c r="H156">
        <f>'Transpo perseq'!N156*Pondération!$D$14</f>
        <v>7.6598866476940684E-7</v>
      </c>
      <c r="I156">
        <f>'Transpo perseq'!O156*Pondération!$D$16</f>
        <v>1.0629046660732499E-6</v>
      </c>
      <c r="J156">
        <f>'Transpo perseq'!P156*Pondération!$D$4</f>
        <v>1.6693120940737488E-7</v>
      </c>
      <c r="K156">
        <f>'Transpo perseq'!T156*Pondération!$D$5</f>
        <v>7.1818858126652605E-7</v>
      </c>
      <c r="L156">
        <f>'Transpo perseq'!X156*Pondération!$D$7</f>
        <v>-2.3898807731246809E-6</v>
      </c>
      <c r="M156">
        <f>'Transpo perseq'!Y156*Pondération!$D$13</f>
        <v>2.8280616097759544E-5</v>
      </c>
      <c r="N156">
        <f>'Transpo perseq'!Z156*Pondération!$D$3</f>
        <v>-2.8901794805962419E-17</v>
      </c>
      <c r="O156">
        <f>'Transpo perseq'!AA156*Pondération!$D$6</f>
        <v>1.920149294114681E-6</v>
      </c>
      <c r="P156">
        <f>'Transpo perseq'!AB156*Pondération!$D$8</f>
        <v>1.7428781393768404E-6</v>
      </c>
      <c r="Q156">
        <f>'Transpo perseq'!AC156*Pondération!$D$10</f>
        <v>1.1612925787580934E-6</v>
      </c>
      <c r="R156">
        <f>'Transpo perseq'!AD156*Pondération!$D$9</f>
        <v>4.3643934086920796E-8</v>
      </c>
      <c r="S156">
        <f>'Transpo perseq'!AE156*Pondération!$D$11</f>
        <v>3.612557792772156E-7</v>
      </c>
      <c r="T156">
        <f t="shared" si="2"/>
        <v>4.5738041002545104E-5</v>
      </c>
    </row>
    <row r="157" spans="1:20" x14ac:dyDescent="0.3">
      <c r="A157" t="s">
        <v>1</v>
      </c>
      <c r="B157" t="s">
        <v>36</v>
      </c>
      <c r="C157" t="s">
        <v>80</v>
      </c>
      <c r="D157">
        <f>'Transpo perseq'!D157*Pondération!$D$17</f>
        <v>2.0623564961606579E-5</v>
      </c>
      <c r="E157">
        <f>'Transpo perseq'!E157*Pondération!$D$2</f>
        <v>1.947486662899541E-5</v>
      </c>
      <c r="F157">
        <f>'Transpo perseq'!I157*Pondération!$D$12</f>
        <v>2.0760120337846668E-6</v>
      </c>
      <c r="G157">
        <f>'Transpo perseq'!M157*Pondération!$D$15</f>
        <v>3.2138474008194447E-6</v>
      </c>
      <c r="H157">
        <f>'Transpo perseq'!N157*Pondération!$D$14</f>
        <v>5.5789599575703892E-6</v>
      </c>
      <c r="I157">
        <f>'Transpo perseq'!O157*Pondération!$D$16</f>
        <v>1.7178138638562894E-5</v>
      </c>
      <c r="J157">
        <f>'Transpo perseq'!P157*Pondération!$D$4</f>
        <v>1.0982993365038058E-7</v>
      </c>
      <c r="K157">
        <f>'Transpo perseq'!T157*Pondération!$D$5</f>
        <v>3.9131259613442971E-7</v>
      </c>
      <c r="L157">
        <f>'Transpo perseq'!X157*Pondération!$D$7</f>
        <v>1.6882484377562549E-7</v>
      </c>
      <c r="M157">
        <f>'Transpo perseq'!Y157*Pondération!$D$13</f>
        <v>8.5204308111855534E-6</v>
      </c>
      <c r="N157">
        <f>'Transpo perseq'!Z157*Pondération!$D$3</f>
        <v>1.1352619771217454E-8</v>
      </c>
      <c r="O157">
        <f>'Transpo perseq'!AA157*Pondération!$D$6</f>
        <v>1.9372757661570253E-5</v>
      </c>
      <c r="P157">
        <f>'Transpo perseq'!AB157*Pondération!$D$8</f>
        <v>8.9140863132014184E-7</v>
      </c>
      <c r="Q157">
        <f>'Transpo perseq'!AC157*Pondération!$D$10</f>
        <v>1.5723263304417844E-6</v>
      </c>
      <c r="R157">
        <f>'Transpo perseq'!AD157*Pondération!$D$9</f>
        <v>3.261244070352802E-7</v>
      </c>
      <c r="S157">
        <f>'Transpo perseq'!AE157*Pondération!$D$11</f>
        <v>7.1342079014653648E-5</v>
      </c>
      <c r="T157">
        <f t="shared" si="2"/>
        <v>1.7085183647087766E-4</v>
      </c>
    </row>
    <row r="158" spans="1:20" x14ac:dyDescent="0.3">
      <c r="A158" t="s">
        <v>1</v>
      </c>
      <c r="B158" t="s">
        <v>36</v>
      </c>
      <c r="C158" t="s">
        <v>57</v>
      </c>
      <c r="D158">
        <f>'Transpo perseq'!D158*Pondération!$D$17</f>
        <v>2.3144598881560571E-5</v>
      </c>
      <c r="E158">
        <f>'Transpo perseq'!E158*Pondération!$D$2</f>
        <v>9.0270017295691749E-5</v>
      </c>
      <c r="F158">
        <f>'Transpo perseq'!I158*Pondération!$D$12</f>
        <v>1.5402655561414011E-5</v>
      </c>
      <c r="G158">
        <f>'Transpo perseq'!M158*Pondération!$D$15</f>
        <v>1.7933946278745281E-7</v>
      </c>
      <c r="H158">
        <f>'Transpo perseq'!N158*Pondération!$D$14</f>
        <v>1.5351265862619598E-5</v>
      </c>
      <c r="I158">
        <f>'Transpo perseq'!O158*Pondération!$D$16</f>
        <v>2.3545952432594769E-5</v>
      </c>
      <c r="J158">
        <f>'Transpo perseq'!P158*Pondération!$D$4</f>
        <v>8.7317962807138811E-7</v>
      </c>
      <c r="K158">
        <f>'Transpo perseq'!T158*Pondération!$D$5</f>
        <v>3.0793580386869295E-6</v>
      </c>
      <c r="L158">
        <f>'Transpo perseq'!X158*Pondération!$D$7</f>
        <v>1.4584517041919883E-7</v>
      </c>
      <c r="M158">
        <f>'Transpo perseq'!Y158*Pondération!$D$13</f>
        <v>1.5366109459683652E-6</v>
      </c>
      <c r="N158">
        <f>'Transpo perseq'!Z158*Pondération!$D$3</f>
        <v>8.0443806501795217E-16</v>
      </c>
      <c r="O158">
        <f>'Transpo perseq'!AA158*Pondération!$D$6</f>
        <v>1.1589176584441243E-5</v>
      </c>
      <c r="P158">
        <f>'Transpo perseq'!AB158*Pondération!$D$8</f>
        <v>2.3027978946066637E-5</v>
      </c>
      <c r="Q158">
        <f>'Transpo perseq'!AC158*Pondération!$D$10</f>
        <v>5.9058512618063323E-5</v>
      </c>
      <c r="R158">
        <f>'Transpo perseq'!AD158*Pondération!$D$9</f>
        <v>3.6583117113691488E-7</v>
      </c>
      <c r="S158">
        <f>'Transpo perseq'!AE158*Pondération!$D$11</f>
        <v>2.3853777560846558E-7</v>
      </c>
      <c r="T158">
        <f t="shared" si="2"/>
        <v>2.6780886037593502E-4</v>
      </c>
    </row>
    <row r="159" spans="1:20" x14ac:dyDescent="0.3">
      <c r="A159" t="s">
        <v>1</v>
      </c>
      <c r="B159" t="s">
        <v>37</v>
      </c>
      <c r="C159" t="s">
        <v>70</v>
      </c>
      <c r="D159">
        <f>'Transpo perseq'!D159*Pondération!$D$17</f>
        <v>4.7599475436448683E-3</v>
      </c>
      <c r="E159">
        <f>'Transpo perseq'!E159*Pondération!$D$2</f>
        <v>2.5028296612749322E-2</v>
      </c>
      <c r="F159">
        <f>'Transpo perseq'!I159*Pondération!$D$12</f>
        <v>1.8829856317007707E-3</v>
      </c>
      <c r="G159">
        <f>'Transpo perseq'!M159*Pondération!$D$15</f>
        <v>3.6101858053300977E-5</v>
      </c>
      <c r="H159">
        <f>'Transpo perseq'!N159*Pondération!$D$14</f>
        <v>1.0035352638019506E-3</v>
      </c>
      <c r="I159">
        <f>'Transpo perseq'!O159*Pondération!$D$16</f>
        <v>1.513841329989978E-3</v>
      </c>
      <c r="J159">
        <f>'Transpo perseq'!P159*Pondération!$D$4</f>
        <v>5.3899768753196467E-4</v>
      </c>
      <c r="K159">
        <f>'Transpo perseq'!T159*Pondération!$D$5</f>
        <v>8.1877504493564417E-4</v>
      </c>
      <c r="L159">
        <f>'Transpo perseq'!X159*Pondération!$D$7</f>
        <v>1.8996616646505056E-3</v>
      </c>
      <c r="M159">
        <f>'Transpo perseq'!Y159*Pondération!$D$13</f>
        <v>1.5727602583430795E-4</v>
      </c>
      <c r="N159">
        <f>'Transpo perseq'!Z159*Pondération!$D$3</f>
        <v>5.5976878678438751E-6</v>
      </c>
      <c r="O159">
        <f>'Transpo perseq'!AA159*Pondération!$D$6</f>
        <v>6.5829924317311935E-3</v>
      </c>
      <c r="P159">
        <f>'Transpo perseq'!AB159*Pondération!$D$8</f>
        <v>2.3922803016785516E-3</v>
      </c>
      <c r="Q159">
        <f>'Transpo perseq'!AC159*Pondération!$D$10</f>
        <v>1.6786228179175536E-2</v>
      </c>
      <c r="R159">
        <f>'Transpo perseq'!AD159*Pondération!$D$9</f>
        <v>1.6786686964744418E-2</v>
      </c>
      <c r="S159">
        <f>'Transpo perseq'!AE159*Pondération!$D$11</f>
        <v>1.6940286503631015E-3</v>
      </c>
      <c r="T159">
        <f t="shared" si="2"/>
        <v>8.1887232878453245E-2</v>
      </c>
    </row>
    <row r="160" spans="1:20" x14ac:dyDescent="0.3">
      <c r="A160" t="s">
        <v>1</v>
      </c>
      <c r="B160" t="s">
        <v>37</v>
      </c>
      <c r="C160" t="s">
        <v>71</v>
      </c>
      <c r="D160">
        <f>'Transpo perseq'!D160*Pondération!$D$17</f>
        <v>1.3651913296087751E-3</v>
      </c>
      <c r="E160">
        <f>'Transpo perseq'!E160*Pondération!$D$2</f>
        <v>6.6716227334385576E-3</v>
      </c>
      <c r="F160">
        <f>'Transpo perseq'!I160*Pondération!$D$12</f>
        <v>5.1571192897462885E-4</v>
      </c>
      <c r="G160">
        <f>'Transpo perseq'!M160*Pondération!$D$15</f>
        <v>7.2873534164858559E-6</v>
      </c>
      <c r="H160">
        <f>'Transpo perseq'!N160*Pondération!$D$14</f>
        <v>2.609294865324965E-4</v>
      </c>
      <c r="I160">
        <f>'Transpo perseq'!O160*Pondération!$D$16</f>
        <v>3.9350637142543951E-4</v>
      </c>
      <c r="J160">
        <f>'Transpo perseq'!P160*Pondération!$D$4</f>
        <v>1.6239301092336938E-4</v>
      </c>
      <c r="K160">
        <f>'Transpo perseq'!T160*Pondération!$D$5</f>
        <v>2.4440707367109909E-4</v>
      </c>
      <c r="L160">
        <f>'Transpo perseq'!X160*Pondération!$D$7</f>
        <v>4.6592480573927727E-4</v>
      </c>
      <c r="M160">
        <f>'Transpo perseq'!Y160*Pondération!$D$13</f>
        <v>4.0279304199627292E-5</v>
      </c>
      <c r="N160">
        <f>'Transpo perseq'!Z160*Pondération!$D$3</f>
        <v>1.0444206395216875E-6</v>
      </c>
      <c r="O160">
        <f>'Transpo perseq'!AA160*Pondération!$D$6</f>
        <v>1.9442330553773998E-3</v>
      </c>
      <c r="P160">
        <f>'Transpo perseq'!AB160*Pondération!$D$8</f>
        <v>6.2870808420535196E-4</v>
      </c>
      <c r="Q160">
        <f>'Transpo perseq'!AC160*Pondération!$D$10</f>
        <v>4.2657507991517955E-3</v>
      </c>
      <c r="R160">
        <f>'Transpo perseq'!AD160*Pondération!$D$9</f>
        <v>5.2538084765403684E-3</v>
      </c>
      <c r="S160">
        <f>'Transpo perseq'!AE160*Pondération!$D$11</f>
        <v>4.2645324202427451E-4</v>
      </c>
      <c r="T160">
        <f t="shared" si="2"/>
        <v>2.264725147586847E-2</v>
      </c>
    </row>
    <row r="161" spans="1:20" x14ac:dyDescent="0.3">
      <c r="A161" t="s">
        <v>1</v>
      </c>
      <c r="B161" t="s">
        <v>37</v>
      </c>
      <c r="C161" t="s">
        <v>92</v>
      </c>
      <c r="D161">
        <f>'Transpo perseq'!D161*Pondération!$D$17</f>
        <v>2.6223823095245403E-5</v>
      </c>
      <c r="E161">
        <f>'Transpo perseq'!E161*Pondération!$D$2</f>
        <v>1.23979989044519E-4</v>
      </c>
      <c r="F161">
        <f>'Transpo perseq'!I161*Pondération!$D$12</f>
        <v>9.497292937929001E-6</v>
      </c>
      <c r="G161">
        <f>'Transpo perseq'!M161*Pondération!$D$15</f>
        <v>3.9832998276551423E-8</v>
      </c>
      <c r="H161">
        <f>'Transpo perseq'!N161*Pondération!$D$14</f>
        <v>4.7440470754817733E-6</v>
      </c>
      <c r="I161">
        <f>'Transpo perseq'!O161*Pondération!$D$16</f>
        <v>7.1532204393691722E-6</v>
      </c>
      <c r="J161">
        <f>'Transpo perseq'!P161*Pondération!$D$4</f>
        <v>3.1711709638854434E-6</v>
      </c>
      <c r="K161">
        <f>'Transpo perseq'!T161*Pondération!$D$5</f>
        <v>4.7590670941245174E-6</v>
      </c>
      <c r="L161">
        <f>'Transpo perseq'!X161*Pondération!$D$7</f>
        <v>8.3769529058131425E-6</v>
      </c>
      <c r="M161">
        <f>'Transpo perseq'!Y161*Pondération!$D$13</f>
        <v>6.8317847512454649E-7</v>
      </c>
      <c r="N161">
        <f>'Transpo perseq'!Z161*Pondération!$D$3</f>
        <v>1.3223357258713309E-13</v>
      </c>
      <c r="O161">
        <f>'Transpo perseq'!AA161*Pondération!$D$6</f>
        <v>3.75322307619549E-5</v>
      </c>
      <c r="P161">
        <f>'Transpo perseq'!AB161*Pondération!$D$8</f>
        <v>1.1466883608270996E-5</v>
      </c>
      <c r="Q161">
        <f>'Transpo perseq'!AC161*Pondération!$D$10</f>
        <v>7.7389270981987189E-5</v>
      </c>
      <c r="R161">
        <f>'Transpo perseq'!AD161*Pondération!$D$9</f>
        <v>1.0506258115112362E-4</v>
      </c>
      <c r="S161">
        <f>'Transpo perseq'!AE161*Pondération!$D$11</f>
        <v>5.6247654845301779E-6</v>
      </c>
      <c r="T161">
        <f t="shared" si="2"/>
        <v>4.2570430714986902E-4</v>
      </c>
    </row>
    <row r="162" spans="1:20" x14ac:dyDescent="0.3">
      <c r="A162" t="s">
        <v>1</v>
      </c>
      <c r="B162" t="s">
        <v>37</v>
      </c>
      <c r="C162" t="s">
        <v>58</v>
      </c>
      <c r="D162">
        <f>'Transpo perseq'!D162*Pondération!$D$17</f>
        <v>1.6300228402320081E-5</v>
      </c>
      <c r="E162">
        <f>'Transpo perseq'!E162*Pondération!$D$2</f>
        <v>1.4377512155535263E-4</v>
      </c>
      <c r="F162">
        <f>'Transpo perseq'!I162*Pondération!$D$12</f>
        <v>4.2244248869457712E-6</v>
      </c>
      <c r="G162">
        <f>'Transpo perseq'!M162*Pondération!$D$15</f>
        <v>3.9707058948035497E-8</v>
      </c>
      <c r="H162">
        <f>'Transpo perseq'!N162*Pondération!$D$14</f>
        <v>5.0685467254990149E-6</v>
      </c>
      <c r="I162">
        <f>'Transpo perseq'!O162*Pondération!$D$16</f>
        <v>7.395955649678816E-6</v>
      </c>
      <c r="J162">
        <f>'Transpo perseq'!P162*Pondération!$D$4</f>
        <v>6.0028558188075999E-7</v>
      </c>
      <c r="K162">
        <f>'Transpo perseq'!T162*Pondération!$D$5</f>
        <v>4.7365422822474244E-6</v>
      </c>
      <c r="L162">
        <f>'Transpo perseq'!X162*Pondération!$D$7</f>
        <v>2.1749626475308911E-6</v>
      </c>
      <c r="M162">
        <f>'Transpo perseq'!Y162*Pondération!$D$13</f>
        <v>2.8824119654124208E-7</v>
      </c>
      <c r="N162">
        <f>'Transpo perseq'!Z162*Pondération!$D$3</f>
        <v>5.4591055277819887E-15</v>
      </c>
      <c r="O162">
        <f>'Transpo perseq'!AA162*Pondération!$D$6</f>
        <v>2.685940438876979E-5</v>
      </c>
      <c r="P162">
        <f>'Transpo perseq'!AB162*Pondération!$D$8</f>
        <v>1.3181708520653212E-5</v>
      </c>
      <c r="Q162">
        <f>'Transpo perseq'!AC162*Pondération!$D$10</f>
        <v>7.760213797112192E-5</v>
      </c>
      <c r="R162">
        <f>'Transpo perseq'!AD162*Pondération!$D$9</f>
        <v>2.2188889491405351E-6</v>
      </c>
      <c r="S162">
        <f>'Transpo perseq'!AE162*Pondération!$D$11</f>
        <v>1.3871070948871288E-5</v>
      </c>
      <c r="T162">
        <f t="shared" si="2"/>
        <v>3.1833722677096049E-4</v>
      </c>
    </row>
    <row r="163" spans="1:20" x14ac:dyDescent="0.3">
      <c r="A163" t="s">
        <v>1</v>
      </c>
      <c r="B163" t="s">
        <v>37</v>
      </c>
      <c r="C163" t="s">
        <v>74</v>
      </c>
      <c r="D163">
        <f>'Transpo perseq'!D163*Pondération!$D$17</f>
        <v>2.0210453691335072E-6</v>
      </c>
      <c r="E163">
        <f>'Transpo perseq'!E163*Pondération!$D$2</f>
        <v>2.1325164376531368E-5</v>
      </c>
      <c r="F163">
        <f>'Transpo perseq'!I163*Pondération!$D$12</f>
        <v>9.2648521687156532E-6</v>
      </c>
      <c r="G163">
        <f>'Transpo perseq'!M163*Pondération!$D$15</f>
        <v>4.3140707763137424E-7</v>
      </c>
      <c r="H163">
        <f>'Transpo perseq'!N163*Pondération!$D$14</f>
        <v>8.089557070354577E-7</v>
      </c>
      <c r="I163">
        <f>'Transpo perseq'!O163*Pondération!$D$16</f>
        <v>1.1924990501296549E-6</v>
      </c>
      <c r="J163">
        <f>'Transpo perseq'!P163*Pondération!$D$4</f>
        <v>3.0778159869897132E-7</v>
      </c>
      <c r="K163">
        <f>'Transpo perseq'!T163*Pondération!$D$5</f>
        <v>1.6214471698390104E-6</v>
      </c>
      <c r="L163">
        <f>'Transpo perseq'!X163*Pondération!$D$7</f>
        <v>1.4361946202888802E-6</v>
      </c>
      <c r="M163">
        <f>'Transpo perseq'!Y163*Pondération!$D$13</f>
        <v>9.5658153433730253E-9</v>
      </c>
      <c r="N163">
        <f>'Transpo perseq'!Z163*Pondération!$D$3</f>
        <v>1.2433711467533493E-14</v>
      </c>
      <c r="O163">
        <f>'Transpo perseq'!AA163*Pondération!$D$6</f>
        <v>1.5073238773658992E-6</v>
      </c>
      <c r="P163">
        <f>'Transpo perseq'!AB163*Pondération!$D$8</f>
        <v>1.7045982680709064E-6</v>
      </c>
      <c r="Q163">
        <f>'Transpo perseq'!AC163*Pondération!$D$10</f>
        <v>1.7522484908058225E-5</v>
      </c>
      <c r="R163">
        <f>'Transpo perseq'!AD163*Pondération!$D$9</f>
        <v>-1.8593849721597998E-8</v>
      </c>
      <c r="S163">
        <f>'Transpo perseq'!AE163*Pondération!$D$11</f>
        <v>-3.1134497190381831E-7</v>
      </c>
      <c r="T163">
        <f t="shared" si="2"/>
        <v>5.8823381197650576E-5</v>
      </c>
    </row>
    <row r="164" spans="1:20" x14ac:dyDescent="0.3">
      <c r="A164" t="s">
        <v>1</v>
      </c>
      <c r="B164" t="s">
        <v>37</v>
      </c>
      <c r="C164" t="s">
        <v>75</v>
      </c>
      <c r="D164">
        <f>'Transpo perseq'!D164*Pondération!$D$17</f>
        <v>7.1324799999999993E-6</v>
      </c>
      <c r="E164">
        <f>'Transpo perseq'!E164*Pondération!$D$2</f>
        <v>2.5406784000000002E-5</v>
      </c>
      <c r="F164">
        <f>'Transpo perseq'!I164*Pondération!$D$12</f>
        <v>2.7095039999999997E-6</v>
      </c>
      <c r="G164">
        <f>'Transpo perseq'!M164*Pondération!$D$15</f>
        <v>2.25344E-8</v>
      </c>
      <c r="H164">
        <f>'Transpo perseq'!N164*Pondération!$D$14</f>
        <v>1.6860160000000001E-6</v>
      </c>
      <c r="I164">
        <f>'Transpo perseq'!O164*Pondération!$D$16</f>
        <v>2.5346720000000001E-6</v>
      </c>
      <c r="J164">
        <f>'Transpo perseq'!P164*Pondération!$D$4</f>
        <v>9.0993599999999989E-5</v>
      </c>
      <c r="K164">
        <f>'Transpo perseq'!T164*Pondération!$D$5</f>
        <v>1.2587256616011775E-6</v>
      </c>
      <c r="L164">
        <f>'Transpo perseq'!X164*Pondération!$D$7</f>
        <v>7.1059149841913614E-7</v>
      </c>
      <c r="M164">
        <f>'Transpo perseq'!Y164*Pondération!$D$13</f>
        <v>3.1105843104172178E-7</v>
      </c>
      <c r="N164">
        <f>'Transpo perseq'!Z164*Pondération!$D$3</f>
        <v>3.9976732004809073E-15</v>
      </c>
      <c r="O164">
        <f>'Transpo perseq'!AA164*Pondération!$D$6</f>
        <v>1.6714407513280942E-5</v>
      </c>
      <c r="P164">
        <f>'Transpo perseq'!AB164*Pondération!$D$8</f>
        <v>3.9174219901116181E-6</v>
      </c>
      <c r="Q164">
        <f>'Transpo perseq'!AC164*Pondération!$D$10</f>
        <v>1.6206543498486149E-5</v>
      </c>
      <c r="R164">
        <f>'Transpo perseq'!AD164*Pondération!$D$9</f>
        <v>1.9943351550205093E-5</v>
      </c>
      <c r="S164">
        <f>'Transpo perseq'!AE164*Pondération!$D$11</f>
        <v>6.0356282220401718E-6</v>
      </c>
      <c r="T164">
        <f t="shared" si="2"/>
        <v>1.9558331876918367E-4</v>
      </c>
    </row>
    <row r="165" spans="1:20" x14ac:dyDescent="0.3">
      <c r="A165" t="s">
        <v>1</v>
      </c>
      <c r="B165" t="s">
        <v>37</v>
      </c>
      <c r="C165" t="s">
        <v>78</v>
      </c>
      <c r="D165">
        <f>'Transpo perseq'!D165*Pondération!$D$17</f>
        <v>6.6067199999999995E-6</v>
      </c>
      <c r="E165">
        <f>'Transpo perseq'!E165*Pondération!$D$2</f>
        <v>5.8294080000000007E-5</v>
      </c>
      <c r="F165">
        <f>'Transpo perseq'!I165*Pondération!$D$12</f>
        <v>1.201152E-5</v>
      </c>
      <c r="G165">
        <f>'Transpo perseq'!M165*Pondération!$D$15</f>
        <v>1.9174399999999999E-6</v>
      </c>
      <c r="H165">
        <f>'Transpo perseq'!N165*Pondération!$D$14</f>
        <v>2.1264640000000002E-6</v>
      </c>
      <c r="I165">
        <f>'Transpo perseq'!O165*Pondération!$D$16</f>
        <v>2.9501919999999999E-6</v>
      </c>
      <c r="J165">
        <f>'Transpo perseq'!P165*Pondération!$D$4</f>
        <v>1.0735199999999999E-6</v>
      </c>
      <c r="K165">
        <f>'Transpo perseq'!T165*Pondération!$D$5</f>
        <v>3.4180767010647883E-6</v>
      </c>
      <c r="L165">
        <f>'Transpo perseq'!X165*Pondération!$D$7</f>
        <v>9.7757619355416566E-6</v>
      </c>
      <c r="M165">
        <f>'Transpo perseq'!Y165*Pondération!$D$13</f>
        <v>3.4582329834176356E-7</v>
      </c>
      <c r="N165">
        <f>'Transpo perseq'!Z165*Pondération!$D$3</f>
        <v>3.219739783297599E-8</v>
      </c>
      <c r="O165">
        <f>'Transpo perseq'!AA165*Pondération!$D$6</f>
        <v>7.6333819742104077E-6</v>
      </c>
      <c r="P165">
        <f>'Transpo perseq'!AB165*Pondération!$D$8</f>
        <v>6.1010012772281788E-6</v>
      </c>
      <c r="Q165">
        <f>'Transpo perseq'!AC165*Pondération!$D$10</f>
        <v>8.734395242206646E-5</v>
      </c>
      <c r="R165">
        <f>'Transpo perseq'!AD165*Pondération!$D$9</f>
        <v>1.7277845536333936E-6</v>
      </c>
      <c r="S165">
        <f>'Transpo perseq'!AE165*Pondération!$D$11</f>
        <v>2.3861677554290828E-5</v>
      </c>
      <c r="T165">
        <f t="shared" si="2"/>
        <v>2.2521959311421044E-4</v>
      </c>
    </row>
    <row r="166" spans="1:20" x14ac:dyDescent="0.3">
      <c r="A166" t="s">
        <v>1</v>
      </c>
      <c r="B166" t="s">
        <v>37</v>
      </c>
      <c r="C166" t="s">
        <v>59</v>
      </c>
      <c r="D166">
        <f>'Transpo perseq'!D166*Pondération!$D$17</f>
        <v>1.0812800000000001E-5</v>
      </c>
      <c r="E166">
        <f>'Transpo perseq'!E166*Pondération!$D$2</f>
        <v>1.0479456E-4</v>
      </c>
      <c r="F166">
        <f>'Transpo perseq'!I166*Pondération!$D$12</f>
        <v>1.8862079999999997E-4</v>
      </c>
      <c r="G166">
        <f>'Transpo perseq'!M166*Pondération!$D$15</f>
        <v>2.47296E-6</v>
      </c>
      <c r="H166">
        <f>'Transpo perseq'!N166*Pondération!$D$14</f>
        <v>4.4755199999999995E-6</v>
      </c>
      <c r="I166">
        <f>'Transpo perseq'!O166*Pondération!$D$16</f>
        <v>5.4076959999999998E-6</v>
      </c>
      <c r="J166">
        <f>'Transpo perseq'!P166*Pondération!$D$4</f>
        <v>7.2590399999999997E-6</v>
      </c>
      <c r="K166">
        <f>'Transpo perseq'!T166*Pondération!$D$5</f>
        <v>4.638527791556324E-5</v>
      </c>
      <c r="L166">
        <f>'Transpo perseq'!X166*Pondération!$D$7</f>
        <v>1.2507269109429177E-5</v>
      </c>
      <c r="M166">
        <f>'Transpo perseq'!Y166*Pondération!$D$13</f>
        <v>4.8512349241391711E-8</v>
      </c>
      <c r="N166">
        <f>'Transpo perseq'!Z166*Pondération!$D$3</f>
        <v>1.9558054265744299E-13</v>
      </c>
      <c r="O166">
        <f>'Transpo perseq'!AA166*Pondération!$D$6</f>
        <v>1.1154823906116394E-5</v>
      </c>
      <c r="P166">
        <f>'Transpo perseq'!AB166*Pondération!$D$8</f>
        <v>9.7222897858049674E-6</v>
      </c>
      <c r="Q166">
        <f>'Transpo perseq'!AC166*Pondération!$D$10</f>
        <v>9.5753356943857883E-5</v>
      </c>
      <c r="R166">
        <f>'Transpo perseq'!AD166*Pondération!$D$9</f>
        <v>2.3552202213213693E-6</v>
      </c>
      <c r="S166">
        <f>'Transpo perseq'!AE166*Pondération!$D$11</f>
        <v>2.1659301048060085E-4</v>
      </c>
      <c r="T166">
        <f t="shared" si="2"/>
        <v>7.1836313690751578E-4</v>
      </c>
    </row>
    <row r="167" spans="1:20" x14ac:dyDescent="0.3">
      <c r="A167" t="s">
        <v>1</v>
      </c>
      <c r="B167" t="s">
        <v>37</v>
      </c>
      <c r="C167" t="s">
        <v>56</v>
      </c>
      <c r="D167">
        <f>'Transpo perseq'!D167*Pondération!$D$17</f>
        <v>8.3427199999999997E-7</v>
      </c>
      <c r="E167">
        <f>'Transpo perseq'!E167*Pondération!$D$2</f>
        <v>3.1842719999999998E-6</v>
      </c>
      <c r="F167">
        <f>'Transpo perseq'!I167*Pondération!$D$12</f>
        <v>2.4176639999999999E-7</v>
      </c>
      <c r="G167">
        <f>'Transpo perseq'!M167*Pondération!$D$15</f>
        <v>1.8995200000000001E-7</v>
      </c>
      <c r="H167">
        <f>'Transpo perseq'!N167*Pondération!$D$14</f>
        <v>4.1108479999999999E-7</v>
      </c>
      <c r="I167">
        <f>'Transpo perseq'!O167*Pondération!$D$16</f>
        <v>5.7282400000000007E-7</v>
      </c>
      <c r="J167">
        <f>'Transpo perseq'!P167*Pondération!$D$4</f>
        <v>6.3388800000000002E-8</v>
      </c>
      <c r="K167">
        <f>'Transpo perseq'!T167*Pondération!$D$5</f>
        <v>2.8905856709801009E-7</v>
      </c>
      <c r="L167">
        <f>'Transpo perseq'!X167*Pondération!$D$7</f>
        <v>-1.178777590743057E-6</v>
      </c>
      <c r="M167">
        <f>'Transpo perseq'!Y167*Pondération!$D$13</f>
        <v>1.5278687584077147E-5</v>
      </c>
      <c r="N167">
        <f>'Transpo perseq'!Z167*Pondération!$D$3</f>
        <v>2.3375009717479309E-9</v>
      </c>
      <c r="O167">
        <f>'Transpo perseq'!AA167*Pondération!$D$6</f>
        <v>1.423746537871927E-6</v>
      </c>
      <c r="P167">
        <f>'Transpo perseq'!AB167*Pondération!$D$8</f>
        <v>9.0467767457058109E-7</v>
      </c>
      <c r="Q167">
        <f>'Transpo perseq'!AC167*Pondération!$D$10</f>
        <v>-6.2880757101395652E-7</v>
      </c>
      <c r="R167">
        <f>'Transpo perseq'!AD167*Pondération!$D$9</f>
        <v>3.4622196397316759E-8</v>
      </c>
      <c r="S167">
        <f>'Transpo perseq'!AE167*Pondération!$D$11</f>
        <v>2.9243471534198841E-5</v>
      </c>
      <c r="T167">
        <f t="shared" si="2"/>
        <v>5.0866576433428554E-5</v>
      </c>
    </row>
    <row r="168" spans="1:20" x14ac:dyDescent="0.3">
      <c r="A168" t="s">
        <v>1</v>
      </c>
      <c r="B168" t="s">
        <v>37</v>
      </c>
      <c r="C168" t="s">
        <v>93</v>
      </c>
      <c r="D168">
        <f>'Transpo perseq'!D168*Pondération!$D$17</f>
        <v>2.3807999999999997E-7</v>
      </c>
      <c r="E168">
        <f>'Transpo perseq'!E168*Pondération!$D$2</f>
        <v>1.9577376000000004E-6</v>
      </c>
      <c r="F168">
        <f>'Transpo perseq'!I168*Pondération!$D$12</f>
        <v>2.0367360000000001E-7</v>
      </c>
      <c r="G168">
        <f>'Transpo perseq'!M168*Pondération!$D$15</f>
        <v>2.7910400000000003E-9</v>
      </c>
      <c r="H168">
        <f>'Transpo perseq'!N168*Pondération!$D$14</f>
        <v>7.6723200000000002E-8</v>
      </c>
      <c r="I168">
        <f>'Transpo perseq'!O168*Pondération!$D$16</f>
        <v>1.151584E-7</v>
      </c>
      <c r="J168">
        <f>'Transpo perseq'!P168*Pondération!$D$4</f>
        <v>3.9532799999999998E-7</v>
      </c>
      <c r="K168">
        <f>'Transpo perseq'!T168*Pondération!$D$5</f>
        <v>2.8722663853567372E-6</v>
      </c>
      <c r="L168">
        <f>'Transpo perseq'!X168*Pondération!$D$7</f>
        <v>1.7464561828643912E-7</v>
      </c>
      <c r="M168">
        <f>'Transpo perseq'!Y168*Pondération!$D$13</f>
        <v>1.9686224757242127E-7</v>
      </c>
      <c r="N168">
        <f>'Transpo perseq'!Z168*Pondération!$D$3</f>
        <v>1.117166316033959E-15</v>
      </c>
      <c r="O168">
        <f>'Transpo perseq'!AA168*Pondération!$D$6</f>
        <v>3.4365644761053348E-7</v>
      </c>
      <c r="P168">
        <f>'Transpo perseq'!AB168*Pondération!$D$8</f>
        <v>1.9980476102015344E-7</v>
      </c>
      <c r="Q168">
        <f>'Transpo perseq'!AC168*Pondération!$D$10</f>
        <v>1.5371578901050645E-6</v>
      </c>
      <c r="R168">
        <f>'Transpo perseq'!AD168*Pondération!$D$9</f>
        <v>1.3786036980700374E-6</v>
      </c>
      <c r="S168">
        <f>'Transpo perseq'!AE168*Pondération!$D$11</f>
        <v>7.7183984219724323E-8</v>
      </c>
      <c r="T168">
        <f t="shared" si="2"/>
        <v>9.769672873358278E-6</v>
      </c>
    </row>
    <row r="169" spans="1:20" x14ac:dyDescent="0.3">
      <c r="A169" t="s">
        <v>1</v>
      </c>
      <c r="B169" t="s">
        <v>37</v>
      </c>
      <c r="C169" t="s">
        <v>57</v>
      </c>
      <c r="D169">
        <f>'Transpo perseq'!D169*Pondération!$D$17</f>
        <v>1.7657599999999998E-5</v>
      </c>
      <c r="E169">
        <f>'Transpo perseq'!E169*Pondération!$D$2</f>
        <v>6.9076800000000002E-5</v>
      </c>
      <c r="F169">
        <f>'Transpo perseq'!I169*Pondération!$D$12</f>
        <v>1.1765759999999999E-5</v>
      </c>
      <c r="G169">
        <f>'Transpo perseq'!M169*Pondération!$D$15</f>
        <v>1.3708800000000002E-7</v>
      </c>
      <c r="H169">
        <f>'Transpo perseq'!N169*Pondération!$D$14</f>
        <v>1.1745280000000001E-5</v>
      </c>
      <c r="I169">
        <f>'Transpo perseq'!O169*Pondération!$D$16</f>
        <v>1.7986080000000002E-5</v>
      </c>
      <c r="J169">
        <f>'Transpo perseq'!P169*Pondération!$D$4</f>
        <v>6.6796799999999996E-7</v>
      </c>
      <c r="K169">
        <f>'Transpo perseq'!T169*Pondération!$D$5</f>
        <v>2.3552765503833044E-6</v>
      </c>
      <c r="L169">
        <f>'Transpo perseq'!X169*Pondération!$D$7</f>
        <v>1.1155107836095344E-7</v>
      </c>
      <c r="M169">
        <f>'Transpo perseq'!Y169*Pondération!$D$13</f>
        <v>1.1752916298245169E-6</v>
      </c>
      <c r="N169">
        <f>'Transpo perseq'!Z169*Pondération!$D$3</f>
        <v>6.1528217471600535E-16</v>
      </c>
      <c r="O169">
        <f>'Transpo perseq'!AA169*Pondération!$D$6</f>
        <v>8.8640929390675834E-6</v>
      </c>
      <c r="P169">
        <f>'Transpo perseq'!AB169*Pondération!$D$8</f>
        <v>1.7613170710580538E-5</v>
      </c>
      <c r="Q169">
        <f>'Transpo perseq'!AC169*Pondération!$D$10</f>
        <v>4.5171470196805887E-5</v>
      </c>
      <c r="R169">
        <f>'Transpo perseq'!AD169*Pondération!$D$9</f>
        <v>2.7980948235088926E-7</v>
      </c>
      <c r="S169">
        <f>'Transpo perseq'!AE169*Pondération!$D$11</f>
        <v>1.8244790706791944E-7</v>
      </c>
      <c r="T169">
        <f t="shared" si="2"/>
        <v>2.0478968649505688E-4</v>
      </c>
    </row>
    <row r="170" spans="1:20" x14ac:dyDescent="0.3">
      <c r="A170" t="s">
        <v>1</v>
      </c>
      <c r="B170" t="s">
        <v>38</v>
      </c>
      <c r="C170" t="s">
        <v>70</v>
      </c>
      <c r="D170">
        <f>'Transpo perseq'!D170*Pondération!$D$17</f>
        <v>3.5116800000000001E-4</v>
      </c>
      <c r="E170">
        <f>'Transpo perseq'!E170*Pondération!$D$2</f>
        <v>1.6612127999999999E-3</v>
      </c>
      <c r="F170">
        <f>'Transpo perseq'!I170*Pondération!$D$12</f>
        <v>1.2748799999999998E-4</v>
      </c>
      <c r="G170">
        <f>'Transpo perseq'!M170*Pondération!$D$15</f>
        <v>5.3312000000000005E-7</v>
      </c>
      <c r="H170">
        <f>'Transpo perseq'!N170*Pondération!$D$14</f>
        <v>6.3462400000000011E-5</v>
      </c>
      <c r="I170">
        <f>'Transpo perseq'!O170*Pondération!$D$16</f>
        <v>9.6163200000000008E-5</v>
      </c>
      <c r="J170">
        <f>'Transpo perseq'!P170*Pondération!$D$4</f>
        <v>4.2599999999999999E-5</v>
      </c>
      <c r="K170">
        <f>'Transpo perseq'!T170*Pondération!$D$5</f>
        <v>6.3814763307578598E-5</v>
      </c>
      <c r="L170">
        <f>'Transpo perseq'!X170*Pondération!$D$7</f>
        <v>1.1232732305522155E-4</v>
      </c>
      <c r="M170">
        <f>'Transpo perseq'!Y170*Pondération!$D$13</f>
        <v>9.160802280079136E-6</v>
      </c>
      <c r="N170">
        <f>'Transpo perseq'!Z170*Pondération!$D$3</f>
        <v>1.7731319960547347E-12</v>
      </c>
      <c r="O170">
        <f>'Transpo perseq'!AA170*Pondération!$D$6</f>
        <v>5.0327309430803148E-4</v>
      </c>
      <c r="P170">
        <f>'Transpo perseq'!AB170*Pondération!$D$8</f>
        <v>1.5376048474727017E-4</v>
      </c>
      <c r="Q170">
        <f>'Transpo perseq'!AC170*Pondération!$D$10</f>
        <v>1.0377197699857372E-3</v>
      </c>
      <c r="R170">
        <f>'Transpo perseq'!AD170*Pondération!$D$9</f>
        <v>1.4087937017991639E-3</v>
      </c>
      <c r="S170">
        <f>'Transpo perseq'!AE170*Pondération!$D$11</f>
        <v>7.5422991724369276E-5</v>
      </c>
      <c r="T170">
        <f t="shared" si="2"/>
        <v>5.7069004529805827E-3</v>
      </c>
    </row>
    <row r="171" spans="1:20" x14ac:dyDescent="0.3">
      <c r="A171" t="s">
        <v>1</v>
      </c>
      <c r="B171" t="s">
        <v>38</v>
      </c>
      <c r="C171" t="s">
        <v>71</v>
      </c>
      <c r="D171">
        <f>'Transpo perseq'!D171*Pondération!$D$17</f>
        <v>2.3014400000000001E-5</v>
      </c>
      <c r="E171">
        <f>'Transpo perseq'!E171*Pondération!$D$2</f>
        <v>1.0883808E-4</v>
      </c>
      <c r="F171">
        <f>'Transpo perseq'!I171*Pondération!$D$12</f>
        <v>8.3558399999999999E-6</v>
      </c>
      <c r="G171">
        <f>'Transpo perseq'!M171*Pondération!$D$15</f>
        <v>3.4988800000000006E-8</v>
      </c>
      <c r="H171">
        <f>'Transpo perseq'!N171*Pondération!$D$14</f>
        <v>4.1676800000000002E-6</v>
      </c>
      <c r="I171">
        <f>'Transpo perseq'!O171*Pondération!$D$16</f>
        <v>6.2921600000000002E-6</v>
      </c>
      <c r="J171">
        <f>'Transpo perseq'!P171*Pondération!$D$4</f>
        <v>2.787744E-6</v>
      </c>
      <c r="K171">
        <f>'Transpo perseq'!T171*Pondération!$D$5</f>
        <v>4.1822104766548698E-6</v>
      </c>
      <c r="L171">
        <f>'Transpo perseq'!X171*Pondération!$D$7</f>
        <v>7.3615646748054558E-6</v>
      </c>
      <c r="M171">
        <f>'Transpo perseq'!Y171*Pondération!$D$13</f>
        <v>6.0036896298823341E-7</v>
      </c>
      <c r="N171">
        <f>'Transpo perseq'!Z171*Pondération!$D$3</f>
        <v>1.1620526075839021E-13</v>
      </c>
      <c r="O171">
        <f>'Transpo perseq'!AA171*Pondération!$D$6</f>
        <v>3.2982869457475482E-5</v>
      </c>
      <c r="P171">
        <f>'Transpo perseq'!AB171*Pondération!$D$8</f>
        <v>1.0076958322419964E-5</v>
      </c>
      <c r="Q171">
        <f>'Transpo perseq'!AC171*Pondération!$D$10</f>
        <v>6.8008753287200863E-5</v>
      </c>
      <c r="R171">
        <f>'Transpo perseq'!AD171*Pondération!$D$9</f>
        <v>9.2327722829775309E-5</v>
      </c>
      <c r="S171">
        <f>'Transpo perseq'!AE171*Pondération!$D$11</f>
        <v>4.9429757288294621E-6</v>
      </c>
      <c r="T171">
        <f t="shared" si="2"/>
        <v>3.7397431665635485E-4</v>
      </c>
    </row>
    <row r="172" spans="1:20" x14ac:dyDescent="0.3">
      <c r="A172" t="s">
        <v>1</v>
      </c>
      <c r="B172" t="s">
        <v>38</v>
      </c>
      <c r="C172" t="s">
        <v>75</v>
      </c>
      <c r="D172">
        <f>'Transpo perseq'!D172*Pondération!$D$17</f>
        <v>4.7814399999999997E-7</v>
      </c>
      <c r="E172">
        <f>'Transpo perseq'!E172*Pondération!$D$2</f>
        <v>1.5702336000000001E-6</v>
      </c>
      <c r="F172">
        <f>'Transpo perseq'!I172*Pondération!$D$12</f>
        <v>1.8462719999999999E-7</v>
      </c>
      <c r="G172">
        <f>'Transpo perseq'!M172*Pondération!$D$15</f>
        <v>1.64864E-9</v>
      </c>
      <c r="H172">
        <f>'Transpo perseq'!N172*Pondération!$D$14</f>
        <v>1.174528E-7</v>
      </c>
      <c r="I172">
        <f>'Transpo perseq'!O172*Pondération!$D$16</f>
        <v>1.7689280000000001E-7</v>
      </c>
      <c r="J172">
        <f>'Transpo perseq'!P172*Pondération!$D$4</f>
        <v>7.1567999999999998E-6</v>
      </c>
      <c r="K172">
        <f>'Transpo perseq'!T172*Pondération!$D$5</f>
        <v>8.2125256276786668E-8</v>
      </c>
      <c r="L172">
        <f>'Transpo perseq'!X172*Pondération!$D$7</f>
        <v>3.2566768052933453E-8</v>
      </c>
      <c r="M172">
        <f>'Transpo perseq'!Y172*Pondération!$D$13</f>
        <v>2.2535928286399886E-8</v>
      </c>
      <c r="N172">
        <f>'Transpo perseq'!Z172*Pondération!$D$3</f>
        <v>3.7757275789215924E-15</v>
      </c>
      <c r="O172">
        <f>'Transpo perseq'!AA172*Pondération!$D$6</f>
        <v>1.1883048014056355E-6</v>
      </c>
      <c r="P172">
        <f>'Transpo perseq'!AB172*Pondération!$D$8</f>
        <v>2.7005148759551298E-7</v>
      </c>
      <c r="Q172">
        <f>'Transpo perseq'!AC172*Pondération!$D$10</f>
        <v>1.0201516554792229E-6</v>
      </c>
      <c r="R172">
        <f>'Transpo perseq'!AD172*Pondération!$D$9</f>
        <v>1.2490344945607354E-6</v>
      </c>
      <c r="S172">
        <f>'Transpo perseq'!AE172*Pondération!$D$11</f>
        <v>3.9760064909747654E-7</v>
      </c>
      <c r="T172">
        <f t="shared" si="2"/>
        <v>1.3948170084530428E-5</v>
      </c>
    </row>
    <row r="173" spans="1:20" x14ac:dyDescent="0.3">
      <c r="A173" t="s">
        <v>1</v>
      </c>
      <c r="B173" t="s">
        <v>38</v>
      </c>
      <c r="C173" t="s">
        <v>59</v>
      </c>
      <c r="D173">
        <f>'Transpo perseq'!D173*Pondération!$D$17</f>
        <v>1.06144E-6</v>
      </c>
      <c r="E173">
        <f>'Transpo perseq'!E173*Pondération!$D$2</f>
        <v>1.0277280000000001E-5</v>
      </c>
      <c r="F173">
        <f>'Transpo perseq'!I173*Pondération!$D$12</f>
        <v>1.8585599999999997E-5</v>
      </c>
      <c r="G173">
        <f>'Transpo perseq'!M173*Pondération!$D$15</f>
        <v>2.4371200000000001E-7</v>
      </c>
      <c r="H173">
        <f>'Transpo perseq'!N173*Pondération!$D$14</f>
        <v>4.3665920000000006E-7</v>
      </c>
      <c r="I173">
        <f>'Transpo perseq'!O173*Pondération!$D$16</f>
        <v>5.2652320000000005E-7</v>
      </c>
      <c r="J173">
        <f>'Transpo perseq'!P173*Pondération!$D$4</f>
        <v>7.1567999999999996E-7</v>
      </c>
      <c r="K173">
        <f>'Transpo perseq'!T173*Pondération!$D$5</f>
        <v>4.5736420705368563E-6</v>
      </c>
      <c r="L173">
        <f>'Transpo perseq'!X173*Pondération!$D$7</f>
        <v>1.2498485795147343E-6</v>
      </c>
      <c r="M173">
        <f>'Transpo perseq'!Y173*Pondération!$D$13</f>
        <v>4.9170849677182667E-9</v>
      </c>
      <c r="N173">
        <f>'Transpo perseq'!Z173*Pondération!$D$3</f>
        <v>1.9293406093214838E-14</v>
      </c>
      <c r="O173">
        <f>'Transpo perseq'!AA173*Pondération!$D$6</f>
        <v>1.0989688491591894E-6</v>
      </c>
      <c r="P173">
        <f>'Transpo perseq'!AB173*Pondération!$D$8</f>
        <v>9.4960537002944898E-7</v>
      </c>
      <c r="Q173">
        <f>'Transpo perseq'!AC173*Pondération!$D$10</f>
        <v>9.4819825611732044E-6</v>
      </c>
      <c r="R173">
        <f>'Transpo perseq'!AD173*Pondération!$D$9</f>
        <v>2.323612000361459E-7</v>
      </c>
      <c r="S173">
        <f>'Transpo perseq'!AE173*Pondération!$D$11</f>
        <v>2.135170036518718E-5</v>
      </c>
      <c r="T173">
        <f t="shared" si="2"/>
        <v>7.0789920499897893E-5</v>
      </c>
    </row>
    <row r="174" spans="1:20" x14ac:dyDescent="0.3">
      <c r="A174" t="s">
        <v>1</v>
      </c>
      <c r="B174" t="s">
        <v>38</v>
      </c>
      <c r="C174" t="s">
        <v>56</v>
      </c>
      <c r="D174">
        <f>'Transpo perseq'!D174*Pondération!$D$17</f>
        <v>2.7676799999999999E-5</v>
      </c>
      <c r="E174">
        <f>'Transpo perseq'!E174*Pondération!$D$2</f>
        <v>1.078272E-4</v>
      </c>
      <c r="F174">
        <f>'Transpo perseq'!I174*Pondération!$D$12</f>
        <v>2.1043199999999999E-5</v>
      </c>
      <c r="G174">
        <f>'Transpo perseq'!M174*Pondération!$D$15</f>
        <v>5.1520000000000001E-5</v>
      </c>
      <c r="H174">
        <f>'Transpo perseq'!N174*Pondération!$D$14</f>
        <v>9.6140800000000003E-6</v>
      </c>
      <c r="I174">
        <f>'Transpo perseq'!O174*Pondération!$D$16</f>
        <v>1.2643679999999999E-5</v>
      </c>
      <c r="J174">
        <f>'Transpo perseq'!P174*Pondération!$D$4</f>
        <v>2.2663199999999999E-6</v>
      </c>
      <c r="K174">
        <f>'Transpo perseq'!T174*Pondération!$D$5</f>
        <v>3.9446214627756963E-6</v>
      </c>
      <c r="L174">
        <f>'Transpo perseq'!X174*Pondération!$D$7</f>
        <v>8.3957910151905844E-6</v>
      </c>
      <c r="M174">
        <f>'Transpo perseq'!Y174*Pondération!$D$13</f>
        <v>1.8217345671279876E-4</v>
      </c>
      <c r="N174">
        <f>'Transpo perseq'!Z174*Pondération!$D$3</f>
        <v>4.5643208571552241E-7</v>
      </c>
      <c r="O174">
        <f>'Transpo perseq'!AA174*Pondération!$D$6</f>
        <v>6.4153904548403852E-5</v>
      </c>
      <c r="P174">
        <f>'Transpo perseq'!AB174*Pondération!$D$8</f>
        <v>2.0315249218759715E-5</v>
      </c>
      <c r="Q174">
        <f>'Transpo perseq'!AC174*Pondération!$D$10</f>
        <v>6.1620260778971113E-5</v>
      </c>
      <c r="R174">
        <f>'Transpo perseq'!AD174*Pondération!$D$9</f>
        <v>1.0304678209111265E-5</v>
      </c>
      <c r="S174">
        <f>'Transpo perseq'!AE174*Pondération!$D$11</f>
        <v>4.3271487184060597E-3</v>
      </c>
      <c r="T174">
        <f t="shared" si="2"/>
        <v>4.9111043924377866E-3</v>
      </c>
    </row>
    <row r="175" spans="1:20" x14ac:dyDescent="0.3">
      <c r="A175" t="s">
        <v>1</v>
      </c>
      <c r="B175" t="s">
        <v>38</v>
      </c>
      <c r="C175" t="s">
        <v>80</v>
      </c>
      <c r="D175">
        <f>'Transpo perseq'!D175*Pondération!$D$17</f>
        <v>1.8664326290254024E-3</v>
      </c>
      <c r="E175">
        <f>'Transpo perseq'!E175*Pondération!$D$2</f>
        <v>1.7624754299240828E-3</v>
      </c>
      <c r="F175">
        <f>'Transpo perseq'!I175*Pondération!$D$12</f>
        <v>1.8787908905751243E-4</v>
      </c>
      <c r="G175">
        <f>'Transpo perseq'!M175*Pondération!$D$15</f>
        <v>2.9085318977415992E-4</v>
      </c>
      <c r="H175">
        <f>'Transpo perseq'!N175*Pondération!$D$14</f>
        <v>5.0489587616012101E-4</v>
      </c>
      <c r="I175">
        <f>'Transpo perseq'!O175*Pondération!$D$16</f>
        <v>1.5546215467899408E-3</v>
      </c>
      <c r="J175">
        <f>'Transpo perseq'!P175*Pondération!$D$4</f>
        <v>9.9396089953594691E-6</v>
      </c>
      <c r="K175">
        <f>'Transpo perseq'!T175*Pondération!$D$5</f>
        <v>3.5413789950166032E-5</v>
      </c>
      <c r="L175">
        <f>'Transpo perseq'!X175*Pondération!$D$7</f>
        <v>1.5278648361694118E-5</v>
      </c>
      <c r="M175">
        <f>'Transpo perseq'!Y175*Pondération!$D$13</f>
        <v>7.7109898841229267E-4</v>
      </c>
      <c r="N175">
        <f>'Transpo perseq'!Z175*Pondération!$D$3</f>
        <v>1.0274120892951832E-6</v>
      </c>
      <c r="O175">
        <f>'Transpo perseq'!AA175*Pondération!$D$6</f>
        <v>1.7532345683720948E-3</v>
      </c>
      <c r="P175">
        <f>'Transpo perseq'!AB175*Pondération!$D$8</f>
        <v>8.0672481134472273E-5</v>
      </c>
      <c r="Q175">
        <f>'Transpo perseq'!AC175*Pondération!$D$10</f>
        <v>1.4229553290498058E-4</v>
      </c>
      <c r="R175">
        <f>'Transpo perseq'!AD175*Pondération!$D$9</f>
        <v>2.9514258836692869E-5</v>
      </c>
      <c r="S175">
        <f>'Transpo perseq'!AE175*Pondération!$D$11</f>
        <v>6.456458150826158E-3</v>
      </c>
      <c r="T175">
        <f t="shared" si="2"/>
        <v>1.5462091200614425E-2</v>
      </c>
    </row>
    <row r="176" spans="1:20" x14ac:dyDescent="0.3">
      <c r="A176" t="s">
        <v>1</v>
      </c>
      <c r="B176" t="s">
        <v>38</v>
      </c>
      <c r="C176" t="s">
        <v>57</v>
      </c>
      <c r="D176">
        <f>'Transpo perseq'!D176*Pondération!$D$17</f>
        <v>3.6907332645744735E-6</v>
      </c>
      <c r="E176">
        <f>'Transpo perseq'!E176*Pondération!$D$2</f>
        <v>1.4394829538063613E-5</v>
      </c>
      <c r="F176">
        <f>'Transpo perseq'!I176*Pondération!$D$12</f>
        <v>2.4561710286793605E-6</v>
      </c>
      <c r="G176">
        <f>'Transpo perseq'!M176*Pondération!$D$15</f>
        <v>2.8598210941037474E-8</v>
      </c>
      <c r="H176">
        <f>'Transpo perseq'!N176*Pondération!$D$14</f>
        <v>2.447976215203976E-6</v>
      </c>
      <c r="I176">
        <f>'Transpo perseq'!O176*Pondération!$D$16</f>
        <v>3.7547347583673623E-6</v>
      </c>
      <c r="J176">
        <f>'Transpo perseq'!P176*Pondération!$D$4</f>
        <v>1.3924082745021609E-7</v>
      </c>
      <c r="K176">
        <f>'Transpo perseq'!T176*Pondération!$D$5</f>
        <v>4.9104714257853277E-7</v>
      </c>
      <c r="L176">
        <f>'Transpo perseq'!X176*Pondération!$D$7</f>
        <v>2.3257072835793135E-8</v>
      </c>
      <c r="M176">
        <f>'Transpo perseq'!Y176*Pondération!$D$13</f>
        <v>2.450343236457213E-7</v>
      </c>
      <c r="N176">
        <f>'Transpo perseq'!Z176*Pondération!$D$3</f>
        <v>1.2827901408207459E-16</v>
      </c>
      <c r="O176">
        <f>'Transpo perseq'!AA176*Pondération!$D$6</f>
        <v>1.848057931274068E-6</v>
      </c>
      <c r="P176">
        <f>'Transpo perseq'!AB176*Pondération!$D$8</f>
        <v>3.6721365683239774E-6</v>
      </c>
      <c r="Q176">
        <f>'Transpo perseq'!AC176*Pondération!$D$10</f>
        <v>9.4177141799348681E-6</v>
      </c>
      <c r="R176">
        <f>'Transpo perseq'!AD176*Pondération!$D$9</f>
        <v>5.8336948479541395E-8</v>
      </c>
      <c r="S176">
        <f>'Transpo perseq'!AE176*Pondération!$D$11</f>
        <v>3.8038218238347669E-8</v>
      </c>
      <c r="T176">
        <f t="shared" si="2"/>
        <v>4.270590622871916E-5</v>
      </c>
    </row>
    <row r="177" spans="1:20" x14ac:dyDescent="0.3">
      <c r="A177" t="s">
        <v>1</v>
      </c>
      <c r="B177" t="s">
        <v>39</v>
      </c>
      <c r="C177" t="s">
        <v>72</v>
      </c>
      <c r="D177">
        <f>'Transpo perseq'!D177*Pondération!$D$17</f>
        <v>9.1660799999999996E-4</v>
      </c>
      <c r="E177">
        <f>'Transpo perseq'!E177*Pondération!$D$2</f>
        <v>5.5261440000000002E-3</v>
      </c>
      <c r="F177">
        <f>'Transpo perseq'!I177*Pondération!$D$12</f>
        <v>6.4204799999999988E-4</v>
      </c>
      <c r="G177">
        <f>'Transpo perseq'!M177*Pondération!$D$15</f>
        <v>2.4371200000000001E-6</v>
      </c>
      <c r="H177">
        <f>'Transpo perseq'!N177*Pondération!$D$14</f>
        <v>1.970176E-4</v>
      </c>
      <c r="I177">
        <f>'Transpo perseq'!O177*Pondération!$D$16</f>
        <v>2.926448E-4</v>
      </c>
      <c r="J177">
        <f>'Transpo perseq'!P177*Pondération!$D$4</f>
        <v>1.1928E-4</v>
      </c>
      <c r="K177">
        <f>'Transpo perseq'!T177*Pondération!$D$5</f>
        <v>2.3388781777829542E-4</v>
      </c>
      <c r="L177">
        <f>'Transpo perseq'!X177*Pondération!$D$7</f>
        <v>2.9877915962940582E-4</v>
      </c>
      <c r="M177">
        <f>'Transpo perseq'!Y177*Pondération!$D$13</f>
        <v>2.009525726695215E-5</v>
      </c>
      <c r="N177">
        <f>'Transpo perseq'!Z177*Pondération!$D$3</f>
        <v>6.3287594224089152E-12</v>
      </c>
      <c r="O177">
        <f>'Transpo perseq'!AA177*Pondération!$D$6</f>
        <v>1.3706140437817196E-3</v>
      </c>
      <c r="P177">
        <f>'Transpo perseq'!AB177*Pondération!$D$8</f>
        <v>5.6608557699553298E-4</v>
      </c>
      <c r="Q177">
        <f>'Transpo perseq'!AC177*Pondération!$D$10</f>
        <v>3.9972719698352756E-3</v>
      </c>
      <c r="R177">
        <f>'Transpo perseq'!AD177*Pondération!$D$9</f>
        <v>3.1231424168210207E-4</v>
      </c>
      <c r="S177">
        <f>'Transpo perseq'!AE177*Pondération!$D$11</f>
        <v>2.2152680045747859E-4</v>
      </c>
      <c r="T177">
        <f t="shared" si="2"/>
        <v>1.471675439375552E-2</v>
      </c>
    </row>
    <row r="178" spans="1:20" x14ac:dyDescent="0.3">
      <c r="A178" t="s">
        <v>1</v>
      </c>
      <c r="B178" t="s">
        <v>39</v>
      </c>
      <c r="C178" t="s">
        <v>58</v>
      </c>
      <c r="D178">
        <f>'Transpo perseq'!D178*Pondération!$D$17</f>
        <v>3.7894399999999999E-6</v>
      </c>
      <c r="E178">
        <f>'Transpo perseq'!E178*Pondération!$D$2</f>
        <v>3.3426432000000003E-5</v>
      </c>
      <c r="F178">
        <f>'Transpo perseq'!I178*Pondération!$D$12</f>
        <v>9.8303999999999978E-7</v>
      </c>
      <c r="G178">
        <f>'Transpo perseq'!M178*Pondération!$D$15</f>
        <v>9.2288000000000002E-9</v>
      </c>
      <c r="H178">
        <f>'Transpo perseq'!N178*Pondération!$D$14</f>
        <v>1.1792639999999999E-6</v>
      </c>
      <c r="I178">
        <f>'Transpo perseq'!O178*Pondération!$D$16</f>
        <v>1.7214400000000002E-6</v>
      </c>
      <c r="J178">
        <f>'Transpo perseq'!P178*Pondération!$D$4</f>
        <v>1.3972799999999999E-7</v>
      </c>
      <c r="K178">
        <f>'Transpo perseq'!T178*Pondération!$D$5</f>
        <v>1.1014635956543748E-6</v>
      </c>
      <c r="L178">
        <f>'Transpo perseq'!X178*Pondération!$D$7</f>
        <v>5.0577869580985212E-7</v>
      </c>
      <c r="M178">
        <f>'Transpo perseq'!Y178*Pondération!$D$13</f>
        <v>6.7029315023319388E-8</v>
      </c>
      <c r="N178">
        <f>'Transpo perseq'!Z178*Pondération!$D$3</f>
        <v>1.2694927323301134E-15</v>
      </c>
      <c r="O178">
        <f>'Transpo perseq'!AA178*Pondération!$D$6</f>
        <v>6.2460449780154239E-6</v>
      </c>
      <c r="P178">
        <f>'Transpo perseq'!AB178*Pondération!$D$8</f>
        <v>3.0653525713144003E-6</v>
      </c>
      <c r="Q178">
        <f>'Transpo perseq'!AC178*Pondération!$D$10</f>
        <v>1.8046060781617623E-5</v>
      </c>
      <c r="R178">
        <f>'Transpo perseq'!AD178*Pondération!$D$9</f>
        <v>5.1599357815052264E-7</v>
      </c>
      <c r="S178">
        <f>'Transpo perseq'!AE178*Pondération!$D$11</f>
        <v>3.2256609932913325E-6</v>
      </c>
      <c r="T178">
        <f t="shared" si="2"/>
        <v>7.4021957310146331E-5</v>
      </c>
    </row>
    <row r="179" spans="1:20" x14ac:dyDescent="0.3">
      <c r="A179" t="s">
        <v>1</v>
      </c>
      <c r="B179" t="s">
        <v>39</v>
      </c>
      <c r="C179" t="s">
        <v>56</v>
      </c>
      <c r="D179">
        <f>'Transpo perseq'!D179*Pondération!$D$17</f>
        <v>4.2060799999999999E-10</v>
      </c>
      <c r="E179">
        <f>'Transpo perseq'!E179*Pondération!$D$2</f>
        <v>1.6072992000000002E-9</v>
      </c>
      <c r="F179">
        <f>'Transpo perseq'!I179*Pondération!$D$12</f>
        <v>1.2257279999999998E-10</v>
      </c>
      <c r="G179">
        <f>'Transpo perseq'!M179*Pondération!$D$15</f>
        <v>9.632000000000001E-11</v>
      </c>
      <c r="H179">
        <f>'Transpo perseq'!N179*Pondération!$D$14</f>
        <v>2.074368E-10</v>
      </c>
      <c r="I179">
        <f>'Transpo perseq'!O179*Pondération!$D$16</f>
        <v>2.8908319999999998E-10</v>
      </c>
      <c r="J179">
        <f>'Transpo perseq'!P179*Pondération!$D$4</f>
        <v>3.2103359999999999E-11</v>
      </c>
      <c r="K179">
        <f>'Transpo perseq'!T179*Pondération!$D$5</f>
        <v>1.4587517661909263E-10</v>
      </c>
      <c r="L179">
        <f>'Transpo perseq'!X179*Pondération!$D$7</f>
        <v>-5.9411299369749807E-10</v>
      </c>
      <c r="M179">
        <f>'Transpo perseq'!Y179*Pondération!$D$13</f>
        <v>7.7043707305872082E-9</v>
      </c>
      <c r="N179">
        <f>'Transpo perseq'!Z179*Pondération!$D$3</f>
        <v>1.1882296636162024E-12</v>
      </c>
      <c r="O179">
        <f>'Transpo perseq'!AA179*Pondération!$D$6</f>
        <v>7.1930839024012881E-10</v>
      </c>
      <c r="P179">
        <f>'Transpo perseq'!AB179*Pondération!$D$8</f>
        <v>4.5654264089688571E-10</v>
      </c>
      <c r="Q179">
        <f>'Transpo perseq'!AC179*Pondération!$D$10</f>
        <v>-3.1484253799032718E-10</v>
      </c>
      <c r="R179">
        <f>'Transpo perseq'!AD179*Pondération!$D$9</f>
        <v>1.7559202370080932E-11</v>
      </c>
      <c r="S179">
        <f>'Transpo perseq'!AE179*Pondération!$D$11</f>
        <v>1.4863542194658521E-8</v>
      </c>
      <c r="T179">
        <f t="shared" si="2"/>
        <v>2.5774854393347708E-8</v>
      </c>
    </row>
    <row r="180" spans="1:20" x14ac:dyDescent="0.3">
      <c r="A180" t="s">
        <v>1</v>
      </c>
      <c r="B180" t="s">
        <v>39</v>
      </c>
      <c r="C180" t="s">
        <v>57</v>
      </c>
      <c r="D180">
        <f>'Transpo perseq'!D180*Pondération!$D$17</f>
        <v>5.8726399999999997E-6</v>
      </c>
      <c r="E180">
        <f>'Transpo perseq'!E180*Pondération!$D$2</f>
        <v>2.2879584000000003E-5</v>
      </c>
      <c r="F180">
        <f>'Transpo perseq'!I180*Pondération!$D$12</f>
        <v>3.9014399999999999E-6</v>
      </c>
      <c r="G180">
        <f>'Transpo perseq'!M180*Pondération!$D$15</f>
        <v>4.5696000000000001E-8</v>
      </c>
      <c r="H180">
        <f>'Transpo perseq'!N180*Pondération!$D$14</f>
        <v>3.8929919999999996E-6</v>
      </c>
      <c r="I180">
        <f>'Transpo perseq'!O180*Pondération!$D$16</f>
        <v>5.99536E-6</v>
      </c>
      <c r="J180">
        <f>'Transpo perseq'!P180*Pondération!$D$4</f>
        <v>2.2152000000000001E-7</v>
      </c>
      <c r="K180">
        <f>'Transpo perseq'!T180*Pondération!$D$5</f>
        <v>7.810245905520522E-7</v>
      </c>
      <c r="L180">
        <f>'Transpo perseq'!X180*Pondération!$D$7</f>
        <v>3.699104263927085E-8</v>
      </c>
      <c r="M180">
        <f>'Transpo perseq'!Y180*Pondération!$D$13</f>
        <v>3.8973413284039506E-7</v>
      </c>
      <c r="N180">
        <f>'Transpo perseq'!Z180*Pondération!$D$3</f>
        <v>2.0403145800578659E-16</v>
      </c>
      <c r="O180">
        <f>'Transpo perseq'!AA180*Pondération!$D$6</f>
        <v>2.9393892437913149E-6</v>
      </c>
      <c r="P180">
        <f>'Transpo perseq'!AB180*Pondération!$D$8</f>
        <v>5.8406387310720787E-6</v>
      </c>
      <c r="Q180">
        <f>'Transpo perseq'!AC180*Pondération!$D$10</f>
        <v>1.4979145021994515E-5</v>
      </c>
      <c r="R180">
        <f>'Transpo perseq'!AD180*Pondération!$D$9</f>
        <v>9.2786592873826133E-8</v>
      </c>
      <c r="S180">
        <f>'Transpo perseq'!AE180*Pondération!$D$11</f>
        <v>6.0500879139484692E-8</v>
      </c>
      <c r="T180">
        <f t="shared" si="2"/>
        <v>6.792944223510698E-5</v>
      </c>
    </row>
    <row r="181" spans="1:20" x14ac:dyDescent="0.3">
      <c r="A181" t="s">
        <v>1</v>
      </c>
      <c r="B181" t="s">
        <v>39</v>
      </c>
      <c r="C181" t="s">
        <v>81</v>
      </c>
      <c r="D181">
        <f>'Transpo perseq'!D181*Pondération!$D$17</f>
        <v>1.6070399999999999E-6</v>
      </c>
      <c r="E181">
        <f>'Transpo perseq'!E181*Pondération!$D$2</f>
        <v>1.9004544000000001E-5</v>
      </c>
      <c r="F181">
        <f>'Transpo perseq'!I181*Pondération!$D$12</f>
        <v>4.2393599999999993E-6</v>
      </c>
      <c r="G181">
        <f>'Transpo perseq'!M181*Pondération!$D$15</f>
        <v>3.5078400000000007E-8</v>
      </c>
      <c r="H181">
        <f>'Transpo perseq'!N181*Pondération!$D$14</f>
        <v>7.1987200000000006E-7</v>
      </c>
      <c r="I181">
        <f>'Transpo perseq'!O181*Pondération!$D$16</f>
        <v>1.0150560000000001E-6</v>
      </c>
      <c r="J181">
        <f>'Transpo perseq'!P181*Pondération!$D$4</f>
        <v>2.4810239999999998E-7</v>
      </c>
      <c r="K181">
        <f>'Transpo perseq'!T181*Pondération!$D$5</f>
        <v>8.3231224708096578E-7</v>
      </c>
      <c r="L181">
        <f>'Transpo perseq'!X181*Pondération!$D$7</f>
        <v>3.9697876780615469E-7</v>
      </c>
      <c r="M181">
        <f>'Transpo perseq'!Y181*Pondération!$D$13</f>
        <v>5.0094749691232601E-8</v>
      </c>
      <c r="N181">
        <f>'Transpo perseq'!Z181*Pondération!$D$3</f>
        <v>1.257185239396941E-9</v>
      </c>
      <c r="O181">
        <f>'Transpo perseq'!AA181*Pondération!$D$6</f>
        <v>1.8277711477111582E-6</v>
      </c>
      <c r="P181">
        <f>'Transpo perseq'!AB181*Pondération!$D$8</f>
        <v>1.8681635631159959E-6</v>
      </c>
      <c r="Q181">
        <f>'Transpo perseq'!AC181*Pondération!$D$10</f>
        <v>1.7984728302027999E-5</v>
      </c>
      <c r="R181">
        <f>'Transpo perseq'!AD181*Pondération!$D$9</f>
        <v>1.5347749944655662E-6</v>
      </c>
      <c r="S181">
        <f>'Transpo perseq'!AE181*Pondération!$D$11</f>
        <v>9.4211001540413261E-7</v>
      </c>
      <c r="T181">
        <f t="shared" si="2"/>
        <v>5.230724377254259E-5</v>
      </c>
    </row>
    <row r="182" spans="1:20" x14ac:dyDescent="0.3">
      <c r="A182" t="s">
        <v>1</v>
      </c>
      <c r="B182" t="s">
        <v>40</v>
      </c>
      <c r="C182" t="s">
        <v>72</v>
      </c>
      <c r="D182">
        <f>'Transpo perseq'!D182*Pondération!$D$17</f>
        <v>8.6998399999999997E-5</v>
      </c>
      <c r="E182">
        <f>'Transpo perseq'!E182*Pondération!$D$2</f>
        <v>4.4815680000000007E-4</v>
      </c>
      <c r="F182">
        <f>'Transpo perseq'!I182*Pondération!$D$12</f>
        <v>3.0719999999999997E-5</v>
      </c>
      <c r="G182">
        <f>'Transpo perseq'!M182*Pondération!$D$15</f>
        <v>1.4470400000000002E-7</v>
      </c>
      <c r="H182">
        <f>'Transpo perseq'!N182*Pondération!$D$14</f>
        <v>1.6860159999999999E-5</v>
      </c>
      <c r="I182">
        <f>'Transpo perseq'!O182*Pondération!$D$16</f>
        <v>2.5524800000000003E-5</v>
      </c>
      <c r="J182">
        <f>'Transpo perseq'!P182*Pondération!$D$4</f>
        <v>1.0496640000000002E-5</v>
      </c>
      <c r="K182">
        <f>'Transpo perseq'!T182*Pondération!$D$5</f>
        <v>1.456053253011983E-5</v>
      </c>
      <c r="L182">
        <f>'Transpo perseq'!X182*Pondération!$D$7</f>
        <v>2.6292229922118872E-5</v>
      </c>
      <c r="M182">
        <f>'Transpo perseq'!Y182*Pondération!$D$13</f>
        <v>1.9569954229385246E-6</v>
      </c>
      <c r="N182">
        <f>'Transpo perseq'!Z182*Pondération!$D$3</f>
        <v>6.2481119924346682E-13</v>
      </c>
      <c r="O182">
        <f>'Transpo perseq'!AA182*Pondération!$D$6</f>
        <v>1.3305514431687345E-4</v>
      </c>
      <c r="P182">
        <f>'Transpo perseq'!AB182*Pondération!$D$8</f>
        <v>4.0417403126622337E-5</v>
      </c>
      <c r="Q182">
        <f>'Transpo perseq'!AC182*Pondération!$D$10</f>
        <v>2.6903696145954599E-4</v>
      </c>
      <c r="R182">
        <f>'Transpo perseq'!AD182*Pondération!$D$9</f>
        <v>3.1334920109210592E-5</v>
      </c>
      <c r="S182">
        <f>'Transpo perseq'!AE182*Pondération!$D$11</f>
        <v>1.8870062799726618E-5</v>
      </c>
      <c r="T182">
        <f t="shared" si="2"/>
        <v>1.1544257543119676E-3</v>
      </c>
    </row>
    <row r="183" spans="1:20" x14ac:dyDescent="0.3">
      <c r="A183" t="s">
        <v>1</v>
      </c>
      <c r="B183" t="s">
        <v>40</v>
      </c>
      <c r="C183" t="s">
        <v>73</v>
      </c>
      <c r="D183">
        <f>'Transpo perseq'!D183*Pondération!$D$17</f>
        <v>8.12448E-7</v>
      </c>
      <c r="E183">
        <f>'Transpo perseq'!E183*Pondération!$D$2</f>
        <v>3.7739520000000006E-6</v>
      </c>
      <c r="F183">
        <f>'Transpo perseq'!I183*Pondération!$D$12</f>
        <v>2.8784639999999999E-7</v>
      </c>
      <c r="G183">
        <f>'Transpo perseq'!M183*Pondération!$D$15</f>
        <v>1.3171200000000001E-9</v>
      </c>
      <c r="H183">
        <f>'Transpo perseq'!N183*Pondération!$D$14</f>
        <v>1.4681600000000001E-7</v>
      </c>
      <c r="I183">
        <f>'Transpo perseq'!O183*Pondération!$D$16</f>
        <v>2.2141280000000001E-7</v>
      </c>
      <c r="J183">
        <f>'Transpo perseq'!P183*Pondération!$D$4</f>
        <v>9.6446399999999997E-8</v>
      </c>
      <c r="K183">
        <f>'Transpo perseq'!T183*Pondération!$D$5</f>
        <v>1.4546841160291456E-7</v>
      </c>
      <c r="L183">
        <f>'Transpo perseq'!X183*Pondération!$D$7</f>
        <v>2.4296536394643149E-7</v>
      </c>
      <c r="M183">
        <f>'Transpo perseq'!Y183*Pondération!$D$13</f>
        <v>2.2563009275204672E-8</v>
      </c>
      <c r="N183">
        <f>'Transpo perseq'!Z183*Pondération!$D$3</f>
        <v>3.9998345019925405E-15</v>
      </c>
      <c r="O183">
        <f>'Transpo perseq'!AA183*Pondération!$D$6</f>
        <v>1.1608811355484443E-6</v>
      </c>
      <c r="P183">
        <f>'Transpo perseq'!AB183*Pondération!$D$8</f>
        <v>3.5450636725382054E-7</v>
      </c>
      <c r="Q183">
        <f>'Transpo perseq'!AC183*Pondération!$D$10</f>
        <v>2.352438552163295E-6</v>
      </c>
      <c r="R183">
        <f>'Transpo perseq'!AD183*Pondération!$D$9</f>
        <v>3.1839045616238936E-6</v>
      </c>
      <c r="S183">
        <f>'Transpo perseq'!AE183*Pondération!$D$11</f>
        <v>1.7122466883490006E-7</v>
      </c>
      <c r="T183">
        <f t="shared" si="2"/>
        <v>1.2974190794248739E-5</v>
      </c>
    </row>
    <row r="184" spans="1:20" x14ac:dyDescent="0.3">
      <c r="A184" t="s">
        <v>1</v>
      </c>
      <c r="B184" t="s">
        <v>40</v>
      </c>
      <c r="C184" t="s">
        <v>84</v>
      </c>
      <c r="D184">
        <f>'Transpo perseq'!D184*Pondération!$D$17</f>
        <v>1.5872E-5</v>
      </c>
      <c r="E184">
        <f>'Transpo perseq'!E184*Pondération!$D$2</f>
        <v>5.1554880000000002E-5</v>
      </c>
      <c r="F184">
        <f>'Transpo perseq'!I184*Pondération!$D$12</f>
        <v>4.2393599999999993E-6</v>
      </c>
      <c r="G184">
        <f>'Transpo perseq'!M184*Pondération!$D$15</f>
        <v>3.8348800000000005E-7</v>
      </c>
      <c r="H184">
        <f>'Transpo perseq'!N184*Pondération!$D$14</f>
        <v>2.7895040000000003E-6</v>
      </c>
      <c r="I184">
        <f>'Transpo perseq'!O184*Pondération!$D$16</f>
        <v>4.1670719999999995E-6</v>
      </c>
      <c r="J184">
        <f>'Transpo perseq'!P184*Pondération!$D$4</f>
        <v>7.6339199999999989E-4</v>
      </c>
      <c r="K184">
        <f>'Transpo perseq'!T184*Pondération!$D$5</f>
        <v>3.2246000728692107E-6</v>
      </c>
      <c r="L184">
        <f>'Transpo perseq'!X184*Pondération!$D$7</f>
        <v>0</v>
      </c>
      <c r="M184">
        <f>'Transpo perseq'!Y184*Pondération!$D$13</f>
        <v>0</v>
      </c>
      <c r="N184">
        <f>'Transpo perseq'!Z184*Pondération!$D$3</f>
        <v>0</v>
      </c>
      <c r="O184">
        <f>'Transpo perseq'!AA184*Pondération!$D$6</f>
        <v>2.0452630276071958E-5</v>
      </c>
      <c r="P184">
        <f>'Transpo perseq'!AB184*Pondération!$D$8</f>
        <v>6.644515061454168E-6</v>
      </c>
      <c r="Q184">
        <f>'Transpo perseq'!AC184*Pondération!$D$10</f>
        <v>6.6515841241978146E-5</v>
      </c>
      <c r="R184">
        <f>'Transpo perseq'!AD184*Pondération!$D$9</f>
        <v>2.4907705624854871E-7</v>
      </c>
      <c r="S184">
        <f>'Transpo perseq'!AE184*Pondération!$D$11</f>
        <v>1.8911743259459915E-5</v>
      </c>
      <c r="T184">
        <f t="shared" si="2"/>
        <v>9.5839671096808186E-4</v>
      </c>
    </row>
    <row r="185" spans="1:20" x14ac:dyDescent="0.3">
      <c r="A185" t="s">
        <v>1</v>
      </c>
      <c r="B185" t="s">
        <v>40</v>
      </c>
      <c r="C185" t="s">
        <v>79</v>
      </c>
      <c r="D185">
        <f>'Transpo perseq'!D185*Pondération!$D$17</f>
        <v>6.3984000000000004E-6</v>
      </c>
      <c r="E185">
        <f>'Transpo perseq'!E185*Pondération!$D$2</f>
        <v>5.9641920000000004E-5</v>
      </c>
      <c r="F185">
        <f>'Transpo perseq'!I185*Pondération!$D$12</f>
        <v>2.4238079999999996E-5</v>
      </c>
      <c r="G185">
        <f>'Transpo perseq'!M185*Pondération!$D$15</f>
        <v>2.67008E-7</v>
      </c>
      <c r="H185">
        <f>'Transpo perseq'!N185*Pondération!$D$14</f>
        <v>2.3016960000000002E-6</v>
      </c>
      <c r="I185">
        <f>'Transpo perseq'!O185*Pondération!$D$16</f>
        <v>3.223248E-6</v>
      </c>
      <c r="J185">
        <f>'Transpo perseq'!P185*Pondération!$D$4</f>
        <v>1.121232E-6</v>
      </c>
      <c r="K185">
        <f>'Transpo perseq'!T185*Pondération!$D$5</f>
        <v>4.8706007064602424E-6</v>
      </c>
      <c r="L185">
        <f>'Transpo perseq'!X185*Pondération!$D$7</f>
        <v>1.1740148577057126E-6</v>
      </c>
      <c r="M185">
        <f>'Transpo perseq'!Y185*Pondération!$D$13</f>
        <v>1.931948368244624E-7</v>
      </c>
      <c r="N185">
        <f>'Transpo perseq'!Z185*Pondération!$D$3</f>
        <v>1.4008616643723778E-8</v>
      </c>
      <c r="O185">
        <f>'Transpo perseq'!AA185*Pondération!$D$6</f>
        <v>1.1426229561537953E-5</v>
      </c>
      <c r="P185">
        <f>'Transpo perseq'!AB185*Pondération!$D$8</f>
        <v>5.6651403547507802E-6</v>
      </c>
      <c r="Q185">
        <f>'Transpo perseq'!AC185*Pondération!$D$10</f>
        <v>6.5859823192177124E-5</v>
      </c>
      <c r="R185">
        <f>'Transpo perseq'!AD185*Pondération!$D$9</f>
        <v>1.6589819896668096E-5</v>
      </c>
      <c r="S185">
        <f>'Transpo perseq'!AE185*Pondération!$D$11</f>
        <v>5.0618860889677996E-6</v>
      </c>
      <c r="T185">
        <f t="shared" si="2"/>
        <v>2.0804630211173589E-4</v>
      </c>
    </row>
    <row r="186" spans="1:20" x14ac:dyDescent="0.3">
      <c r="A186" t="s">
        <v>1</v>
      </c>
      <c r="B186" t="s">
        <v>40</v>
      </c>
      <c r="C186" t="s">
        <v>56</v>
      </c>
      <c r="D186">
        <f>'Transpo perseq'!D186*Pondération!$D$17</f>
        <v>2.9958399999999999E-7</v>
      </c>
      <c r="E186">
        <f>'Transpo perseq'!E186*Pondération!$D$2</f>
        <v>1.09512E-6</v>
      </c>
      <c r="F186">
        <f>'Transpo perseq'!I186*Pondération!$D$12</f>
        <v>8.6015999999999994E-8</v>
      </c>
      <c r="G186">
        <f>'Transpo perseq'!M186*Pondération!$D$15</f>
        <v>1.1558400000000001E-7</v>
      </c>
      <c r="H186">
        <f>'Transpo perseq'!N186*Pondération!$D$14</f>
        <v>1.368704E-7</v>
      </c>
      <c r="I186">
        <f>'Transpo perseq'!O186*Pondération!$D$16</f>
        <v>1.8876480000000003E-7</v>
      </c>
      <c r="J186">
        <f>'Transpo perseq'!P186*Pondération!$D$4</f>
        <v>2.1538559999999997E-8</v>
      </c>
      <c r="K186">
        <f>'Transpo perseq'!T186*Pondération!$D$5</f>
        <v>8.9485959211975774E-8</v>
      </c>
      <c r="L186">
        <f>'Transpo perseq'!X186*Pondération!$D$7</f>
        <v>-3.2428675227602434E-7</v>
      </c>
      <c r="M186">
        <f>'Transpo perseq'!Y186*Pondération!$D$13</f>
        <v>4.6052875415578908E-6</v>
      </c>
      <c r="N186">
        <f>'Transpo perseq'!Z186*Pondération!$D$3</f>
        <v>1.6232648014021451E-9</v>
      </c>
      <c r="O186">
        <f>'Transpo perseq'!AA186*Pondération!$D$6</f>
        <v>5.6512497739814929E-7</v>
      </c>
      <c r="P186">
        <f>'Transpo perseq'!AB186*Pondération!$D$8</f>
        <v>2.9822366156471933E-7</v>
      </c>
      <c r="Q186">
        <f>'Transpo perseq'!AC186*Pondération!$D$10</f>
        <v>-9.8466867491556881E-8</v>
      </c>
      <c r="R186">
        <f>'Transpo perseq'!AD186*Pondération!$D$9</f>
        <v>1.9203976132049363E-8</v>
      </c>
      <c r="S186">
        <f>'Transpo perseq'!AE186*Pondération!$D$11</f>
        <v>2.0144375904728435E-5</v>
      </c>
      <c r="T186">
        <f t="shared" si="2"/>
        <v>2.7244049425627042E-5</v>
      </c>
    </row>
    <row r="187" spans="1:20" x14ac:dyDescent="0.3">
      <c r="A187" t="s">
        <v>1</v>
      </c>
      <c r="B187" t="s">
        <v>40</v>
      </c>
      <c r="C187" t="s">
        <v>57</v>
      </c>
      <c r="D187">
        <f>'Transpo perseq'!D187*Pondération!$D$17</f>
        <v>2.7116920423857915E-4</v>
      </c>
      <c r="E187">
        <f>'Transpo perseq'!E187*Pondération!$D$2</f>
        <v>1.5681706020110532E-3</v>
      </c>
      <c r="F187">
        <f>'Transpo perseq'!I187*Pondération!$D$12</f>
        <v>2.6676259251785133E-4</v>
      </c>
      <c r="G187">
        <f>'Transpo perseq'!M187*Pondération!$D$15</f>
        <v>2.1566451320005314E-7</v>
      </c>
      <c r="H187">
        <f>'Transpo perseq'!N187*Pondération!$D$14</f>
        <v>1.6660890165423584E-4</v>
      </c>
      <c r="I187">
        <f>'Transpo perseq'!O187*Pondération!$D$16</f>
        <v>2.5296722245504938E-4</v>
      </c>
      <c r="J187">
        <f>'Transpo perseq'!P187*Pondération!$D$4</f>
        <v>1.3875879844484032E-5</v>
      </c>
      <c r="K187">
        <f>'Transpo perseq'!T187*Pondération!$D$5</f>
        <v>4.0145755156304373E-5</v>
      </c>
      <c r="L187">
        <f>'Transpo perseq'!X187*Pondération!$D$7</f>
        <v>1.0973719037569592E-6</v>
      </c>
      <c r="M187">
        <f>'Transpo perseq'!Y187*Pondération!$D$13</f>
        <v>5.7224453277277587E-7</v>
      </c>
      <c r="N187">
        <f>'Transpo perseq'!Z187*Pondération!$D$3</f>
        <v>5.7362275671933546E-15</v>
      </c>
      <c r="O187">
        <f>'Transpo perseq'!AA187*Pondération!$D$6</f>
        <v>1.1710647224268726E-4</v>
      </c>
      <c r="P187">
        <f>'Transpo perseq'!AB187*Pondération!$D$8</f>
        <v>3.6604630375056287E-4</v>
      </c>
      <c r="Q187">
        <f>'Transpo perseq'!AC187*Pondération!$D$10</f>
        <v>1.0434610879690436E-3</v>
      </c>
      <c r="R187">
        <f>'Transpo perseq'!AD187*Pondération!$D$9</f>
        <v>2.424841495422868E-6</v>
      </c>
      <c r="S187">
        <f>'Transpo perseq'!AE187*Pondération!$D$11</f>
        <v>6.3899250765864294E-7</v>
      </c>
      <c r="T187">
        <f t="shared" si="2"/>
        <v>4.1112631367983994E-3</v>
      </c>
    </row>
    <row r="188" spans="1:20" x14ac:dyDescent="0.3">
      <c r="A188" t="s">
        <v>1</v>
      </c>
      <c r="B188" t="s">
        <v>41</v>
      </c>
      <c r="C188" t="s">
        <v>72</v>
      </c>
      <c r="D188">
        <f>'Transpo perseq'!D188*Pondération!$D$17</f>
        <v>1.4086400000000001E-4</v>
      </c>
      <c r="E188">
        <f>'Transpo perseq'!E188*Pondération!$D$2</f>
        <v>7.2446399999999997E-4</v>
      </c>
      <c r="F188">
        <f>'Transpo perseq'!I188*Pondération!$D$12</f>
        <v>4.9766399999999998E-5</v>
      </c>
      <c r="G188">
        <f>'Transpo perseq'!M188*Pondération!$D$15</f>
        <v>2.3475199999999998E-7</v>
      </c>
      <c r="H188">
        <f>'Transpo perseq'!N188*Pondération!$D$14</f>
        <v>2.7326720000000002E-5</v>
      </c>
      <c r="I188">
        <f>'Transpo perseq'!O188*Pondération!$D$16</f>
        <v>4.1255199999999998E-5</v>
      </c>
      <c r="J188">
        <f>'Transpo perseq'!P188*Pondération!$D$4</f>
        <v>1.6971839999999998E-5</v>
      </c>
      <c r="K188">
        <f>'Transpo perseq'!T188*Pondération!$D$5</f>
        <v>2.3573757676461467E-5</v>
      </c>
      <c r="L188">
        <f>'Transpo perseq'!X188*Pondération!$D$7</f>
        <v>4.2567709573055614E-5</v>
      </c>
      <c r="M188">
        <f>'Transpo perseq'!Y188*Pondération!$D$13</f>
        <v>3.1684701854523046E-6</v>
      </c>
      <c r="N188">
        <f>'Transpo perseq'!Z188*Pondération!$D$3</f>
        <v>1.0115987668332336E-12</v>
      </c>
      <c r="O188">
        <f>'Transpo perseq'!AA188*Pondération!$D$6</f>
        <v>2.1542584448330589E-4</v>
      </c>
      <c r="P188">
        <f>'Transpo perseq'!AB188*Pondération!$D$8</f>
        <v>6.5438490272448594E-5</v>
      </c>
      <c r="Q188">
        <f>'Transpo perseq'!AC188*Pondération!$D$10</f>
        <v>4.3558248053855774E-4</v>
      </c>
      <c r="R188">
        <f>'Transpo perseq'!AD188*Pondération!$D$9</f>
        <v>5.0732707386167256E-5</v>
      </c>
      <c r="S188">
        <f>'Transpo perseq'!AE188*Pondération!$D$11</f>
        <v>3.0551544499794651E-5</v>
      </c>
      <c r="T188">
        <f t="shared" si="2"/>
        <v>1.8679239176268422E-3</v>
      </c>
    </row>
    <row r="189" spans="1:20" x14ac:dyDescent="0.3">
      <c r="A189" t="s">
        <v>1</v>
      </c>
      <c r="B189" t="s">
        <v>41</v>
      </c>
      <c r="C189" t="s">
        <v>58</v>
      </c>
      <c r="D189">
        <f>'Transpo perseq'!D189*Pondération!$D$17</f>
        <v>2.8966399999999998E-6</v>
      </c>
      <c r="E189">
        <f>'Transpo perseq'!E189*Pondération!$D$2</f>
        <v>2.3755680000000002E-5</v>
      </c>
      <c r="F189">
        <f>'Transpo perseq'!I189*Pondération!$D$12</f>
        <v>7.1884799999999995E-7</v>
      </c>
      <c r="G189">
        <f>'Transpo perseq'!M189*Pondération!$D$15</f>
        <v>2.2579200000000001E-8</v>
      </c>
      <c r="H189">
        <f>'Transpo perseq'!N189*Pondération!$D$14</f>
        <v>7.5302400000000006E-7</v>
      </c>
      <c r="I189">
        <f>'Transpo perseq'!O189*Pondération!$D$16</f>
        <v>1.115968E-6</v>
      </c>
      <c r="J189">
        <f>'Transpo perseq'!P189*Pondération!$D$4</f>
        <v>2.8524959999999997E-7</v>
      </c>
      <c r="K189">
        <f>'Transpo perseq'!T189*Pondération!$D$5</f>
        <v>7.779146952356498E-7</v>
      </c>
      <c r="L189">
        <f>'Transpo perseq'!X189*Pondération!$D$7</f>
        <v>2.1503074560028411E-8</v>
      </c>
      <c r="M189">
        <f>'Transpo perseq'!Y189*Pondération!$D$13</f>
        <v>8.7190329008274881E-8</v>
      </c>
      <c r="N189">
        <f>'Transpo perseq'!Z189*Pondération!$D$3</f>
        <v>6.8118853953764606E-14</v>
      </c>
      <c r="O189">
        <f>'Transpo perseq'!AA189*Pondération!$D$6</f>
        <v>1.734129982817448E-5</v>
      </c>
      <c r="P189">
        <f>'Transpo perseq'!AB189*Pondération!$D$8</f>
        <v>2.0564104643391801E-6</v>
      </c>
      <c r="Q189">
        <f>'Transpo perseq'!AC189*Pondération!$D$10</f>
        <v>1.3557526096566467E-5</v>
      </c>
      <c r="R189">
        <f>'Transpo perseq'!AD189*Pondération!$D$9</f>
        <v>2.1987246284843794E-6</v>
      </c>
      <c r="S189">
        <f>'Transpo perseq'!AE189*Pondération!$D$11</f>
        <v>4.7822713807395886E-5</v>
      </c>
      <c r="T189">
        <f t="shared" si="2"/>
        <v>1.134112717918832E-4</v>
      </c>
    </row>
    <row r="190" spans="1:20" x14ac:dyDescent="0.3">
      <c r="A190" t="s">
        <v>1</v>
      </c>
      <c r="B190" t="s">
        <v>41</v>
      </c>
      <c r="C190" t="s">
        <v>84</v>
      </c>
      <c r="D190">
        <f>'Transpo perseq'!D190*Pondération!$D$17</f>
        <v>2.4502400000000001E-5</v>
      </c>
      <c r="E190">
        <f>'Transpo perseq'!E190*Pondération!$D$2</f>
        <v>7.952256E-5</v>
      </c>
      <c r="F190">
        <f>'Transpo perseq'!I190*Pondération!$D$12</f>
        <v>6.5126399999999995E-6</v>
      </c>
      <c r="G190">
        <f>'Transpo perseq'!M190*Pondération!$D$15</f>
        <v>5.9136000000000002E-7</v>
      </c>
      <c r="H190">
        <f>'Transpo perseq'!N190*Pondération!$D$14</f>
        <v>4.2955520000000004E-6</v>
      </c>
      <c r="I190">
        <f>'Transpo perseq'!O190*Pondération!$D$16</f>
        <v>6.4108800000000002E-6</v>
      </c>
      <c r="J190">
        <f>'Transpo perseq'!P190*Pondération!$D$4</f>
        <v>1.1757599999999999E-3</v>
      </c>
      <c r="K190">
        <f>'Transpo perseq'!T190*Pondération!$D$5</f>
        <v>4.9609231890295254E-6</v>
      </c>
      <c r="L190">
        <f>'Transpo perseq'!X190*Pondération!$D$7</f>
        <v>0</v>
      </c>
      <c r="M190">
        <f>'Transpo perseq'!Y190*Pondération!$D$13</f>
        <v>0</v>
      </c>
      <c r="N190">
        <f>'Transpo perseq'!Z190*Pondération!$D$3</f>
        <v>0</v>
      </c>
      <c r="O190">
        <f>'Transpo perseq'!AA190*Pondération!$D$6</f>
        <v>3.1465585040110735E-5</v>
      </c>
      <c r="P190">
        <f>'Transpo perseq'!AB190*Pondération!$D$8</f>
        <v>1.0222330863775655E-5</v>
      </c>
      <c r="Q190">
        <f>'Transpo perseq'!AC190*Pondération!$D$10</f>
        <v>1.0233206344919714E-4</v>
      </c>
      <c r="R190">
        <f>'Transpo perseq'!AD190*Pondération!$D$9</f>
        <v>3.8319547115161225E-7</v>
      </c>
      <c r="S190">
        <f>'Transpo perseq'!AE190*Pondération!$D$11</f>
        <v>2.909498962993833E-5</v>
      </c>
      <c r="T190">
        <f t="shared" si="2"/>
        <v>1.4760544796432031E-3</v>
      </c>
    </row>
    <row r="191" spans="1:20" x14ac:dyDescent="0.3">
      <c r="A191" t="s">
        <v>1</v>
      </c>
      <c r="B191" t="s">
        <v>41</v>
      </c>
      <c r="C191" t="s">
        <v>79</v>
      </c>
      <c r="D191">
        <f>'Transpo perseq'!D191*Pondération!$D$17</f>
        <v>6.3984000000000004E-6</v>
      </c>
      <c r="E191">
        <f>'Transpo perseq'!E191*Pondération!$D$2</f>
        <v>5.9641920000000004E-5</v>
      </c>
      <c r="F191">
        <f>'Transpo perseq'!I191*Pondération!$D$12</f>
        <v>2.4238079999999996E-5</v>
      </c>
      <c r="G191">
        <f>'Transpo perseq'!M191*Pondération!$D$15</f>
        <v>2.67008E-7</v>
      </c>
      <c r="H191">
        <f>'Transpo perseq'!N191*Pondération!$D$14</f>
        <v>2.3016960000000002E-6</v>
      </c>
      <c r="I191">
        <f>'Transpo perseq'!O191*Pondération!$D$16</f>
        <v>3.223248E-6</v>
      </c>
      <c r="J191">
        <f>'Transpo perseq'!P191*Pondération!$D$4</f>
        <v>1.121232E-6</v>
      </c>
      <c r="K191">
        <f>'Transpo perseq'!T191*Pondération!$D$5</f>
        <v>4.8706007064602424E-6</v>
      </c>
      <c r="L191">
        <f>'Transpo perseq'!X191*Pondération!$D$7</f>
        <v>1.1740148577057126E-6</v>
      </c>
      <c r="M191">
        <f>'Transpo perseq'!Y191*Pondération!$D$13</f>
        <v>1.931948368244624E-7</v>
      </c>
      <c r="N191">
        <f>'Transpo perseq'!Z191*Pondération!$D$3</f>
        <v>1.4008616643723778E-8</v>
      </c>
      <c r="O191">
        <f>'Transpo perseq'!AA191*Pondération!$D$6</f>
        <v>1.1426229561537953E-5</v>
      </c>
      <c r="P191">
        <f>'Transpo perseq'!AB191*Pondération!$D$8</f>
        <v>5.6651403547507802E-6</v>
      </c>
      <c r="Q191">
        <f>'Transpo perseq'!AC191*Pondération!$D$10</f>
        <v>6.5859823192177124E-5</v>
      </c>
      <c r="R191">
        <f>'Transpo perseq'!AD191*Pondération!$D$9</f>
        <v>1.6589819896668096E-5</v>
      </c>
      <c r="S191">
        <f>'Transpo perseq'!AE191*Pondération!$D$11</f>
        <v>5.0618860889677996E-6</v>
      </c>
      <c r="T191">
        <f t="shared" si="2"/>
        <v>2.0804630211173589E-4</v>
      </c>
    </row>
    <row r="192" spans="1:20" x14ac:dyDescent="0.3">
      <c r="A192" t="s">
        <v>1</v>
      </c>
      <c r="B192" t="s">
        <v>41</v>
      </c>
      <c r="C192" t="s">
        <v>56</v>
      </c>
      <c r="D192">
        <f>'Transpo perseq'!D192*Pondération!$D$17</f>
        <v>2.9958399999999999E-7</v>
      </c>
      <c r="E192">
        <f>'Transpo perseq'!E192*Pondération!$D$2</f>
        <v>1.09512E-6</v>
      </c>
      <c r="F192">
        <f>'Transpo perseq'!I192*Pondération!$D$12</f>
        <v>8.6015999999999994E-8</v>
      </c>
      <c r="G192">
        <f>'Transpo perseq'!M192*Pondération!$D$15</f>
        <v>1.1558400000000001E-7</v>
      </c>
      <c r="H192">
        <f>'Transpo perseq'!N192*Pondération!$D$14</f>
        <v>1.368704E-7</v>
      </c>
      <c r="I192">
        <f>'Transpo perseq'!O192*Pondération!$D$16</f>
        <v>1.8876480000000003E-7</v>
      </c>
      <c r="J192">
        <f>'Transpo perseq'!P192*Pondération!$D$4</f>
        <v>2.1538559999999997E-8</v>
      </c>
      <c r="K192">
        <f>'Transpo perseq'!T192*Pondération!$D$5</f>
        <v>8.9485959211975774E-8</v>
      </c>
      <c r="L192">
        <f>'Transpo perseq'!X192*Pondération!$D$7</f>
        <v>-3.2428675227602434E-7</v>
      </c>
      <c r="M192">
        <f>'Transpo perseq'!Y192*Pondération!$D$13</f>
        <v>4.6052875415578908E-6</v>
      </c>
      <c r="N192">
        <f>'Transpo perseq'!Z192*Pondération!$D$3</f>
        <v>1.6232648014021451E-9</v>
      </c>
      <c r="O192">
        <f>'Transpo perseq'!AA192*Pondération!$D$6</f>
        <v>5.6512497739814929E-7</v>
      </c>
      <c r="P192">
        <f>'Transpo perseq'!AB192*Pondération!$D$8</f>
        <v>2.9822366156471933E-7</v>
      </c>
      <c r="Q192">
        <f>'Transpo perseq'!AC192*Pondération!$D$10</f>
        <v>-9.8466867491556881E-8</v>
      </c>
      <c r="R192">
        <f>'Transpo perseq'!AD192*Pondération!$D$9</f>
        <v>1.9203976132049363E-8</v>
      </c>
      <c r="S192">
        <f>'Transpo perseq'!AE192*Pondération!$D$11</f>
        <v>2.0144375904728435E-5</v>
      </c>
      <c r="T192">
        <f t="shared" si="2"/>
        <v>2.7244049425627042E-5</v>
      </c>
    </row>
    <row r="193" spans="1:20" x14ac:dyDescent="0.3">
      <c r="A193" t="s">
        <v>1</v>
      </c>
      <c r="B193" t="s">
        <v>41</v>
      </c>
      <c r="C193" t="s">
        <v>57</v>
      </c>
      <c r="D193">
        <f>'Transpo perseq'!D193*Pondération!$D$17</f>
        <v>3.0752018153723309E-4</v>
      </c>
      <c r="E193">
        <f>'Transpo perseq'!E193*Pondération!$D$2</f>
        <v>1.7800002856425861E-3</v>
      </c>
      <c r="F193">
        <f>'Transpo perseq'!I193*Pondération!$D$12</f>
        <v>3.0279535749437489E-4</v>
      </c>
      <c r="G193">
        <f>'Transpo perseq'!M193*Pondération!$D$15</f>
        <v>2.386210910740169E-7</v>
      </c>
      <c r="H193">
        <f>'Transpo perseq'!N193*Pondération!$D$14</f>
        <v>1.8890144024539166E-4</v>
      </c>
      <c r="I193">
        <f>'Transpo perseq'!O193*Pondération!$D$16</f>
        <v>2.8680585016344778E-4</v>
      </c>
      <c r="J193">
        <f>'Transpo perseq'!P193*Pondération!$D$4</f>
        <v>1.5747490696780873E-5</v>
      </c>
      <c r="K193">
        <f>'Transpo perseq'!T193*Pondération!$D$5</f>
        <v>4.5540246320213258E-5</v>
      </c>
      <c r="L193">
        <f>'Transpo perseq'!X193*Pondération!$D$7</f>
        <v>1.2425470554207311E-6</v>
      </c>
      <c r="M193">
        <f>'Transpo perseq'!Y193*Pondération!$D$13</f>
        <v>5.9391403624208829E-7</v>
      </c>
      <c r="N193">
        <f>'Transpo perseq'!Z193*Pondération!$D$3</f>
        <v>6.4935366662693798E-15</v>
      </c>
      <c r="O193">
        <f>'Transpo perseq'!AA193*Pondération!$D$6</f>
        <v>1.3274594498592215E-4</v>
      </c>
      <c r="P193">
        <f>'Transpo perseq'!AB193*Pondération!$D$8</f>
        <v>4.1541971992259001E-4</v>
      </c>
      <c r="Q193">
        <f>'Transpo perseq'!AC193*Pondération!$D$10</f>
        <v>1.1844498708767583E-3</v>
      </c>
      <c r="R193">
        <f>'Transpo perseq'!AD193*Pondération!$D$9</f>
        <v>2.744020682537615E-6</v>
      </c>
      <c r="S193">
        <f>'Transpo perseq'!AE193*Pondération!$D$11</f>
        <v>7.1784398898833418E-7</v>
      </c>
      <c r="T193">
        <f t="shared" si="2"/>
        <v>4.6654633347460546E-3</v>
      </c>
    </row>
    <row r="194" spans="1:20" x14ac:dyDescent="0.3">
      <c r="A194" t="s">
        <v>1</v>
      </c>
      <c r="B194" t="s">
        <v>41</v>
      </c>
      <c r="C194" t="s">
        <v>82</v>
      </c>
      <c r="D194">
        <f>'Transpo perseq'!D194*Pondération!$D$17</f>
        <v>1.380218811221183E-6</v>
      </c>
      <c r="E194">
        <f>'Transpo perseq'!E194*Pondération!$D$2</f>
        <v>1.6275221241182268E-5</v>
      </c>
      <c r="F194">
        <f>'Transpo perseq'!I194*Pondération!$D$12</f>
        <v>3.6335514772702309E-6</v>
      </c>
      <c r="G194">
        <f>'Transpo perseq'!M194*Pondération!$D$15</f>
        <v>3.0080937366990226E-8</v>
      </c>
      <c r="H194">
        <f>'Transpo perseq'!N194*Pondération!$D$14</f>
        <v>6.1841220628508482E-7</v>
      </c>
      <c r="I194">
        <f>'Transpo perseq'!O194*Pondération!$D$16</f>
        <v>8.7045355675771263E-7</v>
      </c>
      <c r="J194">
        <f>'Transpo perseq'!P194*Pondération!$D$4</f>
        <v>2.1277051067750657E-7</v>
      </c>
      <c r="K194">
        <f>'Transpo perseq'!T194*Pondération!$D$5</f>
        <v>7.1341049749796991E-7</v>
      </c>
      <c r="L194">
        <f>'Transpo perseq'!X194*Pondération!$D$7</f>
        <v>3.4026751526241848E-7</v>
      </c>
      <c r="M194">
        <f>'Transpo perseq'!Y194*Pondération!$D$13</f>
        <v>4.2938356878199423E-8</v>
      </c>
      <c r="N194">
        <f>'Transpo perseq'!Z194*Pondération!$D$3</f>
        <v>1.0775873480545237E-9</v>
      </c>
      <c r="O194">
        <f>'Transpo perseq'!AA194*Pondération!$D$6</f>
        <v>1.5666609837524172E-6</v>
      </c>
      <c r="P194">
        <f>'Transpo perseq'!AB194*Pondération!$D$8</f>
        <v>1.6012830540994304E-6</v>
      </c>
      <c r="Q194">
        <f>'Transpo perseq'!AC194*Pondération!$D$10</f>
        <v>1.541548140173823E-5</v>
      </c>
      <c r="R194">
        <f>'Transpo perseq'!AD194*Pondération!$D$9</f>
        <v>1.3155214238276385E-6</v>
      </c>
      <c r="S194">
        <f>'Transpo perseq'!AE194*Pondération!$D$11</f>
        <v>8.0752287034640487E-7</v>
      </c>
      <c r="T194">
        <f t="shared" si="2"/>
        <v>4.4824872431511748E-5</v>
      </c>
    </row>
    <row r="195" spans="1:20" x14ac:dyDescent="0.3">
      <c r="A195" t="s">
        <v>1</v>
      </c>
      <c r="B195" t="s">
        <v>42</v>
      </c>
      <c r="C195" t="s">
        <v>72</v>
      </c>
      <c r="D195">
        <f>'Transpo perseq'!D195*Pondération!$D$17</f>
        <v>7.4399999999999998E-4</v>
      </c>
      <c r="E195">
        <f>'Transpo perseq'!E195*Pondération!$D$2</f>
        <v>3.9087360000000003E-3</v>
      </c>
      <c r="F195">
        <f>'Transpo perseq'!I195*Pondération!$D$12</f>
        <v>2.7340799999999994E-4</v>
      </c>
      <c r="G195">
        <f>'Transpo perseq'!M195*Pondération!$D$15</f>
        <v>1.1110400000000001E-6</v>
      </c>
      <c r="H195">
        <f>'Transpo perseq'!N195*Pondération!$D$14</f>
        <v>1.4492160000000002E-4</v>
      </c>
      <c r="I195">
        <f>'Transpo perseq'!O195*Pondération!$D$16</f>
        <v>2.1903840000000001E-4</v>
      </c>
      <c r="J195">
        <f>'Transpo perseq'!P195*Pondération!$D$4</f>
        <v>9.2356799999999983E-5</v>
      </c>
      <c r="K195">
        <f>'Transpo perseq'!T195*Pondération!$D$5</f>
        <v>1.2712087322348038E-4</v>
      </c>
      <c r="L195">
        <f>'Transpo perseq'!X195*Pondération!$D$7</f>
        <v>2.5032435814250931E-4</v>
      </c>
      <c r="M195">
        <f>'Transpo perseq'!Y195*Pondération!$D$13</f>
        <v>1.4411058607355881E-5</v>
      </c>
      <c r="N195">
        <f>'Transpo perseq'!Z195*Pondération!$D$3</f>
        <v>5.5514418477665484E-12</v>
      </c>
      <c r="O195">
        <f>'Transpo perseq'!AA195*Pondération!$D$6</f>
        <v>1.1425463296853831E-3</v>
      </c>
      <c r="P195">
        <f>'Transpo perseq'!AB195*Pondération!$D$8</f>
        <v>3.4726365079055887E-4</v>
      </c>
      <c r="Q195">
        <f>'Transpo perseq'!AC195*Pondération!$D$10</f>
        <v>2.37390803872752E-3</v>
      </c>
      <c r="R195">
        <f>'Transpo perseq'!AD195*Pondération!$D$9</f>
        <v>2.7753600172628041E-4</v>
      </c>
      <c r="S195">
        <f>'Transpo perseq'!AE195*Pondération!$D$11</f>
        <v>1.6608604478206526E-4</v>
      </c>
      <c r="T195">
        <f t="shared" ref="T195:T258" si="3">SUM(D195:S195)</f>
        <v>1.0082768201236596E-2</v>
      </c>
    </row>
    <row r="196" spans="1:20" x14ac:dyDescent="0.3">
      <c r="A196" t="s">
        <v>1</v>
      </c>
      <c r="B196" t="s">
        <v>42</v>
      </c>
      <c r="C196" t="s">
        <v>94</v>
      </c>
      <c r="D196">
        <f>'Transpo perseq'!D196*Pondération!$D$17</f>
        <v>2.46016E-4</v>
      </c>
      <c r="E196">
        <f>'Transpo perseq'!E196*Pondération!$D$2</f>
        <v>1.5601248E-3</v>
      </c>
      <c r="F196">
        <f>'Transpo perseq'!I196*Pondération!$D$12</f>
        <v>1.2718079999999999E-4</v>
      </c>
      <c r="G196">
        <f>'Transpo perseq'!M196*Pondération!$D$15</f>
        <v>3.6601599999999999E-7</v>
      </c>
      <c r="H196">
        <f>'Transpo perseq'!N196*Pondération!$D$14</f>
        <v>5.6832000000000001E-5</v>
      </c>
      <c r="I196">
        <f>'Transpo perseq'!O196*Pondération!$D$16</f>
        <v>8.5478399999999998E-5</v>
      </c>
      <c r="J196">
        <f>'Transpo perseq'!P196*Pondération!$D$4</f>
        <v>2.9445119999999998E-5</v>
      </c>
      <c r="K196">
        <f>'Transpo perseq'!T196*Pondération!$D$5</f>
        <v>4.6448713310718956E-5</v>
      </c>
      <c r="L196">
        <f>'Transpo perseq'!X196*Pondération!$D$7</f>
        <v>1.5671691127354121E-4</v>
      </c>
      <c r="M196">
        <f>'Transpo perseq'!Y196*Pondération!$D$13</f>
        <v>6.8310282318356276E-6</v>
      </c>
      <c r="N196">
        <f>'Transpo perseq'!Z196*Pondération!$D$3</f>
        <v>2.2950866700978395E-12</v>
      </c>
      <c r="O196">
        <f>'Transpo perseq'!AA196*Pondération!$D$6</f>
        <v>3.4122354723299799E-4</v>
      </c>
      <c r="P196">
        <f>'Transpo perseq'!AB196*Pondération!$D$8</f>
        <v>1.3219592499555706E-4</v>
      </c>
      <c r="Q196">
        <f>'Transpo perseq'!AC196*Pondération!$D$10</f>
        <v>1.0174254970637534E-3</v>
      </c>
      <c r="R196">
        <f>'Transpo perseq'!AD196*Pondération!$D$9</f>
        <v>1.0376871141616026E-4</v>
      </c>
      <c r="S196">
        <f>'Transpo perseq'!AE196*Pondération!$D$11</f>
        <v>3.0472528741126476E-5</v>
      </c>
      <c r="T196">
        <f t="shared" si="3"/>
        <v>3.9405260005607777E-3</v>
      </c>
    </row>
    <row r="197" spans="1:20" x14ac:dyDescent="0.3">
      <c r="A197" t="s">
        <v>1</v>
      </c>
      <c r="B197" t="s">
        <v>42</v>
      </c>
      <c r="C197" t="s">
        <v>58</v>
      </c>
      <c r="D197">
        <f>'Transpo perseq'!D197*Pondération!$D$17</f>
        <v>8.0252800000000012E-6</v>
      </c>
      <c r="E197">
        <f>'Transpo perseq'!E197*Pondération!$D$2</f>
        <v>7.0761599999999997E-5</v>
      </c>
      <c r="F197">
        <f>'Transpo perseq'!I197*Pondération!$D$12</f>
        <v>2.0797440000000001E-6</v>
      </c>
      <c r="G197">
        <f>'Transpo perseq'!M197*Pondération!$D$15</f>
        <v>1.9532799999999999E-8</v>
      </c>
      <c r="H197">
        <f>'Transpo perseq'!N197*Pondération!$D$14</f>
        <v>2.4958720000000002E-6</v>
      </c>
      <c r="I197">
        <f>'Transpo perseq'!O197*Pondération!$D$16</f>
        <v>3.6387679999999998E-6</v>
      </c>
      <c r="J197">
        <f>'Transpo perseq'!P197*Pondération!$D$4</f>
        <v>2.9547360000000002E-7</v>
      </c>
      <c r="K197">
        <f>'Transpo perseq'!T197*Pondération!$D$5</f>
        <v>2.3320863975082653E-6</v>
      </c>
      <c r="L197">
        <f>'Transpo perseq'!X197*Pondération!$D$7</f>
        <v>1.0708657292907465E-6</v>
      </c>
      <c r="M197">
        <f>'Transpo perseq'!Y197*Pondération!$D$13</f>
        <v>1.419185839794484E-7</v>
      </c>
      <c r="N197">
        <f>'Transpo perseq'!Z197*Pondération!$D$3</f>
        <v>2.6878480092152349E-15</v>
      </c>
      <c r="O197">
        <f>'Transpo perseq'!AA197*Pondération!$D$6</f>
        <v>1.3224510178024371E-5</v>
      </c>
      <c r="P197">
        <f>'Transpo perseq'!AB197*Pondération!$D$8</f>
        <v>6.490152796091563E-6</v>
      </c>
      <c r="Q197">
        <f>'Transpo perseq'!AC197*Pondération!$D$10</f>
        <v>3.8208228618227862E-5</v>
      </c>
      <c r="R197">
        <f>'Transpo perseq'!AD197*Pondération!$D$9</f>
        <v>1.0924933057742617E-6</v>
      </c>
      <c r="S197">
        <f>'Transpo perseq'!AE197*Pondération!$D$11</f>
        <v>6.8295676362854981E-6</v>
      </c>
      <c r="T197">
        <f t="shared" si="3"/>
        <v>1.5670609364786987E-4</v>
      </c>
    </row>
    <row r="198" spans="1:20" x14ac:dyDescent="0.3">
      <c r="A198" t="s">
        <v>1</v>
      </c>
      <c r="B198" t="s">
        <v>42</v>
      </c>
      <c r="C198" t="s">
        <v>56</v>
      </c>
      <c r="D198">
        <f>'Transpo perseq'!D198*Pondération!$D$17</f>
        <v>4.0076800000000002E-5</v>
      </c>
      <c r="E198">
        <f>'Transpo perseq'!E198*Pondération!$D$2</f>
        <v>2.5777440000000003E-4</v>
      </c>
      <c r="F198">
        <f>'Transpo perseq'!I198*Pondération!$D$12</f>
        <v>3.5327999999999998E-5</v>
      </c>
      <c r="G198">
        <f>'Transpo perseq'!M198*Pondération!$D$15</f>
        <v>9.0048000000000002E-5</v>
      </c>
      <c r="H198">
        <f>'Transpo perseq'!N198*Pondération!$D$14</f>
        <v>4.6602240000000005E-6</v>
      </c>
      <c r="I198">
        <f>'Transpo perseq'!O198*Pondération!$D$16</f>
        <v>8.1323199999999998E-6</v>
      </c>
      <c r="J198">
        <f>'Transpo perseq'!P198*Pondération!$D$4</f>
        <v>1.72104E-5</v>
      </c>
      <c r="K198">
        <f>'Transpo perseq'!T198*Pondération!$D$5</f>
        <v>2.8895482337243262E-6</v>
      </c>
      <c r="L198">
        <f>'Transpo perseq'!X198*Pondération!$D$7</f>
        <v>-6.5600357720841266E-5</v>
      </c>
      <c r="M198">
        <f>'Transpo perseq'!Y198*Pondération!$D$13</f>
        <v>-9.6586492094930302E-4</v>
      </c>
      <c r="N198">
        <f>'Transpo perseq'!Z198*Pondération!$D$3</f>
        <v>1.3223384803255343E-6</v>
      </c>
      <c r="O198">
        <f>'Transpo perseq'!AA198*Pondération!$D$6</f>
        <v>1.1821860583009132E-4</v>
      </c>
      <c r="P198">
        <f>'Transpo perseq'!AB198*Pondération!$D$8</f>
        <v>5.3756132045228631E-5</v>
      </c>
      <c r="Q198">
        <f>'Transpo perseq'!AC198*Pondération!$D$10</f>
        <v>-2.4441689483356621E-5</v>
      </c>
      <c r="R198">
        <f>'Transpo perseq'!AD198*Pondération!$D$9</f>
        <v>3.1082641224873429E-5</v>
      </c>
      <c r="S198">
        <f>'Transpo perseq'!AE198*Pondération!$D$11</f>
        <v>1.481093308183269E-2</v>
      </c>
      <c r="T198">
        <f t="shared" si="3"/>
        <v>1.4415525523493433E-2</v>
      </c>
    </row>
    <row r="199" spans="1:20" x14ac:dyDescent="0.3">
      <c r="A199" t="s">
        <v>1</v>
      </c>
      <c r="B199" t="s">
        <v>42</v>
      </c>
      <c r="C199" t="s">
        <v>57</v>
      </c>
      <c r="D199">
        <f>'Transpo perseq'!D199*Pondération!$D$17</f>
        <v>1.5772799999999999E-5</v>
      </c>
      <c r="E199">
        <f>'Transpo perseq'!E199*Pondération!$D$2</f>
        <v>6.1326719999999998E-5</v>
      </c>
      <c r="F199">
        <f>'Transpo perseq'!I199*Pondération!$D$12</f>
        <v>1.0506239999999999E-5</v>
      </c>
      <c r="G199">
        <f>'Transpo perseq'!M199*Pondération!$D$15</f>
        <v>1.2230400000000001E-7</v>
      </c>
      <c r="H199">
        <f>'Transpo perseq'!N199*Pondération!$D$14</f>
        <v>1.046656E-5</v>
      </c>
      <c r="I199">
        <f>'Transpo perseq'!O199*Pondération!$D$16</f>
        <v>1.6027200000000001E-5</v>
      </c>
      <c r="J199">
        <f>'Transpo perseq'!P199*Pondération!$D$4</f>
        <v>5.9640000000000002E-7</v>
      </c>
      <c r="K199">
        <f>'Transpo perseq'!T199*Pondération!$D$5</f>
        <v>2.097688984741331E-6</v>
      </c>
      <c r="L199">
        <f>'Transpo perseq'!X199*Pondération!$D$7</f>
        <v>9.9351164633175498E-8</v>
      </c>
      <c r="M199">
        <f>'Transpo perseq'!Y199*Pondération!$D$13</f>
        <v>1.0467544906097582E-6</v>
      </c>
      <c r="N199">
        <f>'Transpo perseq'!Z199*Pondération!$D$3</f>
        <v>5.4799112240106457E-16</v>
      </c>
      <c r="O199">
        <f>'Transpo perseq'!AA199*Pondération!$D$6</f>
        <v>7.8946610812982587E-6</v>
      </c>
      <c r="P199">
        <f>'Transpo perseq'!AB199*Pondération!$D$8</f>
        <v>1.5686885762922653E-5</v>
      </c>
      <c r="Q199">
        <f>'Transpo perseq'!AC199*Pondération!$D$10</f>
        <v>4.0231239699215054E-5</v>
      </c>
      <c r="R199">
        <f>'Transpo perseq'!AD199*Pondération!$D$9</f>
        <v>2.4920779212025563E-7</v>
      </c>
      <c r="S199">
        <f>'Transpo perseq'!AE199*Pondération!$D$11</f>
        <v>1.624942790192586E-7</v>
      </c>
      <c r="T199">
        <f t="shared" si="3"/>
        <v>1.8228650725510772E-4</v>
      </c>
    </row>
    <row r="200" spans="1:20" x14ac:dyDescent="0.3">
      <c r="A200" t="s">
        <v>1</v>
      </c>
      <c r="B200" t="s">
        <v>43</v>
      </c>
      <c r="C200" t="s">
        <v>87</v>
      </c>
      <c r="D200">
        <f>'Transpo perseq'!D200*Pondération!$D$17</f>
        <v>1.1193289890005218E-6</v>
      </c>
      <c r="E200">
        <f>'Transpo perseq'!E200*Pondération!$D$2</f>
        <v>9.8729697205392445E-6</v>
      </c>
      <c r="F200">
        <f>'Transpo perseq'!I200*Pondération!$D$12</f>
        <v>2.9008926262288616E-7</v>
      </c>
      <c r="G200">
        <f>'Transpo perseq'!M200*Pondération!$D$15</f>
        <v>2.7266649921397734E-9</v>
      </c>
      <c r="H200">
        <f>'Transpo perseq'!N200*Pondération!$D$14</f>
        <v>3.4805471076387986E-7</v>
      </c>
      <c r="I200">
        <f>'Transpo perseq'!O200*Pondération!$D$16</f>
        <v>5.0787678281056319E-7</v>
      </c>
      <c r="J200">
        <f>'Transpo perseq'!P200*Pondération!$D$4</f>
        <v>4.122132751112542E-8</v>
      </c>
      <c r="K200">
        <f>'Transpo perseq'!T200*Pondération!$D$5</f>
        <v>3.2525612238609101E-7</v>
      </c>
      <c r="L200">
        <f>'Transpo perseq'!X200*Pondération!$D$7</f>
        <v>1.4935365819954585E-7</v>
      </c>
      <c r="M200">
        <f>'Transpo perseq'!Y200*Pondération!$D$13</f>
        <v>1.9793386886952212E-8</v>
      </c>
      <c r="N200">
        <f>'Transpo perseq'!Z200*Pondération!$D$3</f>
        <v>3.7487419933266923E-16</v>
      </c>
      <c r="O200">
        <f>'Transpo perseq'!AA200*Pondération!$D$6</f>
        <v>1.8444226189713263E-6</v>
      </c>
      <c r="P200">
        <f>'Transpo perseq'!AB200*Pondération!$D$8</f>
        <v>9.0518170098906029E-7</v>
      </c>
      <c r="Q200">
        <f>'Transpo perseq'!AC200*Pondération!$D$10</f>
        <v>5.3289021782744607E-6</v>
      </c>
      <c r="R200">
        <f>'Transpo perseq'!AD200*Pondération!$D$9</f>
        <v>1.5237005659334205E-7</v>
      </c>
      <c r="S200">
        <f>'Transpo perseq'!AE200*Pondération!$D$11</f>
        <v>9.5251989348472354E-7</v>
      </c>
      <c r="T200">
        <f t="shared" si="3"/>
        <v>2.1860067074400732E-5</v>
      </c>
    </row>
    <row r="201" spans="1:20" x14ac:dyDescent="0.3">
      <c r="A201" t="s">
        <v>1</v>
      </c>
      <c r="B201" t="s">
        <v>43</v>
      </c>
      <c r="C201" t="s">
        <v>70</v>
      </c>
      <c r="D201">
        <f>'Transpo perseq'!D201*Pondération!$D$17</f>
        <v>5.3911945706181094E-3</v>
      </c>
      <c r="E201">
        <f>'Transpo perseq'!E201*Pondération!$D$2</f>
        <v>3.0434197622366228E-2</v>
      </c>
      <c r="F201">
        <f>'Transpo perseq'!I201*Pondération!$D$12</f>
        <v>2.1874264308979568E-3</v>
      </c>
      <c r="G201">
        <f>'Transpo perseq'!M201*Pondération!$D$15</f>
        <v>3.7161512762291678E-5</v>
      </c>
      <c r="H201">
        <f>'Transpo perseq'!N201*Pondération!$D$14</f>
        <v>1.2372013202384844E-3</v>
      </c>
      <c r="I201">
        <f>'Transpo perseq'!O201*Pondération!$D$16</f>
        <v>1.866718106975383E-3</v>
      </c>
      <c r="J201">
        <f>'Transpo perseq'!P201*Pondération!$D$4</f>
        <v>5.7560317603413751E-4</v>
      </c>
      <c r="K201">
        <f>'Transpo perseq'!T201*Pondération!$D$5</f>
        <v>8.8472850686745121E-4</v>
      </c>
      <c r="L201">
        <f>'Transpo perseq'!X201*Pondération!$D$7</f>
        <v>2.4934456831186389E-3</v>
      </c>
      <c r="M201">
        <f>'Transpo perseq'!Y201*Pondération!$D$13</f>
        <v>1.8693057209996042E-4</v>
      </c>
      <c r="N201">
        <f>'Transpo perseq'!Z201*Pondération!$D$3</f>
        <v>5.2775724895919936E-6</v>
      </c>
      <c r="O201">
        <f>'Transpo perseq'!AA201*Pondération!$D$6</f>
        <v>7.1640919302164603E-3</v>
      </c>
      <c r="P201">
        <f>'Transpo perseq'!AB201*Pondération!$D$8</f>
        <v>2.9161004369202396E-3</v>
      </c>
      <c r="Q201">
        <f>'Transpo perseq'!AC201*Pondération!$D$10</f>
        <v>2.1265277955115548E-2</v>
      </c>
      <c r="R201">
        <f>'Transpo perseq'!AD201*Pondération!$D$9</f>
        <v>1.7318324757032558E-2</v>
      </c>
      <c r="S201">
        <f>'Transpo perseq'!AE201*Pondération!$D$11</f>
        <v>1.709491983301197E-3</v>
      </c>
      <c r="T201">
        <f t="shared" si="3"/>
        <v>9.5673172137054244E-2</v>
      </c>
    </row>
    <row r="202" spans="1:20" x14ac:dyDescent="0.3">
      <c r="A202" t="s">
        <v>1</v>
      </c>
      <c r="B202" t="s">
        <v>43</v>
      </c>
      <c r="C202" t="s">
        <v>72</v>
      </c>
      <c r="D202">
        <f>'Transpo perseq'!D202*Pondération!$D$17</f>
        <v>1.9651164087494143E-3</v>
      </c>
      <c r="E202">
        <f>'Transpo perseq'!E202*Pondération!$D$2</f>
        <v>1.0362218252308025E-2</v>
      </c>
      <c r="F202">
        <f>'Transpo perseq'!I202*Pondération!$D$12</f>
        <v>7.2968340102994933E-4</v>
      </c>
      <c r="G202">
        <f>'Transpo perseq'!M202*Pondération!$D$15</f>
        <v>2.9553739619592161E-6</v>
      </c>
      <c r="H202">
        <f>'Transpo perseq'!N202*Pondération!$D$14</f>
        <v>3.8312811219041418E-4</v>
      </c>
      <c r="I202">
        <f>'Transpo perseq'!O202*Pondération!$D$16</f>
        <v>5.7853308290282002E-4</v>
      </c>
      <c r="J202">
        <f>'Transpo perseq'!P202*Pondération!$D$4</f>
        <v>2.439644987638031E-4</v>
      </c>
      <c r="K202">
        <f>'Transpo perseq'!T202*Pondération!$D$5</f>
        <v>3.3770881198141644E-4</v>
      </c>
      <c r="L202">
        <f>'Transpo perseq'!X202*Pondération!$D$7</f>
        <v>6.6115133274616744E-4</v>
      </c>
      <c r="M202">
        <f>'Transpo perseq'!Y202*Pondération!$D$13</f>
        <v>3.8131230022510579E-5</v>
      </c>
      <c r="N202">
        <f>'Transpo perseq'!Z202*Pondération!$D$3</f>
        <v>1.4655258243951787E-11</v>
      </c>
      <c r="O202">
        <f>'Transpo perseq'!AA202*Pondération!$D$6</f>
        <v>3.0178336601493173E-3</v>
      </c>
      <c r="P202">
        <f>'Transpo perseq'!AB202*Pondération!$D$8</f>
        <v>9.2080170452565305E-4</v>
      </c>
      <c r="Q202">
        <f>'Transpo perseq'!AC202*Pondération!$D$10</f>
        <v>6.297677997112892E-3</v>
      </c>
      <c r="R202">
        <f>'Transpo perseq'!AD202*Pondération!$D$9</f>
        <v>7.3257024891723534E-4</v>
      </c>
      <c r="S202">
        <f>'Transpo perseq'!AE202*Pondération!$D$11</f>
        <v>4.3921851511904129E-4</v>
      </c>
      <c r="T202">
        <f t="shared" si="3"/>
        <v>2.6710692645135876E-2</v>
      </c>
    </row>
    <row r="203" spans="1:20" x14ac:dyDescent="0.3">
      <c r="A203" t="s">
        <v>1</v>
      </c>
      <c r="B203" t="s">
        <v>43</v>
      </c>
      <c r="C203" t="s">
        <v>58</v>
      </c>
      <c r="D203">
        <f>'Transpo perseq'!D203*Pondération!$D$17</f>
        <v>1.3202219584626258E-5</v>
      </c>
      <c r="E203">
        <f>'Transpo perseq'!E203*Pondération!$D$2</f>
        <v>1.1644933302345177E-4</v>
      </c>
      <c r="F203">
        <f>'Transpo perseq'!I203*Pondération!$D$12</f>
        <v>3.4215339564370636E-6</v>
      </c>
      <c r="G203">
        <f>'Transpo perseq'!M203*Pondération!$D$15</f>
        <v>3.2160365999353041E-8</v>
      </c>
      <c r="H203">
        <f>'Transpo perseq'!N203*Pondération!$D$14</f>
        <v>4.1052226504661585E-6</v>
      </c>
      <c r="I203">
        <f>'Transpo perseq'!O203*Pondération!$D$16</f>
        <v>5.9902860325146583E-6</v>
      </c>
      <c r="J203">
        <f>'Transpo perseq'!P203*Pondération!$D$4</f>
        <v>4.8619576792843969E-7</v>
      </c>
      <c r="K203">
        <f>'Transpo perseq'!T203*Pondération!$D$5</f>
        <v>3.8363187152148578E-6</v>
      </c>
      <c r="L203">
        <f>'Transpo perseq'!X203*Pondération!$D$7</f>
        <v>1.7615909269698219E-6</v>
      </c>
      <c r="M203">
        <f>'Transpo perseq'!Y203*Pondération!$D$13</f>
        <v>2.33458297402217E-7</v>
      </c>
      <c r="N203">
        <f>'Transpo perseq'!Z203*Pondération!$D$3</f>
        <v>4.4215521485064905E-15</v>
      </c>
      <c r="O203">
        <f>'Transpo perseq'!AA203*Pondération!$D$6</f>
        <v>2.1754526740394719E-5</v>
      </c>
      <c r="P203">
        <f>'Transpo perseq'!AB203*Pondération!$D$8</f>
        <v>1.067640318251199E-5</v>
      </c>
      <c r="Q203">
        <f>'Transpo perseq'!AC203*Pondération!$D$10</f>
        <v>6.2853135578479924E-5</v>
      </c>
      <c r="R203">
        <f>'Transpo perseq'!AD203*Pondération!$D$9</f>
        <v>1.7971686296300324E-6</v>
      </c>
      <c r="S203">
        <f>'Transpo perseq'!AE203*Pondération!$D$11</f>
        <v>1.1234745920177591E-5</v>
      </c>
      <c r="T203">
        <f t="shared" si="3"/>
        <v>2.5783429937662643E-4</v>
      </c>
    </row>
    <row r="204" spans="1:20" x14ac:dyDescent="0.3">
      <c r="A204" t="s">
        <v>1</v>
      </c>
      <c r="B204" t="s">
        <v>43</v>
      </c>
      <c r="C204" t="s">
        <v>74</v>
      </c>
      <c r="D204">
        <f>'Transpo perseq'!D204*Pondération!$D$17</f>
        <v>5.7388793960978184E-6</v>
      </c>
      <c r="E204">
        <f>'Transpo perseq'!E204*Pondération!$D$2</f>
        <v>6.0548134158582183E-5</v>
      </c>
      <c r="F204">
        <f>'Transpo perseq'!I204*Pondération!$D$12</f>
        <v>2.6491536260211148E-5</v>
      </c>
      <c r="G204">
        <f>'Transpo perseq'!M204*Pondération!$D$15</f>
        <v>1.2326557308260697E-6</v>
      </c>
      <c r="H204">
        <f>'Transpo perseq'!N204*Pondération!$D$14</f>
        <v>2.2852075765083338E-6</v>
      </c>
      <c r="I204">
        <f>'Transpo perseq'!O204*Pondération!$D$16</f>
        <v>3.3669262531903814E-6</v>
      </c>
      <c r="J204">
        <f>'Transpo perseq'!P204*Pondération!$D$4</f>
        <v>8.805354185672997E-7</v>
      </c>
      <c r="K204">
        <f>'Transpo perseq'!T204*Pondération!$D$5</f>
        <v>4.6352528071193892E-6</v>
      </c>
      <c r="L204">
        <f>'Transpo perseq'!X204*Pondération!$D$7</f>
        <v>4.1990562897221086E-6</v>
      </c>
      <c r="M204">
        <f>'Transpo perseq'!Y204*Pondération!$D$13</f>
        <v>2.8097628386961508E-8</v>
      </c>
      <c r="N204">
        <f>'Transpo perseq'!Z204*Pondération!$D$3</f>
        <v>3.5586703510148052E-14</v>
      </c>
      <c r="O204">
        <f>'Transpo perseq'!AA204*Pondération!$D$6</f>
        <v>4.302053810380448E-6</v>
      </c>
      <c r="P204">
        <f>'Transpo perseq'!AB204*Pondération!$D$8</f>
        <v>4.8192508078851754E-6</v>
      </c>
      <c r="Q204">
        <f>'Transpo perseq'!AC204*Pondération!$D$10</f>
        <v>5.0301446879063246E-5</v>
      </c>
      <c r="R204">
        <f>'Transpo perseq'!AD204*Pondération!$D$9</f>
        <v>-5.2231630728362925E-8</v>
      </c>
      <c r="S204">
        <f>'Transpo perseq'!AE204*Pondération!$D$11</f>
        <v>-9.0407194676097105E-7</v>
      </c>
      <c r="T204">
        <f t="shared" si="3"/>
        <v>1.6787272947463796E-4</v>
      </c>
    </row>
    <row r="205" spans="1:20" x14ac:dyDescent="0.3">
      <c r="A205" t="s">
        <v>1</v>
      </c>
      <c r="B205" t="s">
        <v>43</v>
      </c>
      <c r="C205" t="s">
        <v>75</v>
      </c>
      <c r="D205">
        <f>'Transpo perseq'!D205*Pondération!$D$17</f>
        <v>4.7219200000000002E-6</v>
      </c>
      <c r="E205">
        <f>'Transpo perseq'!E205*Pondération!$D$2</f>
        <v>1.6848000000000002E-5</v>
      </c>
      <c r="F205">
        <f>'Transpo perseq'!I205*Pondération!$D$12</f>
        <v>1.7971199999999998E-6</v>
      </c>
      <c r="G205">
        <f>'Transpo perseq'!M205*Pondération!$D$15</f>
        <v>1.4963200000000001E-8</v>
      </c>
      <c r="H205">
        <f>'Transpo perseq'!N205*Pondération!$D$14</f>
        <v>1.117696E-6</v>
      </c>
      <c r="I205">
        <f>'Transpo perseq'!O205*Pondération!$D$16</f>
        <v>1.6798880000000001E-6</v>
      </c>
      <c r="J205">
        <f>'Transpo perseq'!P205*Pondération!$D$4</f>
        <v>6.0321599999999995E-5</v>
      </c>
      <c r="K205">
        <f>'Transpo perseq'!T205*Pondération!$D$5</f>
        <v>8.3435529568992162E-7</v>
      </c>
      <c r="L205">
        <f>'Transpo perseq'!X205*Pondération!$D$7</f>
        <v>4.7102065038068453E-7</v>
      </c>
      <c r="M205">
        <f>'Transpo perseq'!Y205*Pondération!$D$13</f>
        <v>2.0618730286194023E-7</v>
      </c>
      <c r="N205">
        <f>'Transpo perseq'!Z205*Pondération!$D$3</f>
        <v>2.6498862357473491E-15</v>
      </c>
      <c r="O205">
        <f>'Transpo perseq'!AA205*Pondération!$D$6</f>
        <v>1.107926440880337E-5</v>
      </c>
      <c r="P205">
        <f>'Transpo perseq'!AB205*Pondération!$D$8</f>
        <v>2.5966911477311341E-6</v>
      </c>
      <c r="Q205">
        <f>'Transpo perseq'!AC205*Pondération!$D$10</f>
        <v>1.0742623118996547E-5</v>
      </c>
      <c r="R205">
        <f>'Transpo perseq'!AD205*Pondération!$D$9</f>
        <v>1.321959302756448E-5</v>
      </c>
      <c r="S205">
        <f>'Transpo perseq'!AE205*Pondération!$D$11</f>
        <v>4.0007592786095441E-6</v>
      </c>
      <c r="T205">
        <f t="shared" si="3"/>
        <v>1.2965168143328751E-4</v>
      </c>
    </row>
    <row r="206" spans="1:20" x14ac:dyDescent="0.3">
      <c r="A206" t="s">
        <v>1</v>
      </c>
      <c r="B206" t="s">
        <v>43</v>
      </c>
      <c r="C206" t="s">
        <v>78</v>
      </c>
      <c r="D206">
        <f>'Transpo perseq'!D206*Pondération!$D$17</f>
        <v>2.5296E-5</v>
      </c>
      <c r="E206">
        <f>'Transpo perseq'!E206*Pondération!$D$2</f>
        <v>2.2306752000000001E-4</v>
      </c>
      <c r="F206">
        <f>'Transpo perseq'!I206*Pondération!$D$12</f>
        <v>4.6079999999999992E-5</v>
      </c>
      <c r="G206">
        <f>'Transpo perseq'!M206*Pondération!$D$15</f>
        <v>7.3471999999999997E-6</v>
      </c>
      <c r="H206">
        <f>'Transpo perseq'!N206*Pondération!$D$14</f>
        <v>8.1459200000000008E-6</v>
      </c>
      <c r="I206">
        <f>'Transpo perseq'!O206*Pondération!$D$16</f>
        <v>1.12784E-5</v>
      </c>
      <c r="J206">
        <f>'Transpo perseq'!P206*Pondération!$D$4</f>
        <v>4.1236799999999995E-6</v>
      </c>
      <c r="K206">
        <f>'Transpo perseq'!T206*Pondération!$D$5</f>
        <v>1.309297177018042E-5</v>
      </c>
      <c r="L206">
        <f>'Transpo perseq'!X206*Pondération!$D$7</f>
        <v>3.7446138939532473E-5</v>
      </c>
      <c r="M206">
        <f>'Transpo perseq'!Y206*Pondération!$D$13</f>
        <v>1.3246790750040389E-6</v>
      </c>
      <c r="N206">
        <f>'Transpo perseq'!Z206*Pondération!$D$3</f>
        <v>1.2333240525851808E-7</v>
      </c>
      <c r="O206">
        <f>'Transpo perseq'!AA206*Pondération!$D$6</f>
        <v>2.9239734341890724E-5</v>
      </c>
      <c r="P206">
        <f>'Transpo perseq'!AB206*Pondération!$D$8</f>
        <v>2.336993709582321E-5</v>
      </c>
      <c r="Q206">
        <f>'Transpo perseq'!AC206*Pondération!$D$10</f>
        <v>3.3457174995571291E-4</v>
      </c>
      <c r="R206">
        <f>'Transpo perseq'!AD206*Pondération!$D$9</f>
        <v>6.6182933749346938E-6</v>
      </c>
      <c r="S206">
        <f>'Transpo perseq'!AE206*Pondération!$D$11</f>
        <v>9.1402358089317506E-5</v>
      </c>
      <c r="T206">
        <f t="shared" si="3"/>
        <v>8.6252791504765449E-4</v>
      </c>
    </row>
    <row r="207" spans="1:20" x14ac:dyDescent="0.3">
      <c r="A207" t="s">
        <v>1</v>
      </c>
      <c r="B207" t="s">
        <v>43</v>
      </c>
      <c r="C207" t="s">
        <v>59</v>
      </c>
      <c r="D207">
        <f>'Transpo perseq'!D207*Pondération!$D$17</f>
        <v>1.22016E-5</v>
      </c>
      <c r="E207">
        <f>'Transpo perseq'!E207*Pondération!$D$2</f>
        <v>1.1827296000000001E-4</v>
      </c>
      <c r="F207">
        <f>'Transpo perseq'!I207*Pondération!$D$12</f>
        <v>2.1227519999999998E-4</v>
      </c>
      <c r="G207">
        <f>'Transpo perseq'!M207*Pondération!$D$15</f>
        <v>2.7865599999999999E-6</v>
      </c>
      <c r="H207">
        <f>'Transpo perseq'!N207*Pondération!$D$14</f>
        <v>5.0201600000000004E-6</v>
      </c>
      <c r="I207">
        <f>'Transpo perseq'!O207*Pondération!$D$16</f>
        <v>6.1140799999999999E-6</v>
      </c>
      <c r="J207">
        <f>'Transpo perseq'!P207*Pondération!$D$4</f>
        <v>8.1791999999999995E-6</v>
      </c>
      <c r="K207">
        <f>'Transpo perseq'!T207*Pondération!$D$5</f>
        <v>5.2265101876691086E-5</v>
      </c>
      <c r="L207">
        <f>'Transpo perseq'!X207*Pondération!$D$7</f>
        <v>1.4092697588089253E-5</v>
      </c>
      <c r="M207">
        <f>'Transpo perseq'!Y207*Pondération!$D$13</f>
        <v>5.4661801962131274E-8</v>
      </c>
      <c r="N207">
        <f>'Transpo perseq'!Z207*Pondération!$D$3</f>
        <v>2.2037244243092159E-13</v>
      </c>
      <c r="O207">
        <f>'Transpo perseq'!AA207*Pondération!$D$6</f>
        <v>1.2568815668863556E-5</v>
      </c>
      <c r="P207">
        <f>'Transpo perseq'!AB207*Pondération!$D$8</f>
        <v>1.0954692716399972E-5</v>
      </c>
      <c r="Q207">
        <f>'Transpo perseq'!AC207*Pondération!$D$10</f>
        <v>1.0789110641561453E-4</v>
      </c>
      <c r="R207">
        <f>'Transpo perseq'!AD207*Pondération!$D$9</f>
        <v>2.6537692634606977E-6</v>
      </c>
      <c r="S207">
        <f>'Transpo perseq'!AE207*Pondération!$D$11</f>
        <v>2.4404846251335373E-4</v>
      </c>
      <c r="T207">
        <f t="shared" si="3"/>
        <v>8.0937906806480731E-4</v>
      </c>
    </row>
    <row r="208" spans="1:20" x14ac:dyDescent="0.3">
      <c r="A208" t="s">
        <v>1</v>
      </c>
      <c r="B208" t="s">
        <v>43</v>
      </c>
      <c r="C208" t="s">
        <v>56</v>
      </c>
      <c r="D208">
        <f>'Transpo perseq'!D208*Pondération!$D$17</f>
        <v>1.56736E-6</v>
      </c>
      <c r="E208">
        <f>'Transpo perseq'!E208*Pondération!$D$2</f>
        <v>5.9641920000000002E-6</v>
      </c>
      <c r="F208">
        <f>'Transpo perseq'!I208*Pondération!$D$12</f>
        <v>4.5465599999999997E-7</v>
      </c>
      <c r="G208">
        <f>'Transpo perseq'!M208*Pondération!$D$15</f>
        <v>3.5660800000000001E-7</v>
      </c>
      <c r="H208">
        <f>'Transpo perseq'!N208*Pondération!$D$14</f>
        <v>7.7196800000000005E-7</v>
      </c>
      <c r="I208">
        <f>'Transpo perseq'!O208*Pondération!$D$16</f>
        <v>1.0744160000000001E-6</v>
      </c>
      <c r="J208">
        <f>'Transpo perseq'!P208*Pondération!$D$4</f>
        <v>1.1927999999999999E-7</v>
      </c>
      <c r="K208">
        <f>'Transpo perseq'!T208*Pondération!$D$5</f>
        <v>5.4201727879263433E-7</v>
      </c>
      <c r="L208">
        <f>'Transpo perseq'!X208*Pondération!$D$7</f>
        <v>-2.2099448456072465E-6</v>
      </c>
      <c r="M208">
        <f>'Transpo perseq'!Y208*Pondération!$D$13</f>
        <v>2.8646898810136734E-5</v>
      </c>
      <c r="N208">
        <f>'Transpo perseq'!Z208*Pondération!$D$3</f>
        <v>4.3893073821427869E-9</v>
      </c>
      <c r="O208">
        <f>'Transpo perseq'!AA208*Pondération!$D$6</f>
        <v>2.6704300034483959E-6</v>
      </c>
      <c r="P208">
        <f>'Transpo perseq'!AB208*Pondération!$D$8</f>
        <v>1.6964427859068166E-6</v>
      </c>
      <c r="Q208">
        <f>'Transpo perseq'!AC208*Pondération!$D$10</f>
        <v>-1.1779422847748901E-6</v>
      </c>
      <c r="R208">
        <f>'Transpo perseq'!AD208*Pondération!$D$9</f>
        <v>6.498104255683959E-8</v>
      </c>
      <c r="S208">
        <f>'Transpo perseq'!AE208*Pondération!$D$11</f>
        <v>5.4911509069229218E-5</v>
      </c>
      <c r="T208">
        <f t="shared" si="3"/>
        <v>9.5457261167070654E-5</v>
      </c>
    </row>
    <row r="209" spans="1:20" x14ac:dyDescent="0.3">
      <c r="A209" t="s">
        <v>1</v>
      </c>
      <c r="B209" t="s">
        <v>43</v>
      </c>
      <c r="C209" t="s">
        <v>95</v>
      </c>
      <c r="D209">
        <f>'Transpo perseq'!D209*Pondération!$D$17</f>
        <v>2.3807999999999997E-7</v>
      </c>
      <c r="E209">
        <f>'Transpo perseq'!E209*Pondération!$D$2</f>
        <v>1.9577376000000004E-6</v>
      </c>
      <c r="F209">
        <f>'Transpo perseq'!I209*Pondération!$D$12</f>
        <v>2.0367360000000001E-7</v>
      </c>
      <c r="G209">
        <f>'Transpo perseq'!M209*Pondération!$D$15</f>
        <v>2.7910400000000003E-9</v>
      </c>
      <c r="H209">
        <f>'Transpo perseq'!N209*Pondération!$D$14</f>
        <v>7.6723200000000002E-8</v>
      </c>
      <c r="I209">
        <f>'Transpo perseq'!O209*Pondération!$D$16</f>
        <v>1.151584E-7</v>
      </c>
      <c r="J209">
        <f>'Transpo perseq'!P209*Pondération!$D$4</f>
        <v>3.9532799999999998E-7</v>
      </c>
      <c r="K209">
        <f>'Transpo perseq'!T209*Pondération!$D$5</f>
        <v>2.8722663853567372E-6</v>
      </c>
      <c r="L209">
        <f>'Transpo perseq'!X209*Pondération!$D$7</f>
        <v>1.7464561828643912E-7</v>
      </c>
      <c r="M209">
        <f>'Transpo perseq'!Y209*Pondération!$D$13</f>
        <v>1.9686224757242127E-7</v>
      </c>
      <c r="N209">
        <f>'Transpo perseq'!Z209*Pondération!$D$3</f>
        <v>1.117166316033959E-15</v>
      </c>
      <c r="O209">
        <f>'Transpo perseq'!AA209*Pondération!$D$6</f>
        <v>3.4365644761053348E-7</v>
      </c>
      <c r="P209">
        <f>'Transpo perseq'!AB209*Pondération!$D$8</f>
        <v>1.9980476102015344E-7</v>
      </c>
      <c r="Q209">
        <f>'Transpo perseq'!AC209*Pondération!$D$10</f>
        <v>1.5371578901050645E-6</v>
      </c>
      <c r="R209">
        <f>'Transpo perseq'!AD209*Pondération!$D$9</f>
        <v>1.3786036980700374E-6</v>
      </c>
      <c r="S209">
        <f>'Transpo perseq'!AE209*Pondération!$D$11</f>
        <v>7.7183984219724323E-8</v>
      </c>
      <c r="T209">
        <f t="shared" si="3"/>
        <v>9.769672873358278E-6</v>
      </c>
    </row>
    <row r="210" spans="1:20" x14ac:dyDescent="0.3">
      <c r="A210" t="s">
        <v>1</v>
      </c>
      <c r="B210" t="s">
        <v>43</v>
      </c>
      <c r="C210" t="s">
        <v>57</v>
      </c>
      <c r="D210">
        <f>'Transpo perseq'!D210*Pondération!$D$17</f>
        <v>3.3232000000000003E-5</v>
      </c>
      <c r="E210">
        <f>'Transpo perseq'!E210*Pondération!$D$2</f>
        <v>1.2972960000000002E-4</v>
      </c>
      <c r="F210">
        <f>'Transpo perseq'!I210*Pondération!$D$12</f>
        <v>2.2149119999999999E-5</v>
      </c>
      <c r="G210">
        <f>'Transpo perseq'!M210*Pondération!$D$15</f>
        <v>2.5760000000000003E-7</v>
      </c>
      <c r="H210">
        <f>'Transpo perseq'!N210*Pondération!$D$14</f>
        <v>2.2069760000000001E-5</v>
      </c>
      <c r="I210">
        <f>'Transpo perseq'!O210*Pondération!$D$16</f>
        <v>3.3835200000000004E-5</v>
      </c>
      <c r="J210">
        <f>'Transpo perseq'!P210*Pondération!$D$4</f>
        <v>1.2541439999999999E-6</v>
      </c>
      <c r="K210">
        <f>'Transpo perseq'!T210*Pondération!$D$5</f>
        <v>4.426305717320988E-6</v>
      </c>
      <c r="L210">
        <f>'Transpo perseq'!X210*Pondération!$D$7</f>
        <v>2.0963957537897348E-7</v>
      </c>
      <c r="M210">
        <f>'Transpo perseq'!Y210*Pondération!$D$13</f>
        <v>2.2087427736522791E-6</v>
      </c>
      <c r="N210">
        <f>'Transpo perseq'!Z210*Pondération!$D$3</f>
        <v>1.1563088025768842E-15</v>
      </c>
      <c r="O210">
        <f>'Transpo perseq'!AA210*Pondération!$D$6</f>
        <v>1.6658419686925578E-5</v>
      </c>
      <c r="P210">
        <f>'Transpo perseq'!AB210*Pondération!$D$8</f>
        <v>3.3100689684914266E-5</v>
      </c>
      <c r="Q210">
        <f>'Transpo perseq'!AC210*Pondération!$D$10</f>
        <v>8.4891405537654331E-5</v>
      </c>
      <c r="R210">
        <f>'Transpo perseq'!AD210*Pondération!$D$9</f>
        <v>5.2585005836737271E-7</v>
      </c>
      <c r="S210">
        <f>'Transpo perseq'!AE210*Pondération!$D$11</f>
        <v>3.4287702394719508E-7</v>
      </c>
      <c r="T210">
        <f t="shared" si="3"/>
        <v>3.8489135405931729E-4</v>
      </c>
    </row>
    <row r="211" spans="1:20" x14ac:dyDescent="0.3">
      <c r="A211" t="s">
        <v>1</v>
      </c>
      <c r="B211" t="s">
        <v>44</v>
      </c>
      <c r="C211" t="s">
        <v>72</v>
      </c>
      <c r="D211">
        <f>'Transpo perseq'!D211*Pondération!$D$17</f>
        <v>1.5375999999999999E-3</v>
      </c>
      <c r="E211">
        <f>'Transpo perseq'!E211*Pondération!$D$2</f>
        <v>8.1207359999999999E-3</v>
      </c>
      <c r="F211">
        <f>'Transpo perseq'!I211*Pondération!$D$12</f>
        <v>5.6524799999999997E-4</v>
      </c>
      <c r="G211">
        <f>'Transpo perseq'!M211*Pondération!$D$15</f>
        <v>2.2982400000000001E-6</v>
      </c>
      <c r="H211">
        <f>'Transpo perseq'!N211*Pondération!$D$14</f>
        <v>2.997888E-4</v>
      </c>
      <c r="I211">
        <f>'Transpo perseq'!O211*Pondération!$D$16</f>
        <v>4.5291680000000004E-4</v>
      </c>
      <c r="J211">
        <f>'Transpo perseq'!P211*Pondération!$D$4</f>
        <v>1.9118879999999999E-4</v>
      </c>
      <c r="K211">
        <f>'Transpo perseq'!T211*Pondération!$D$5</f>
        <v>2.6325353767440421E-4</v>
      </c>
      <c r="L211">
        <f>'Transpo perseq'!X211*Pondération!$D$7</f>
        <v>5.1839458915011621E-4</v>
      </c>
      <c r="M211">
        <f>'Transpo perseq'!Y211*Pondération!$D$13</f>
        <v>2.984373898494317E-5</v>
      </c>
      <c r="N211">
        <f>'Transpo perseq'!Z211*Pondération!$D$3</f>
        <v>1.1496433815782931E-11</v>
      </c>
      <c r="O211">
        <f>'Transpo perseq'!AA211*Pondération!$D$6</f>
        <v>2.3660894990691983E-3</v>
      </c>
      <c r="P211">
        <f>'Transpo perseq'!AB211*Pondération!$D$8</f>
        <v>7.1914534771664543E-4</v>
      </c>
      <c r="Q211">
        <f>'Transpo perseq'!AC211*Pondération!$D$10</f>
        <v>4.9161060136054232E-3</v>
      </c>
      <c r="R211">
        <f>'Transpo perseq'!AD211*Pondération!$D$9</f>
        <v>5.7474695094335922E-4</v>
      </c>
      <c r="S211">
        <f>'Transpo perseq'!AE211*Pondération!$D$11</f>
        <v>3.4394618081611417E-4</v>
      </c>
      <c r="T211">
        <f t="shared" si="3"/>
        <v>2.0901302509456637E-2</v>
      </c>
    </row>
    <row r="212" spans="1:20" x14ac:dyDescent="0.3">
      <c r="A212" t="s">
        <v>1</v>
      </c>
      <c r="B212" t="s">
        <v>44</v>
      </c>
      <c r="C212" t="s">
        <v>58</v>
      </c>
      <c r="D212">
        <f>'Transpo perseq'!D212*Pondération!$D$17</f>
        <v>9.3247999999999992E-6</v>
      </c>
      <c r="E212">
        <f>'Transpo perseq'!E212*Pondération!$D$2</f>
        <v>8.2218240000000008E-5</v>
      </c>
      <c r="F212">
        <f>'Transpo perseq'!I212*Pondération!$D$12</f>
        <v>2.4176639999999996E-6</v>
      </c>
      <c r="G212">
        <f>'Transpo perseq'!M212*Pondération!$D$15</f>
        <v>2.2713599999999999E-8</v>
      </c>
      <c r="H212">
        <f>'Transpo perseq'!N212*Pondération!$D$14</f>
        <v>2.8984320000000001E-6</v>
      </c>
      <c r="I212">
        <f>'Transpo perseq'!O212*Pondération!$D$16</f>
        <v>4.2323680000000003E-6</v>
      </c>
      <c r="J212">
        <f>'Transpo perseq'!P212*Pondération!$D$4</f>
        <v>3.4420800000000003E-7</v>
      </c>
      <c r="K212">
        <f>'Transpo perseq'!T212*Pondération!$D$5</f>
        <v>2.7095583246419136E-6</v>
      </c>
      <c r="L212">
        <f>'Transpo perseq'!X212*Pondération!$D$7</f>
        <v>1.244196250393504E-6</v>
      </c>
      <c r="M212">
        <f>'Transpo perseq'!Y212*Pondération!$D$13</f>
        <v>1.6488955171376394E-7</v>
      </c>
      <c r="N212">
        <f>'Transpo perseq'!Z212*Pondération!$D$3</f>
        <v>3.1229035753232772E-15</v>
      </c>
      <c r="O212">
        <f>'Transpo perseq'!AA212*Pondération!$D$6</f>
        <v>1.5365031793188761E-5</v>
      </c>
      <c r="P212">
        <f>'Transpo perseq'!AB212*Pondération!$D$8</f>
        <v>7.5406501044031546E-6</v>
      </c>
      <c r="Q212">
        <f>'Transpo perseq'!AC212*Pondération!$D$10</f>
        <v>4.4392619429947044E-5</v>
      </c>
      <c r="R212">
        <f>'Transpo perseq'!AD212*Pondération!$D$9</f>
        <v>1.2693244703279607E-6</v>
      </c>
      <c r="S212">
        <f>'Transpo perseq'!AE212*Pondération!$D$11</f>
        <v>7.9350026921705334E-6</v>
      </c>
      <c r="T212">
        <f t="shared" si="3"/>
        <v>1.8207969821990952E-4</v>
      </c>
    </row>
    <row r="213" spans="1:20" x14ac:dyDescent="0.3">
      <c r="A213" t="s">
        <v>1</v>
      </c>
      <c r="B213" t="s">
        <v>44</v>
      </c>
      <c r="C213" t="s">
        <v>74</v>
      </c>
      <c r="D213">
        <f>'Transpo perseq'!D213*Pondération!$D$17</f>
        <v>7.8665600000000003E-8</v>
      </c>
      <c r="E213">
        <f>'Transpo perseq'!E213*Pondération!$D$2</f>
        <v>8.2892160000000002E-7</v>
      </c>
      <c r="F213">
        <f>'Transpo perseq'!I213*Pondération!$D$12</f>
        <v>3.5942399999999998E-7</v>
      </c>
      <c r="G213">
        <f>'Transpo perseq'!M213*Pondération!$D$15</f>
        <v>1.6799999999999998E-8</v>
      </c>
      <c r="H213">
        <f>'Transpo perseq'!N213*Pondération!$D$14</f>
        <v>3.1494400000000006E-8</v>
      </c>
      <c r="I213">
        <f>'Transpo perseq'!O213*Pondération!$D$16</f>
        <v>4.6419520000000001E-8</v>
      </c>
      <c r="J213">
        <f>'Transpo perseq'!P213*Pondération!$D$4</f>
        <v>1.1996159999999998E-8</v>
      </c>
      <c r="K213">
        <f>'Transpo perseq'!T213*Pondération!$D$5</f>
        <v>6.3120621968732776E-8</v>
      </c>
      <c r="L213">
        <f>'Transpo perseq'!X213*Pondération!$D$7</f>
        <v>5.5909004861245759E-8</v>
      </c>
      <c r="M213">
        <f>'Transpo perseq'!Y213*Pondération!$D$13</f>
        <v>3.7238352586702094E-10</v>
      </c>
      <c r="N213">
        <f>'Transpo perseq'!Z213*Pondération!$D$3</f>
        <v>4.8402662498612464E-16</v>
      </c>
      <c r="O213">
        <f>'Transpo perseq'!AA213*Pondération!$D$6</f>
        <v>5.8677965226029647E-8</v>
      </c>
      <c r="P213">
        <f>'Transpo perseq'!AB213*Pondération!$D$8</f>
        <v>6.6357575435617449E-8</v>
      </c>
      <c r="Q213">
        <f>'Transpo perseq'!AC213*Pondération!$D$10</f>
        <v>6.8212530534941104E-7</v>
      </c>
      <c r="R213">
        <f>'Transpo perseq'!AD213*Pondération!$D$9</f>
        <v>-7.2383200701935365E-10</v>
      </c>
      <c r="S213">
        <f>'Transpo perseq'!AE213*Pondération!$D$11</f>
        <v>-1.2120214977683788E-8</v>
      </c>
      <c r="T213">
        <f t="shared" si="3"/>
        <v>2.2874400898662275E-6</v>
      </c>
    </row>
    <row r="214" spans="1:20" x14ac:dyDescent="0.3">
      <c r="A214" t="s">
        <v>1</v>
      </c>
      <c r="B214" t="s">
        <v>44</v>
      </c>
      <c r="C214" t="s">
        <v>56</v>
      </c>
      <c r="D214">
        <f>'Transpo perseq'!D214*Pondération!$D$17</f>
        <v>1.2995199999999999E-6</v>
      </c>
      <c r="E214">
        <f>'Transpo perseq'!E214*Pondération!$D$2</f>
        <v>4.9870080000000001E-6</v>
      </c>
      <c r="F214">
        <f>'Transpo perseq'!I214*Pondération!$D$12</f>
        <v>3.7785599999999997E-7</v>
      </c>
      <c r="G214">
        <f>'Transpo perseq'!M214*Pondération!$D$15</f>
        <v>2.9657599999999997E-7</v>
      </c>
      <c r="H214">
        <f>'Transpo perseq'!N214*Pondération!$D$14</f>
        <v>6.44096E-7</v>
      </c>
      <c r="I214">
        <f>'Transpo perseq'!O214*Pondération!$D$16</f>
        <v>8.9633600000000004E-7</v>
      </c>
      <c r="J214">
        <f>'Transpo perseq'!P214*Pondération!$D$4</f>
        <v>9.91728E-8</v>
      </c>
      <c r="K214">
        <f>'Transpo perseq'!T214*Pondération!$D$5</f>
        <v>4.5155465485474056E-7</v>
      </c>
      <c r="L214">
        <f>'Transpo perseq'!X214*Pondération!$D$7</f>
        <v>-1.8415730751376091E-6</v>
      </c>
      <c r="M214">
        <f>'Transpo perseq'!Y214*Pondération!$D$13</f>
        <v>2.3868401448021079E-5</v>
      </c>
      <c r="N214">
        <f>'Transpo perseq'!Z214*Pondération!$D$3</f>
        <v>3.6490987385307981E-9</v>
      </c>
      <c r="O214">
        <f>'Transpo perseq'!AA214*Pondération!$D$6</f>
        <v>2.223805226148223E-6</v>
      </c>
      <c r="P214">
        <f>'Transpo perseq'!AB214*Pondération!$D$8</f>
        <v>1.4132121058238207E-6</v>
      </c>
      <c r="Q214">
        <f>'Transpo perseq'!AC214*Pondération!$D$10</f>
        <v>-9.8267344191875931E-7</v>
      </c>
      <c r="R214">
        <f>'Transpo perseq'!AD214*Pondération!$D$9</f>
        <v>5.4061805042112584E-8</v>
      </c>
      <c r="S214">
        <f>'Transpo perseq'!AE214*Pondération!$D$11</f>
        <v>4.5652776798325455E-5</v>
      </c>
      <c r="T214">
        <f t="shared" si="3"/>
        <v>7.9443779419897579E-5</v>
      </c>
    </row>
    <row r="215" spans="1:20" x14ac:dyDescent="0.3">
      <c r="A215" t="s">
        <v>1</v>
      </c>
      <c r="B215" t="s">
        <v>44</v>
      </c>
      <c r="C215" t="s">
        <v>57</v>
      </c>
      <c r="D215">
        <f>'Transpo perseq'!D215*Pondération!$D$17</f>
        <v>6.2892800000000004E-6</v>
      </c>
      <c r="E215">
        <f>'Transpo perseq'!E215*Pondération!$D$2</f>
        <v>2.4530687999999999E-5</v>
      </c>
      <c r="F215">
        <f>'Transpo perseq'!I215*Pondération!$D$12</f>
        <v>4.17792E-6</v>
      </c>
      <c r="G215">
        <f>'Transpo perseq'!M215*Pondération!$D$15</f>
        <v>4.8831999999999997E-8</v>
      </c>
      <c r="H215">
        <f>'Transpo perseq'!N215*Pondération!$D$14</f>
        <v>4.1724160000000005E-6</v>
      </c>
      <c r="I215">
        <f>'Transpo perseq'!O215*Pondération!$D$16</f>
        <v>6.4108800000000002E-6</v>
      </c>
      <c r="J215">
        <f>'Transpo perseq'!P215*Pondération!$D$4</f>
        <v>2.3719679999999999E-7</v>
      </c>
      <c r="K215">
        <f>'Transpo perseq'!T215*Pondération!$D$5</f>
        <v>8.3657454044501855E-7</v>
      </c>
      <c r="L215">
        <f>'Transpo perseq'!X215*Pondération!$D$7</f>
        <v>3.9622010460204123E-8</v>
      </c>
      <c r="M215">
        <f>'Transpo perseq'!Y215*Pondération!$D$13</f>
        <v>4.174537614062035E-7</v>
      </c>
      <c r="N215">
        <f>'Transpo perseq'!Z215*Pondération!$D$3</f>
        <v>2.1854308466378811E-16</v>
      </c>
      <c r="O215">
        <f>'Transpo perseq'!AA215*Pondération!$D$6</f>
        <v>3.1484517076160655E-6</v>
      </c>
      <c r="P215">
        <f>'Transpo perseq'!AB215*Pondération!$D$8</f>
        <v>6.2560509892503229E-6</v>
      </c>
      <c r="Q215">
        <f>'Transpo perseq'!AC215*Pondération!$D$10</f>
        <v>1.6044528577745539E-5</v>
      </c>
      <c r="R215">
        <f>'Transpo perseq'!AD215*Pondération!$D$9</f>
        <v>9.9385988907229868E-8</v>
      </c>
      <c r="S215">
        <f>'Transpo perseq'!AE215*Pondération!$D$11</f>
        <v>6.4803971315246065E-8</v>
      </c>
      <c r="T215">
        <f t="shared" si="3"/>
        <v>7.2774084347364357E-5</v>
      </c>
    </row>
    <row r="216" spans="1:20" x14ac:dyDescent="0.3">
      <c r="A216" t="s">
        <v>1</v>
      </c>
      <c r="B216" t="s">
        <v>45</v>
      </c>
      <c r="C216" t="s">
        <v>70</v>
      </c>
      <c r="D216">
        <f>'Transpo perseq'!D216*Pondération!$D$17</f>
        <v>1.7939995420921217E-3</v>
      </c>
      <c r="E216">
        <f>'Transpo perseq'!E216*Pondération!$D$2</f>
        <v>9.7700979636484598E-3</v>
      </c>
      <c r="F216">
        <f>'Transpo perseq'!I216*Pondération!$D$12</f>
        <v>8.0116733023021653E-4</v>
      </c>
      <c r="G216">
        <f>'Transpo perseq'!M216*Pondération!$D$15</f>
        <v>4.269752748163262E-5</v>
      </c>
      <c r="H216">
        <f>'Transpo perseq'!N216*Pondération!$D$14</f>
        <v>4.1293633925492957E-4</v>
      </c>
      <c r="I216">
        <f>'Transpo perseq'!O216*Pondération!$D$16</f>
        <v>6.2308058735498358E-4</v>
      </c>
      <c r="J216">
        <f>'Transpo perseq'!P216*Pondération!$D$4</f>
        <v>2.0247556057609344E-4</v>
      </c>
      <c r="K216">
        <f>'Transpo perseq'!T216*Pondération!$D$5</f>
        <v>3.0750230397393313E-4</v>
      </c>
      <c r="L216">
        <f>'Transpo perseq'!X216*Pondération!$D$7</f>
        <v>7.4057878651247471E-4</v>
      </c>
      <c r="M216">
        <f>'Transpo perseq'!Y216*Pondération!$D$13</f>
        <v>8.0825617154608477E-5</v>
      </c>
      <c r="N216">
        <f>'Transpo perseq'!Z216*Pondération!$D$3</f>
        <v>8.0605471848961628E-6</v>
      </c>
      <c r="O216">
        <f>'Transpo perseq'!AA216*Pondération!$D$6</f>
        <v>2.5438571011399741E-3</v>
      </c>
      <c r="P216">
        <f>'Transpo perseq'!AB216*Pondération!$D$8</f>
        <v>9.8927340306653342E-4</v>
      </c>
      <c r="Q216">
        <f>'Transpo perseq'!AC216*Pondération!$D$10</f>
        <v>6.702721483747621E-3</v>
      </c>
      <c r="R216">
        <f>'Transpo perseq'!AD216*Pondération!$D$9</f>
        <v>5.8453913549998448E-3</v>
      </c>
      <c r="S216">
        <f>'Transpo perseq'!AE216*Pondération!$D$11</f>
        <v>1.4284788957737266E-3</v>
      </c>
      <c r="T216">
        <f t="shared" si="3"/>
        <v>3.2293144344192053E-2</v>
      </c>
    </row>
    <row r="217" spans="1:20" x14ac:dyDescent="0.3">
      <c r="A217" t="s">
        <v>1</v>
      </c>
      <c r="B217" t="s">
        <v>45</v>
      </c>
      <c r="C217" t="s">
        <v>72</v>
      </c>
      <c r="D217">
        <f>'Transpo perseq'!D217*Pondération!$D$17</f>
        <v>4.04736E-4</v>
      </c>
      <c r="E217">
        <f>'Transpo perseq'!E217*Pondération!$D$2</f>
        <v>2.1666528000000001E-3</v>
      </c>
      <c r="F217">
        <f>'Transpo perseq'!I217*Pondération!$D$12</f>
        <v>1.5052799999999998E-4</v>
      </c>
      <c r="G217">
        <f>'Transpo perseq'!M217*Pondération!$D$15</f>
        <v>6.0480000000000002E-7</v>
      </c>
      <c r="H217">
        <f>'Transpo perseq'!N217*Pondération!$D$14</f>
        <v>7.9564800000000001E-5</v>
      </c>
      <c r="I217">
        <f>'Transpo perseq'!O217*Pondération!$D$16</f>
        <v>1.205008E-4</v>
      </c>
      <c r="J217">
        <f>'Transpo perseq'!P217*Pondération!$D$4</f>
        <v>5.0438399999999995E-5</v>
      </c>
      <c r="K217">
        <f>'Transpo perseq'!T217*Pondération!$D$5</f>
        <v>6.8941442167717618E-5</v>
      </c>
      <c r="L217">
        <f>'Transpo perseq'!X217*Pondération!$D$7</f>
        <v>1.3667181164869169E-4</v>
      </c>
      <c r="M217">
        <f>'Transpo perseq'!Y217*Pondération!$D$13</f>
        <v>7.4487187550868623E-6</v>
      </c>
      <c r="N217">
        <f>'Transpo perseq'!Z217*Pondération!$D$3</f>
        <v>3.0209296103435736E-12</v>
      </c>
      <c r="O217">
        <f>'Transpo perseq'!AA217*Pondération!$D$6</f>
        <v>6.2811340973637365E-4</v>
      </c>
      <c r="P217">
        <f>'Transpo perseq'!AB217*Pondération!$D$8</f>
        <v>1.914566681923953E-4</v>
      </c>
      <c r="Q217">
        <f>'Transpo perseq'!AC217*Pondération!$D$10</f>
        <v>1.3110238093212935E-3</v>
      </c>
      <c r="R217">
        <f>'Transpo perseq'!AD217*Pondération!$D$9</f>
        <v>-6.7165627889665173E-5</v>
      </c>
      <c r="S217">
        <f>'Transpo perseq'!AE217*Pondération!$D$11</f>
        <v>9.1021037298189542E-5</v>
      </c>
      <c r="T217">
        <f t="shared" si="3"/>
        <v>5.3405368722510135E-3</v>
      </c>
    </row>
    <row r="218" spans="1:20" x14ac:dyDescent="0.3">
      <c r="A218" t="s">
        <v>1</v>
      </c>
      <c r="B218" t="s">
        <v>45</v>
      </c>
      <c r="C218" t="s">
        <v>58</v>
      </c>
      <c r="D218">
        <f>'Transpo perseq'!D218*Pondération!$D$17</f>
        <v>8.0252800000000012E-6</v>
      </c>
      <c r="E218">
        <f>'Transpo perseq'!E218*Pondération!$D$2</f>
        <v>7.0761599999999997E-5</v>
      </c>
      <c r="F218">
        <f>'Transpo perseq'!I218*Pondération!$D$12</f>
        <v>2.0797440000000001E-6</v>
      </c>
      <c r="G218">
        <f>'Transpo perseq'!M218*Pondération!$D$15</f>
        <v>1.9532799999999999E-8</v>
      </c>
      <c r="H218">
        <f>'Transpo perseq'!N218*Pondération!$D$14</f>
        <v>2.4958720000000002E-6</v>
      </c>
      <c r="I218">
        <f>'Transpo perseq'!O218*Pondération!$D$16</f>
        <v>3.6387679999999998E-6</v>
      </c>
      <c r="J218">
        <f>'Transpo perseq'!P218*Pondération!$D$4</f>
        <v>2.9547360000000002E-7</v>
      </c>
      <c r="K218">
        <f>'Transpo perseq'!T218*Pondération!$D$5</f>
        <v>2.3320863975082653E-6</v>
      </c>
      <c r="L218">
        <f>'Transpo perseq'!X218*Pondération!$D$7</f>
        <v>1.0708657292907465E-6</v>
      </c>
      <c r="M218">
        <f>'Transpo perseq'!Y218*Pondération!$D$13</f>
        <v>1.419185839794484E-7</v>
      </c>
      <c r="N218">
        <f>'Transpo perseq'!Z218*Pondération!$D$3</f>
        <v>2.6878480092152349E-15</v>
      </c>
      <c r="O218">
        <f>'Transpo perseq'!AA218*Pondération!$D$6</f>
        <v>1.3224510178024371E-5</v>
      </c>
      <c r="P218">
        <f>'Transpo perseq'!AB218*Pondération!$D$8</f>
        <v>6.490152796091563E-6</v>
      </c>
      <c r="Q218">
        <f>'Transpo perseq'!AC218*Pondération!$D$10</f>
        <v>3.8208228618227862E-5</v>
      </c>
      <c r="R218">
        <f>'Transpo perseq'!AD218*Pondération!$D$9</f>
        <v>1.0924933057742617E-6</v>
      </c>
      <c r="S218">
        <f>'Transpo perseq'!AE218*Pondération!$D$11</f>
        <v>6.8295676362854981E-6</v>
      </c>
      <c r="T218">
        <f t="shared" si="3"/>
        <v>1.5670609364786987E-4</v>
      </c>
    </row>
    <row r="219" spans="1:20" x14ac:dyDescent="0.3">
      <c r="A219" t="s">
        <v>1</v>
      </c>
      <c r="B219" t="s">
        <v>45</v>
      </c>
      <c r="C219" t="s">
        <v>75</v>
      </c>
      <c r="D219">
        <f>'Transpo perseq'!D219*Pondération!$D$17</f>
        <v>7.1324799999999993E-6</v>
      </c>
      <c r="E219">
        <f>'Transpo perseq'!E219*Pondération!$D$2</f>
        <v>2.5406784000000002E-5</v>
      </c>
      <c r="F219">
        <f>'Transpo perseq'!I219*Pondération!$D$12</f>
        <v>2.7095039999999997E-6</v>
      </c>
      <c r="G219">
        <f>'Transpo perseq'!M219*Pondération!$D$15</f>
        <v>2.25344E-8</v>
      </c>
      <c r="H219">
        <f>'Transpo perseq'!N219*Pondération!$D$14</f>
        <v>1.6860160000000001E-6</v>
      </c>
      <c r="I219">
        <f>'Transpo perseq'!O219*Pondération!$D$16</f>
        <v>2.5346720000000001E-6</v>
      </c>
      <c r="J219">
        <f>'Transpo perseq'!P219*Pondération!$D$4</f>
        <v>9.0993599999999989E-5</v>
      </c>
      <c r="K219">
        <f>'Transpo perseq'!T219*Pondération!$D$5</f>
        <v>1.2587256616011775E-6</v>
      </c>
      <c r="L219">
        <f>'Transpo perseq'!X219*Pondération!$D$7</f>
        <v>7.1059149841913614E-7</v>
      </c>
      <c r="M219">
        <f>'Transpo perseq'!Y219*Pondération!$D$13</f>
        <v>3.1105843104172178E-7</v>
      </c>
      <c r="N219">
        <f>'Transpo perseq'!Z219*Pondération!$D$3</f>
        <v>3.9976732004809073E-15</v>
      </c>
      <c r="O219">
        <f>'Transpo perseq'!AA219*Pondération!$D$6</f>
        <v>1.6714407513280942E-5</v>
      </c>
      <c r="P219">
        <f>'Transpo perseq'!AB219*Pondération!$D$8</f>
        <v>3.9174219901116181E-6</v>
      </c>
      <c r="Q219">
        <f>'Transpo perseq'!AC219*Pondération!$D$10</f>
        <v>1.6206543498486149E-5</v>
      </c>
      <c r="R219">
        <f>'Transpo perseq'!AD219*Pondération!$D$9</f>
        <v>1.9943351550205093E-5</v>
      </c>
      <c r="S219">
        <f>'Transpo perseq'!AE219*Pondération!$D$11</f>
        <v>6.0356282220401718E-6</v>
      </c>
      <c r="T219">
        <f t="shared" si="3"/>
        <v>1.9558331876918367E-4</v>
      </c>
    </row>
    <row r="220" spans="1:20" x14ac:dyDescent="0.3">
      <c r="A220" t="s">
        <v>1</v>
      </c>
      <c r="B220" t="s">
        <v>45</v>
      </c>
      <c r="C220" t="s">
        <v>56</v>
      </c>
      <c r="D220">
        <f>'Transpo perseq'!D220*Pondération!$D$17</f>
        <v>7.8169599999999996E-7</v>
      </c>
      <c r="E220">
        <f>'Transpo perseq'!E220*Pondération!$D$2</f>
        <v>2.9854656000000002E-6</v>
      </c>
      <c r="F220">
        <f>'Transpo perseq'!I220*Pondération!$D$12</f>
        <v>2.2671359999999998E-7</v>
      </c>
      <c r="G220">
        <f>'Transpo perseq'!M220*Pondération!$D$15</f>
        <v>1.7830400000000001E-7</v>
      </c>
      <c r="H220">
        <f>'Transpo perseq'!N220*Pondération!$D$14</f>
        <v>3.8551039999999998E-7</v>
      </c>
      <c r="I220">
        <f>'Transpo perseq'!O220*Pondération!$D$16</f>
        <v>5.3720800000000003E-7</v>
      </c>
      <c r="J220">
        <f>'Transpo perseq'!P220*Pondération!$D$4</f>
        <v>5.9639999999999997E-8</v>
      </c>
      <c r="K220">
        <f>'Transpo perseq'!T220*Pondération!$D$5</f>
        <v>2.7100863939631775E-7</v>
      </c>
      <c r="L220">
        <f>'Transpo perseq'!X220*Pondération!$D$7</f>
        <v>-1.1049724228036271E-6</v>
      </c>
      <c r="M220">
        <f>'Transpo perseq'!Y220*Pondération!$D$13</f>
        <v>1.432344940506843E-5</v>
      </c>
      <c r="N220">
        <f>'Transpo perseq'!Z220*Pondération!$D$3</f>
        <v>2.1946536910713934E-9</v>
      </c>
      <c r="O220">
        <f>'Transpo perseq'!AA220*Pondération!$D$6</f>
        <v>1.3352150017241992E-6</v>
      </c>
      <c r="P220">
        <f>'Transpo perseq'!AB220*Pondération!$D$8</f>
        <v>8.482213929534083E-7</v>
      </c>
      <c r="Q220">
        <f>'Transpo perseq'!AC220*Pondération!$D$10</f>
        <v>-5.8897114238744507E-7</v>
      </c>
      <c r="R220">
        <f>'Transpo perseq'!AD220*Pondération!$D$9</f>
        <v>3.2490521278419795E-8</v>
      </c>
      <c r="S220">
        <f>'Transpo perseq'!AE220*Pondération!$D$11</f>
        <v>2.7455754534614609E-5</v>
      </c>
      <c r="T220">
        <f t="shared" si="3"/>
        <v>4.7728928183535376E-5</v>
      </c>
    </row>
    <row r="221" spans="1:20" x14ac:dyDescent="0.3">
      <c r="A221" t="s">
        <v>1</v>
      </c>
      <c r="B221" t="s">
        <v>45</v>
      </c>
      <c r="C221" t="s">
        <v>57</v>
      </c>
      <c r="D221">
        <f>'Transpo perseq'!D221*Pondération!$D$17</f>
        <v>1.1904E-5</v>
      </c>
      <c r="E221">
        <f>'Transpo perseq'!E221*Pondération!$D$2</f>
        <v>4.6500480000000005E-5</v>
      </c>
      <c r="F221">
        <f>'Transpo perseq'!I221*Pondération!$D$12</f>
        <v>7.9257600000000002E-6</v>
      </c>
      <c r="G221">
        <f>'Transpo perseq'!M221*Pondération!$D$15</f>
        <v>9.2287999999999999E-8</v>
      </c>
      <c r="H221">
        <f>'Transpo perseq'!N221*Pondération!$D$14</f>
        <v>7.9091199999999999E-6</v>
      </c>
      <c r="I221">
        <f>'Transpo perseq'!O221*Pondération!$D$16</f>
        <v>1.2109440000000001E-5</v>
      </c>
      <c r="J221">
        <f>'Transpo perseq'!P221*Pondération!$D$4</f>
        <v>4.4985600000000003E-7</v>
      </c>
      <c r="K221">
        <f>'Transpo perseq'!T221*Pondération!$D$5</f>
        <v>1.5825491538107033E-6</v>
      </c>
      <c r="L221">
        <f>'Transpo perseq'!X221*Pondération!$D$7</f>
        <v>7.4953009080003138E-8</v>
      </c>
      <c r="M221">
        <f>'Transpo perseq'!Y221*Pondération!$D$13</f>
        <v>7.896978271859018E-7</v>
      </c>
      <c r="N221">
        <f>'Transpo perseq'!Z221*Pondération!$D$3</f>
        <v>4.1341823948154162E-16</v>
      </c>
      <c r="O221">
        <f>'Transpo perseq'!AA221*Pondération!$D$6</f>
        <v>5.9559302187838275E-6</v>
      </c>
      <c r="P221">
        <f>'Transpo perseq'!AB221*Pondération!$D$8</f>
        <v>1.1834579849833988E-5</v>
      </c>
      <c r="Q221">
        <f>'Transpo perseq'!AC221*Pondération!$D$10</f>
        <v>3.0351455723832821E-5</v>
      </c>
      <c r="R221">
        <f>'Transpo perseq'!AD221*Pondération!$D$9</f>
        <v>1.8800860538035143E-7</v>
      </c>
      <c r="S221">
        <f>'Transpo perseq'!AE221*Pondération!$D$11</f>
        <v>1.2258975740996946E-7</v>
      </c>
      <c r="T221">
        <f t="shared" si="3"/>
        <v>1.3779070814573101E-4</v>
      </c>
    </row>
    <row r="222" spans="1:20" x14ac:dyDescent="0.3">
      <c r="A222" t="s">
        <v>1</v>
      </c>
      <c r="B222" t="s">
        <v>46</v>
      </c>
      <c r="C222" t="s">
        <v>72</v>
      </c>
      <c r="D222">
        <f>'Transpo perseq'!D222*Pondération!$D$17</f>
        <v>7.9062399999999997E-5</v>
      </c>
      <c r="E222">
        <f>'Transpo perseq'!E222*Pondération!$D$2</f>
        <v>4.1783040000000003E-4</v>
      </c>
      <c r="F222">
        <f>'Transpo perseq'!I222*Pondération!$D$12</f>
        <v>2.9061119999999997E-5</v>
      </c>
      <c r="G222">
        <f>'Transpo perseq'!M222*Pondération!$D$15</f>
        <v>1.1782400000000001E-7</v>
      </c>
      <c r="H222">
        <f>'Transpo perseq'!N222*Pondération!$D$14</f>
        <v>1.5391999999999998E-5</v>
      </c>
      <c r="I222">
        <f>'Transpo perseq'!O222*Pondération!$D$16</f>
        <v>2.3269119999999999E-5</v>
      </c>
      <c r="J222">
        <f>'Transpo perseq'!P222*Pondération!$D$4</f>
        <v>9.8150399999999995E-6</v>
      </c>
      <c r="K222">
        <f>'Transpo perseq'!T222*Pondération!$D$5</f>
        <v>1.351768684116494E-5</v>
      </c>
      <c r="L222">
        <f>'Transpo perseq'!X222*Pondération!$D$7</f>
        <v>2.6618809297646003E-5</v>
      </c>
      <c r="M222">
        <f>'Transpo perseq'!Y222*Pondération!$D$13</f>
        <v>1.5324326553471735E-6</v>
      </c>
      <c r="N222">
        <f>'Transpo perseq'!Z222*Pondération!$D$3</f>
        <v>5.9032518037474932E-13</v>
      </c>
      <c r="O222">
        <f>'Transpo perseq'!AA222*Pondération!$D$6</f>
        <v>1.2149525954763997E-4</v>
      </c>
      <c r="P222">
        <f>'Transpo perseq'!AB222*Pondération!$D$8</f>
        <v>3.6927069203292484E-5</v>
      </c>
      <c r="Q222">
        <f>'Transpo perseq'!AC222*Pondération!$D$10</f>
        <v>2.5243490422558986E-4</v>
      </c>
      <c r="R222">
        <f>'Transpo perseq'!AD222*Pondération!$D$9</f>
        <v>2.9512421236199494E-5</v>
      </c>
      <c r="S222">
        <f>'Transpo perseq'!AE222*Pondération!$D$11</f>
        <v>1.7661136878010072E-5</v>
      </c>
      <c r="T222">
        <f t="shared" si="3"/>
        <v>1.074247624475215E-3</v>
      </c>
    </row>
    <row r="223" spans="1:20" x14ac:dyDescent="0.3">
      <c r="A223" t="s">
        <v>1</v>
      </c>
      <c r="B223" t="s">
        <v>46</v>
      </c>
      <c r="C223" t="s">
        <v>58</v>
      </c>
      <c r="D223">
        <f>'Transpo perseq'!D223*Pondération!$D$17</f>
        <v>4.1961599999999999E-7</v>
      </c>
      <c r="E223">
        <f>'Transpo perseq'!E223*Pondération!$D$2</f>
        <v>3.7065600000000004E-6</v>
      </c>
      <c r="F223">
        <f>'Transpo perseq'!I223*Pondération!$D$12</f>
        <v>1.0874879999999999E-7</v>
      </c>
      <c r="G223">
        <f>'Transpo perseq'!M223*Pondération!$D$15</f>
        <v>1.0214399999999999E-9</v>
      </c>
      <c r="H223">
        <f>'Transpo perseq'!N223*Pondération!$D$14</f>
        <v>1.3071359999999999E-7</v>
      </c>
      <c r="I223">
        <f>'Transpo perseq'!O223*Pondération!$D$16</f>
        <v>1.905456E-7</v>
      </c>
      <c r="J223">
        <f>'Transpo perseq'!P223*Pondération!$D$4</f>
        <v>1.5472320000000001E-8</v>
      </c>
      <c r="K223">
        <f>'Transpo perseq'!T223*Pondération!$D$5</f>
        <v>1.2197104589478383E-7</v>
      </c>
      <c r="L223">
        <f>'Transpo perseq'!X223*Pondération!$D$7</f>
        <v>5.6007621824829722E-8</v>
      </c>
      <c r="M223">
        <f>'Transpo perseq'!Y223*Pondération!$D$13</f>
        <v>7.4225200826070897E-9</v>
      </c>
      <c r="N223">
        <f>'Transpo perseq'!Z223*Pondération!$D$3</f>
        <v>1.4057782474975045E-16</v>
      </c>
      <c r="O223">
        <f>'Transpo perseq'!AA223*Pondération!$D$6</f>
        <v>6.9165848211424551E-7</v>
      </c>
      <c r="P223">
        <f>'Transpo perseq'!AB223*Pondération!$D$8</f>
        <v>3.3944313787089717E-7</v>
      </c>
      <c r="Q223">
        <f>'Transpo perseq'!AC223*Pondération!$D$10</f>
        <v>1.9983383168529263E-6</v>
      </c>
      <c r="R223">
        <f>'Transpo perseq'!AD223*Pondération!$D$9</f>
        <v>5.7138771222503216E-8</v>
      </c>
      <c r="S223">
        <f>'Transpo perseq'!AE223*Pondération!$D$11</f>
        <v>3.5719496005677321E-7</v>
      </c>
      <c r="T223">
        <f t="shared" si="3"/>
        <v>8.2018526160601447E-6</v>
      </c>
    </row>
    <row r="224" spans="1:20" x14ac:dyDescent="0.3">
      <c r="A224" t="s">
        <v>1</v>
      </c>
      <c r="B224" t="s">
        <v>46</v>
      </c>
      <c r="C224" t="s">
        <v>56</v>
      </c>
      <c r="D224">
        <f>'Transpo perseq'!D224*Pondération!$D$17</f>
        <v>9.0966399999999997E-6</v>
      </c>
      <c r="E224">
        <f>'Transpo perseq'!E224*Pondération!$D$2</f>
        <v>3.6391680000000005E-5</v>
      </c>
      <c r="F224">
        <f>'Transpo perseq'!I224*Pondération!$D$12</f>
        <v>6.6662399999999992E-6</v>
      </c>
      <c r="G224">
        <f>'Transpo perseq'!M224*Pondération!$D$15</f>
        <v>1.1468799999999999E-5</v>
      </c>
      <c r="H224">
        <f>'Transpo perseq'!N224*Pondération!$D$14</f>
        <v>2.813184E-6</v>
      </c>
      <c r="I224">
        <f>'Transpo perseq'!O224*Pondération!$D$16</f>
        <v>3.6447039999999997E-6</v>
      </c>
      <c r="J224">
        <f>'Transpo perseq'!P224*Pondération!$D$4</f>
        <v>6.6796799999999996E-7</v>
      </c>
      <c r="K224">
        <f>'Transpo perseq'!T224*Pondération!$D$5</f>
        <v>1.2782419028130496E-6</v>
      </c>
      <c r="L224">
        <f>'Transpo perseq'!X224*Pondération!$D$7</f>
        <v>3.6465786380998391E-6</v>
      </c>
      <c r="M224">
        <f>'Transpo perseq'!Y224*Pondération!$D$13</f>
        <v>2.4301588603844094E-5</v>
      </c>
      <c r="N224">
        <f>'Transpo perseq'!Z224*Pondération!$D$3</f>
        <v>1.5402936447031486E-7</v>
      </c>
      <c r="O224">
        <f>'Transpo perseq'!AA224*Pondération!$D$6</f>
        <v>2.3109775729669385E-5</v>
      </c>
      <c r="P224">
        <f>'Transpo perseq'!AB224*Pondération!$D$8</f>
        <v>5.9021607771692163E-6</v>
      </c>
      <c r="Q224">
        <f>'Transpo perseq'!AC224*Pondération!$D$10</f>
        <v>2.2671617082134293E-5</v>
      </c>
      <c r="R224">
        <f>'Transpo perseq'!AD224*Pondération!$D$9</f>
        <v>1.9760764717808986E-6</v>
      </c>
      <c r="S224">
        <f>'Transpo perseq'!AE224*Pondération!$D$11</f>
        <v>1.8012154505110589E-3</v>
      </c>
      <c r="T224">
        <f t="shared" si="3"/>
        <v>1.9550047350810401E-3</v>
      </c>
    </row>
    <row r="225" spans="1:20" x14ac:dyDescent="0.3">
      <c r="A225" t="s">
        <v>1</v>
      </c>
      <c r="B225" t="s">
        <v>46</v>
      </c>
      <c r="C225" t="s">
        <v>57</v>
      </c>
      <c r="D225">
        <f>'Transpo perseq'!D225*Pondération!$D$17</f>
        <v>5.0492800000000006E-7</v>
      </c>
      <c r="E225">
        <f>'Transpo perseq'!E225*Pondération!$D$2</f>
        <v>1.9678464000000002E-6</v>
      </c>
      <c r="F225">
        <f>'Transpo perseq'!I225*Pondération!$D$12</f>
        <v>3.3484799999999996E-7</v>
      </c>
      <c r="G225">
        <f>'Transpo perseq'!M225*Pondération!$D$15</f>
        <v>3.9110399999999998E-9</v>
      </c>
      <c r="H225">
        <f>'Transpo perseq'!N225*Pondération!$D$14</f>
        <v>3.348352E-7</v>
      </c>
      <c r="I225">
        <f>'Transpo perseq'!O225*Pondération!$D$16</f>
        <v>5.13464E-7</v>
      </c>
      <c r="J225">
        <f>'Transpo perseq'!P225*Pondération!$D$4</f>
        <v>1.905072E-8</v>
      </c>
      <c r="K225">
        <f>'Transpo perseq'!T225*Pondération!$D$5</f>
        <v>6.7149554786114681E-8</v>
      </c>
      <c r="L225">
        <f>'Transpo perseq'!X225*Pondération!$D$7</f>
        <v>3.1803506244860953E-9</v>
      </c>
      <c r="M225">
        <f>'Transpo perseq'!Y225*Pondération!$D$13</f>
        <v>3.3507873915579162E-8</v>
      </c>
      <c r="N225">
        <f>'Transpo perseq'!Z225*Pondération!$D$3</f>
        <v>1.7541856854681642E-17</v>
      </c>
      <c r="O225">
        <f>'Transpo perseq'!AA225*Pondération!$D$6</f>
        <v>2.5271762432495023E-7</v>
      </c>
      <c r="P225">
        <f>'Transpo perseq'!AB225*Pondération!$D$8</f>
        <v>5.0215613593012598E-7</v>
      </c>
      <c r="Q225">
        <f>'Transpo perseq'!AC225*Pondération!$D$10</f>
        <v>1.2878505126101342E-6</v>
      </c>
      <c r="R225">
        <f>'Transpo perseq'!AD225*Pondération!$D$9</f>
        <v>7.9774420382768344E-9</v>
      </c>
      <c r="S225">
        <f>'Transpo perseq'!AE225*Pondération!$D$11</f>
        <v>5.2016378837872149E-9</v>
      </c>
      <c r="T225">
        <f t="shared" si="3"/>
        <v>5.8386244921309951E-6</v>
      </c>
    </row>
    <row r="226" spans="1:20" x14ac:dyDescent="0.3">
      <c r="A226" t="s">
        <v>1</v>
      </c>
      <c r="B226" t="s">
        <v>47</v>
      </c>
      <c r="C226" t="s">
        <v>72</v>
      </c>
      <c r="D226">
        <f>'Transpo perseq'!D226*Pondération!$D$17</f>
        <v>9.34464E-5</v>
      </c>
      <c r="E226">
        <f>'Transpo perseq'!E226*Pondération!$D$2</f>
        <v>4.9196160000000006E-4</v>
      </c>
      <c r="F226">
        <f>'Transpo perseq'!I226*Pondération!$D$12</f>
        <v>3.4406399999999996E-5</v>
      </c>
      <c r="G226">
        <f>'Transpo perseq'!M226*Pondération!$D$15</f>
        <v>1.3932800000000002E-7</v>
      </c>
      <c r="H226">
        <f>'Transpo perseq'!N226*Pondération!$D$14</f>
        <v>1.8186240000000002E-5</v>
      </c>
      <c r="I226">
        <f>'Transpo perseq'!O226*Pondération!$D$16</f>
        <v>2.7483680000000001E-5</v>
      </c>
      <c r="J226">
        <f>'Transpo perseq'!P226*Pondération!$D$4</f>
        <v>1.15872E-5</v>
      </c>
      <c r="K226">
        <f>'Transpo perseq'!T226*Pondération!$D$5</f>
        <v>1.5975448085013127E-5</v>
      </c>
      <c r="L226">
        <f>'Transpo perseq'!X226*Pondération!$D$7</f>
        <v>3.145859280630892E-5</v>
      </c>
      <c r="M226">
        <f>'Transpo perseq'!Y226*Pondération!$D$13</f>
        <v>1.8110567745012131E-6</v>
      </c>
      <c r="N226">
        <f>'Transpo perseq'!Z226*Pondération!$D$3</f>
        <v>6.9765703135197301E-13</v>
      </c>
      <c r="O226">
        <f>'Transpo perseq'!AA226*Pondération!$D$6</f>
        <v>1.4358530673811966E-4</v>
      </c>
      <c r="P226">
        <f>'Transpo perseq'!AB226*Pondération!$D$8</f>
        <v>4.3641081785709374E-5</v>
      </c>
      <c r="Q226">
        <f>'Transpo perseq'!AC226*Pondération!$D$10</f>
        <v>2.9833215953933384E-4</v>
      </c>
      <c r="R226">
        <f>'Transpo perseq'!AD226*Pondération!$D$9</f>
        <v>3.4878316006417547E-5</v>
      </c>
      <c r="S226">
        <f>'Transpo perseq'!AE226*Pondération!$D$11</f>
        <v>2.0872252674015973E-5</v>
      </c>
      <c r="T226">
        <f t="shared" si="3"/>
        <v>1.2677650631070768E-3</v>
      </c>
    </row>
    <row r="227" spans="1:20" x14ac:dyDescent="0.3">
      <c r="A227" t="s">
        <v>1</v>
      </c>
      <c r="B227" t="s">
        <v>47</v>
      </c>
      <c r="C227" t="s">
        <v>58</v>
      </c>
      <c r="D227">
        <f>'Transpo perseq'!D227*Pondération!$D$17</f>
        <v>8.1740800000000001E-7</v>
      </c>
      <c r="E227">
        <f>'Transpo perseq'!E227*Pondération!$D$2</f>
        <v>7.0761599999999999E-6</v>
      </c>
      <c r="F227">
        <f>'Transpo perseq'!I227*Pondération!$D$12</f>
        <v>2.1657599999999999E-7</v>
      </c>
      <c r="G227">
        <f>'Transpo perseq'!M227*Pondération!$D$15</f>
        <v>2.02496E-9</v>
      </c>
      <c r="H227">
        <f>'Transpo perseq'!N227*Pondération!$D$14</f>
        <v>2.5669120000000002E-7</v>
      </c>
      <c r="I227">
        <f>'Transpo perseq'!O227*Pondération!$D$16</f>
        <v>3.7515520000000004E-7</v>
      </c>
      <c r="J227">
        <f>'Transpo perseq'!P227*Pondération!$D$4</f>
        <v>2.02776E-8</v>
      </c>
      <c r="K227">
        <f>'Transpo perseq'!T227*Pondération!$D$5</f>
        <v>2.2947229540427452E-7</v>
      </c>
      <c r="L227">
        <f>'Transpo perseq'!X227*Pondération!$D$7</f>
        <v>1.1954964467315981E-7</v>
      </c>
      <c r="M227">
        <f>'Transpo perseq'!Y227*Pondération!$D$13</f>
        <v>1.5532178386702543E-8</v>
      </c>
      <c r="N227">
        <f>'Transpo perseq'!Z227*Pondération!$D$3</f>
        <v>2.1341642898645414E-14</v>
      </c>
      <c r="O227">
        <f>'Transpo perseq'!AA227*Pondération!$D$6</f>
        <v>1.3107844707698774E-6</v>
      </c>
      <c r="P227">
        <f>'Transpo perseq'!AB227*Pondération!$D$8</f>
        <v>6.5917688802375492E-7</v>
      </c>
      <c r="Q227">
        <f>'Transpo perseq'!AC227*Pondération!$D$10</f>
        <v>3.8667835973968812E-6</v>
      </c>
      <c r="R227">
        <f>'Transpo perseq'!AD227*Pondération!$D$9</f>
        <v>6.7314135150976784E-8</v>
      </c>
      <c r="S227">
        <f>'Transpo perseq'!AE227*Pondération!$D$11</f>
        <v>3.8920052308125334E-7</v>
      </c>
      <c r="T227">
        <f t="shared" si="3"/>
        <v>1.5422106714228524E-5</v>
      </c>
    </row>
    <row r="228" spans="1:20" x14ac:dyDescent="0.3">
      <c r="A228" t="s">
        <v>1</v>
      </c>
      <c r="B228" t="s">
        <v>47</v>
      </c>
      <c r="C228" t="s">
        <v>56</v>
      </c>
      <c r="D228">
        <f>'Transpo perseq'!D228*Pondération!$D$17</f>
        <v>9.0966399999999997E-6</v>
      </c>
      <c r="E228">
        <f>'Transpo perseq'!E228*Pondération!$D$2</f>
        <v>3.6391680000000005E-5</v>
      </c>
      <c r="F228">
        <f>'Transpo perseq'!I228*Pondération!$D$12</f>
        <v>6.6662399999999992E-6</v>
      </c>
      <c r="G228">
        <f>'Transpo perseq'!M228*Pondération!$D$15</f>
        <v>1.1468799999999999E-5</v>
      </c>
      <c r="H228">
        <f>'Transpo perseq'!N228*Pondération!$D$14</f>
        <v>2.813184E-6</v>
      </c>
      <c r="I228">
        <f>'Transpo perseq'!O228*Pondération!$D$16</f>
        <v>3.6447039999999997E-6</v>
      </c>
      <c r="J228">
        <f>'Transpo perseq'!P228*Pondération!$D$4</f>
        <v>6.6796799999999996E-7</v>
      </c>
      <c r="K228">
        <f>'Transpo perseq'!T228*Pondération!$D$5</f>
        <v>1.2782419028130496E-6</v>
      </c>
      <c r="L228">
        <f>'Transpo perseq'!X228*Pondération!$D$7</f>
        <v>3.6465786380998391E-6</v>
      </c>
      <c r="M228">
        <f>'Transpo perseq'!Y228*Pondération!$D$13</f>
        <v>2.4301588603844094E-5</v>
      </c>
      <c r="N228">
        <f>'Transpo perseq'!Z228*Pondération!$D$3</f>
        <v>1.5402936447031486E-7</v>
      </c>
      <c r="O228">
        <f>'Transpo perseq'!AA228*Pondération!$D$6</f>
        <v>2.3109775729669385E-5</v>
      </c>
      <c r="P228">
        <f>'Transpo perseq'!AB228*Pondération!$D$8</f>
        <v>5.9021607771692163E-6</v>
      </c>
      <c r="Q228">
        <f>'Transpo perseq'!AC228*Pondération!$D$10</f>
        <v>2.2671617082134293E-5</v>
      </c>
      <c r="R228">
        <f>'Transpo perseq'!AD228*Pondération!$D$9</f>
        <v>1.9760764717808986E-6</v>
      </c>
      <c r="S228">
        <f>'Transpo perseq'!AE228*Pondération!$D$11</f>
        <v>1.8012154505110589E-3</v>
      </c>
      <c r="T228">
        <f t="shared" si="3"/>
        <v>1.9550047350810401E-3</v>
      </c>
    </row>
    <row r="229" spans="1:20" x14ac:dyDescent="0.3">
      <c r="A229" t="s">
        <v>1</v>
      </c>
      <c r="B229" t="s">
        <v>47</v>
      </c>
      <c r="C229" t="s">
        <v>57</v>
      </c>
      <c r="D229">
        <f>'Transpo perseq'!D229*Pondération!$D$17</f>
        <v>5.5155199999999999E-7</v>
      </c>
      <c r="E229">
        <f>'Transpo perseq'!E229*Pondération!$D$2</f>
        <v>2.1498048000000002E-6</v>
      </c>
      <c r="F229">
        <f>'Transpo perseq'!I229*Pondération!$D$12</f>
        <v>3.6556799999999996E-7</v>
      </c>
      <c r="G229">
        <f>'Transpo perseq'!M229*Pondération!$D$15</f>
        <v>4.2739200000000001E-9</v>
      </c>
      <c r="H229">
        <f>'Transpo perseq'!N229*Pondération!$D$14</f>
        <v>3.6561920000000002E-7</v>
      </c>
      <c r="I229">
        <f>'Transpo perseq'!O229*Pondération!$D$16</f>
        <v>5.6095199999999995E-7</v>
      </c>
      <c r="J229">
        <f>'Transpo perseq'!P229*Pondération!$D$4</f>
        <v>2.0788800000000001E-8</v>
      </c>
      <c r="K229">
        <f>'Transpo perseq'!T229*Pondération!$D$5</f>
        <v>7.336162813637198E-8</v>
      </c>
      <c r="L229">
        <f>'Transpo perseq'!X229*Pondération!$D$7</f>
        <v>3.4745680831389999E-9</v>
      </c>
      <c r="M229">
        <f>'Transpo perseq'!Y229*Pondération!$D$13</f>
        <v>3.6607721282218738E-8</v>
      </c>
      <c r="N229">
        <f>'Transpo perseq'!Z229*Pondération!$D$3</f>
        <v>1.9164671805995791E-17</v>
      </c>
      <c r="O229">
        <f>'Transpo perseq'!AA229*Pondération!$D$6</f>
        <v>2.7609678780875593E-7</v>
      </c>
      <c r="P229">
        <f>'Transpo perseq'!AB229*Pondération!$D$8</f>
        <v>5.4861110885758251E-7</v>
      </c>
      <c r="Q229">
        <f>'Transpo perseq'!AC229*Pondération!$D$10</f>
        <v>1.4069908684022629E-6</v>
      </c>
      <c r="R229">
        <f>'Transpo perseq'!AD229*Pondération!$D$9</f>
        <v>8.715443284108616E-9</v>
      </c>
      <c r="S229">
        <f>'Transpo perseq'!AE229*Pondération!$D$11</f>
        <v>5.6828466747987443E-9</v>
      </c>
      <c r="T229">
        <f t="shared" si="3"/>
        <v>6.3780996925484023E-6</v>
      </c>
    </row>
    <row r="230" spans="1:20" x14ac:dyDescent="0.3">
      <c r="A230" t="s">
        <v>1</v>
      </c>
      <c r="B230" t="s">
        <v>48</v>
      </c>
      <c r="C230" t="s">
        <v>72</v>
      </c>
      <c r="D230">
        <f>'Transpo perseq'!D230*Pondération!$D$17</f>
        <v>7.9855999999999986E-6</v>
      </c>
      <c r="E230">
        <f>'Transpo perseq'!E230*Pondération!$D$2</f>
        <v>4.2120000000000003E-5</v>
      </c>
      <c r="F230">
        <f>'Transpo perseq'!I230*Pondération!$D$12</f>
        <v>2.9368319999999996E-6</v>
      </c>
      <c r="G230">
        <f>'Transpo perseq'!M230*Pondération!$D$15</f>
        <v>1.1916800000000001E-8</v>
      </c>
      <c r="H230">
        <f>'Transpo perseq'!N230*Pondération!$D$14</f>
        <v>1.553408E-6</v>
      </c>
      <c r="I230">
        <f>'Transpo perseq'!O230*Pondération!$D$16</f>
        <v>2.3506560000000003E-6</v>
      </c>
      <c r="J230">
        <f>'Transpo perseq'!P230*Pondération!$D$4</f>
        <v>9.917280000000001E-7</v>
      </c>
      <c r="K230">
        <f>'Transpo perseq'!T230*Pondération!$D$5</f>
        <v>1.3654229132489837E-6</v>
      </c>
      <c r="L230">
        <f>'Transpo perseq'!X230*Pondération!$D$7</f>
        <v>2.6887686159238383E-6</v>
      </c>
      <c r="M230">
        <f>'Transpo perseq'!Y230*Pondération!$D$13</f>
        <v>1.5479117730779614E-7</v>
      </c>
      <c r="N230">
        <f>'Transpo perseq'!Z230*Pondération!$D$3</f>
        <v>5.9628806098459504E-14</v>
      </c>
      <c r="O230">
        <f>'Transpo perseq'!AA230*Pondération!$D$6</f>
        <v>1.2272248439155555E-5</v>
      </c>
      <c r="P230">
        <f>'Transpo perseq'!AB230*Pondération!$D$8</f>
        <v>3.7300069902315691E-6</v>
      </c>
      <c r="Q230">
        <f>'Transpo perseq'!AC230*Pondération!$D$10</f>
        <v>2.549847517430194E-5</v>
      </c>
      <c r="R230">
        <f>'Transpo perseq'!AD230*Pondération!$D$9</f>
        <v>2.9810526501211559E-6</v>
      </c>
      <c r="S230">
        <f>'Transpo perseq'!AE230*Pondération!$D$11</f>
        <v>1.7839532199993083E-6</v>
      </c>
      <c r="T230">
        <f t="shared" si="3"/>
        <v>1.0842486003991895E-4</v>
      </c>
    </row>
    <row r="231" spans="1:20" x14ac:dyDescent="0.3">
      <c r="A231" t="s">
        <v>1</v>
      </c>
      <c r="B231" t="s">
        <v>48</v>
      </c>
      <c r="C231" t="s">
        <v>56</v>
      </c>
      <c r="D231">
        <f>'Transpo perseq'!D231*Pondération!$D$17</f>
        <v>9.0966399999999997E-6</v>
      </c>
      <c r="E231">
        <f>'Transpo perseq'!E231*Pondération!$D$2</f>
        <v>3.6391680000000005E-5</v>
      </c>
      <c r="F231">
        <f>'Transpo perseq'!I231*Pondération!$D$12</f>
        <v>6.6662399999999992E-6</v>
      </c>
      <c r="G231">
        <f>'Transpo perseq'!M231*Pondération!$D$15</f>
        <v>1.1468799999999999E-5</v>
      </c>
      <c r="H231">
        <f>'Transpo perseq'!N231*Pondération!$D$14</f>
        <v>2.813184E-6</v>
      </c>
      <c r="I231">
        <f>'Transpo perseq'!O231*Pondération!$D$16</f>
        <v>3.6447039999999997E-6</v>
      </c>
      <c r="J231">
        <f>'Transpo perseq'!P231*Pondération!$D$4</f>
        <v>6.6796799999999996E-7</v>
      </c>
      <c r="K231">
        <f>'Transpo perseq'!T231*Pondération!$D$5</f>
        <v>1.2782419028130496E-6</v>
      </c>
      <c r="L231">
        <f>'Transpo perseq'!X231*Pondération!$D$7</f>
        <v>3.6465786380998391E-6</v>
      </c>
      <c r="M231">
        <f>'Transpo perseq'!Y231*Pondération!$D$13</f>
        <v>2.4301588603844094E-5</v>
      </c>
      <c r="N231">
        <f>'Transpo perseq'!Z231*Pondération!$D$3</f>
        <v>1.5402936447031486E-7</v>
      </c>
      <c r="O231">
        <f>'Transpo perseq'!AA231*Pondération!$D$6</f>
        <v>2.3109775729669385E-5</v>
      </c>
      <c r="P231">
        <f>'Transpo perseq'!AB231*Pondération!$D$8</f>
        <v>5.9021607771692163E-6</v>
      </c>
      <c r="Q231">
        <f>'Transpo perseq'!AC231*Pondération!$D$10</f>
        <v>2.2671617082134293E-5</v>
      </c>
      <c r="R231">
        <f>'Transpo perseq'!AD231*Pondération!$D$9</f>
        <v>1.9760764717808986E-6</v>
      </c>
      <c r="S231">
        <f>'Transpo perseq'!AE231*Pondération!$D$11</f>
        <v>1.8012154505110589E-3</v>
      </c>
      <c r="T231">
        <f t="shared" si="3"/>
        <v>1.9550047350810401E-3</v>
      </c>
    </row>
    <row r="232" spans="1:20" x14ac:dyDescent="0.3">
      <c r="A232" t="s">
        <v>1</v>
      </c>
      <c r="B232" t="s">
        <v>48</v>
      </c>
      <c r="C232" t="s">
        <v>57</v>
      </c>
      <c r="D232">
        <f>'Transpo perseq'!D232*Pondération!$D$17</f>
        <v>3.00576E-7</v>
      </c>
      <c r="E232">
        <f>'Transpo perseq'!E232*Pondération!$D$2</f>
        <v>1.1692512000000002E-6</v>
      </c>
      <c r="F232">
        <f>'Transpo perseq'!I232*Pondération!$D$12</f>
        <v>1.9968E-7</v>
      </c>
      <c r="G232">
        <f>'Transpo perseq'!M232*Pondération!$D$15</f>
        <v>2.3251199999999999E-9</v>
      </c>
      <c r="H232">
        <f>'Transpo perseq'!N232*Pondération!$D$14</f>
        <v>1.98912E-7</v>
      </c>
      <c r="I232">
        <f>'Transpo perseq'!O232*Pondération!$D$16</f>
        <v>3.0511039999999998E-7</v>
      </c>
      <c r="J232">
        <f>'Transpo perseq'!P232*Pondération!$D$4</f>
        <v>1.1314559999999999E-8</v>
      </c>
      <c r="K232">
        <f>'Transpo perseq'!T232*Pondération!$D$5</f>
        <v>3.9934757251654189E-8</v>
      </c>
      <c r="L232">
        <f>'Transpo perseq'!X232*Pondération!$D$7</f>
        <v>1.8913979484829215E-9</v>
      </c>
      <c r="M232">
        <f>'Transpo perseq'!Y232*Pondération!$D$13</f>
        <v>1.992759021411097E-8</v>
      </c>
      <c r="N232">
        <f>'Transpo perseq'!Z232*Pondération!$D$3</f>
        <v>1.043238182987671E-17</v>
      </c>
      <c r="O232">
        <f>'Transpo perseq'!AA232*Pondération!$D$6</f>
        <v>1.5029462239589541E-7</v>
      </c>
      <c r="P232">
        <f>'Transpo perseq'!AB232*Pondération!$D$8</f>
        <v>2.9863911167650641E-7</v>
      </c>
      <c r="Q232">
        <f>'Transpo perseq'!AC232*Pondération!$D$10</f>
        <v>7.6590228723510128E-7</v>
      </c>
      <c r="R232">
        <f>'Transpo perseq'!AD232*Pondération!$D$9</f>
        <v>4.7442937232042818E-9</v>
      </c>
      <c r="S232">
        <f>'Transpo perseq'!AE232*Pondération!$D$11</f>
        <v>3.0934850850718342E-9</v>
      </c>
      <c r="T232">
        <f t="shared" si="3"/>
        <v>3.4715968255404597E-6</v>
      </c>
    </row>
    <row r="233" spans="1:20" x14ac:dyDescent="0.3">
      <c r="A233" t="s">
        <v>4</v>
      </c>
      <c r="B233" t="s">
        <v>49</v>
      </c>
      <c r="C233" t="s">
        <v>56</v>
      </c>
      <c r="D233">
        <f>'Transpo perseq'!D233*Pondération!$D$17</f>
        <v>1.4398729388268737E-3</v>
      </c>
      <c r="E233">
        <f>'Transpo perseq'!E233*Pondération!$D$2</f>
        <v>8.0692016480108878E-3</v>
      </c>
      <c r="F233">
        <f>'Transpo perseq'!I233*Pondération!$D$12</f>
        <v>1.3146961359813182E-3</v>
      </c>
      <c r="G233">
        <f>'Transpo perseq'!M233*Pondération!$D$15</f>
        <v>8.7325138278607488E-4</v>
      </c>
      <c r="H233">
        <f>'Transpo perseq'!N233*Pondération!$D$14</f>
        <v>6.2033041038313209E-4</v>
      </c>
      <c r="I233">
        <f>'Transpo perseq'!O233*Pondération!$D$16</f>
        <v>8.4519049704933529E-4</v>
      </c>
      <c r="J233">
        <f>'Transpo perseq'!P233*Pondération!$D$4</f>
        <v>1.580038612590995E-4</v>
      </c>
      <c r="K233">
        <f>'Transpo perseq'!T233*Pondération!$D$5</f>
        <v>5.4007576805102328E-4</v>
      </c>
      <c r="L233">
        <f>'Transpo perseq'!X233*Pondération!$D$7</f>
        <v>-1.1863679999999999E-3</v>
      </c>
      <c r="M233">
        <f>'Transpo perseq'!Y233*Pondération!$D$13</f>
        <v>1.7023360000000001E-2</v>
      </c>
      <c r="N233">
        <f>'Transpo perseq'!Z233*Pondération!$D$3</f>
        <v>1.3023840000000002E-5</v>
      </c>
      <c r="O233">
        <f>'Transpo perseq'!AA233*Pondération!$D$6</f>
        <v>2.9675519999999996E-3</v>
      </c>
      <c r="P233">
        <f>'Transpo perseq'!AB233*Pondération!$D$8</f>
        <v>1.3919360000000001E-3</v>
      </c>
      <c r="Q233">
        <f>'Transpo perseq'!AC233*Pondération!$D$10</f>
        <v>2.5825280000000002E-3</v>
      </c>
      <c r="R233">
        <f>'Transpo perseq'!AD233*Pondération!$D$9</f>
        <v>1.5824800000000002E-4</v>
      </c>
      <c r="S233">
        <f>'Transpo perseq'!AE233*Pondération!$D$11</f>
        <v>0.16066879999999997</v>
      </c>
      <c r="T233">
        <f t="shared" si="3"/>
        <v>0.19747970248234772</v>
      </c>
    </row>
    <row r="234" spans="1:20" x14ac:dyDescent="0.3">
      <c r="A234" t="s">
        <v>4</v>
      </c>
      <c r="B234" t="s">
        <v>49</v>
      </c>
      <c r="C234" t="s">
        <v>57</v>
      </c>
      <c r="D234">
        <f>'Transpo perseq'!D234*Pondération!$D$17</f>
        <v>2.0909535550224642E-3</v>
      </c>
      <c r="E234">
        <f>'Transpo perseq'!E234*Pondération!$D$2</f>
        <v>8.1552683000587437E-3</v>
      </c>
      <c r="F234">
        <f>'Transpo perseq'!I234*Pondération!$D$12</f>
        <v>1.3915228156571812E-3</v>
      </c>
      <c r="G234">
        <f>'Transpo perseq'!M234*Pondération!$D$15</f>
        <v>1.6202073286739963E-5</v>
      </c>
      <c r="H234">
        <f>'Transpo perseq'!N234*Pondération!$D$14</f>
        <v>1.3868801137492536E-3</v>
      </c>
      <c r="I234">
        <f>'Transpo perseq'!O234*Pondération!$D$16</f>
        <v>2.1272130572350715E-3</v>
      </c>
      <c r="J234">
        <f>'Transpo perseq'!P234*Pondération!$D$4</f>
        <v>7.8885707064194237E-5</v>
      </c>
      <c r="K234">
        <f>'Transpo perseq'!T234*Pondération!$D$5</f>
        <v>2.7819858408992569E-4</v>
      </c>
      <c r="L234">
        <f>'Transpo perseq'!X234*Pondération!$D$7</f>
        <v>1.3146239999999999E-5</v>
      </c>
      <c r="M234">
        <f>'Transpo perseq'!Y234*Pondération!$D$13</f>
        <v>1.384736E-4</v>
      </c>
      <c r="N234">
        <f>'Transpo perseq'!Z234*Pondération!$D$3</f>
        <v>7.2691200000000002E-14</v>
      </c>
      <c r="O234">
        <f>'Transpo perseq'!AA234*Pondération!$D$6</f>
        <v>1.0465279999999999E-3</v>
      </c>
      <c r="P234">
        <f>'Transpo perseq'!AB234*Pondération!$D$8</f>
        <v>2.0802560000000004E-3</v>
      </c>
      <c r="Q234">
        <f>'Transpo perseq'!AC234*Pondération!$D$10</f>
        <v>5.338111999999999E-3</v>
      </c>
      <c r="R234">
        <f>'Transpo perseq'!AD234*Pondération!$D$9</f>
        <v>3.3099199999999996E-5</v>
      </c>
      <c r="S234">
        <f>'Transpo perseq'!AE234*Pondération!$D$11</f>
        <v>2.1513280000000001E-5</v>
      </c>
      <c r="T234">
        <f t="shared" si="3"/>
        <v>2.4196252526236264E-2</v>
      </c>
    </row>
    <row r="235" spans="1:20" x14ac:dyDescent="0.3">
      <c r="A235" t="s">
        <v>147</v>
      </c>
      <c r="B235" t="s">
        <v>50</v>
      </c>
      <c r="C235" t="s">
        <v>96</v>
      </c>
      <c r="D235">
        <v>0.49738743062918872</v>
      </c>
      <c r="E235">
        <v>3.4057372417543448</v>
      </c>
      <c r="F235">
        <v>4.6269778067965843</v>
      </c>
      <c r="G235">
        <v>2.9432297150963471E-3</v>
      </c>
      <c r="H235">
        <v>0.12577059191939402</v>
      </c>
      <c r="I235">
        <v>0.19116565551483627</v>
      </c>
      <c r="J235">
        <v>0.23976763079833041</v>
      </c>
      <c r="K235">
        <v>0.62556385454443397</v>
      </c>
      <c r="L235">
        <v>1.8611078807909822E-2</v>
      </c>
      <c r="M235">
        <v>2.7779742757202226E-3</v>
      </c>
      <c r="N235">
        <v>9.7085066992000013E-11</v>
      </c>
      <c r="O235">
        <v>0.43426897992180863</v>
      </c>
      <c r="P235">
        <v>0.48539810046714715</v>
      </c>
      <c r="Q235">
        <v>18.074397165459061</v>
      </c>
      <c r="R235">
        <v>4.0917945923657086E-2</v>
      </c>
      <c r="S235">
        <v>1.0108555881140813E-2</v>
      </c>
      <c r="T235">
        <f t="shared" si="3"/>
        <v>28.781793242505735</v>
      </c>
    </row>
    <row r="236" spans="1:20" x14ac:dyDescent="0.3">
      <c r="A236" t="s">
        <v>147</v>
      </c>
      <c r="B236" t="s">
        <v>50</v>
      </c>
      <c r="C236" t="s">
        <v>97</v>
      </c>
      <c r="D236">
        <v>4.1580016434021125</v>
      </c>
      <c r="E236">
        <v>23.739991949875876</v>
      </c>
      <c r="F236">
        <v>1.0684665856484218E-3</v>
      </c>
      <c r="G236">
        <v>0</v>
      </c>
      <c r="H236">
        <v>2.7312867349659444</v>
      </c>
      <c r="I236">
        <v>4.1468242196295249</v>
      </c>
      <c r="J236">
        <v>0</v>
      </c>
      <c r="K236">
        <v>6.5995954620451422E-2</v>
      </c>
      <c r="L236">
        <v>0</v>
      </c>
      <c r="M236">
        <v>0</v>
      </c>
      <c r="N236">
        <v>0</v>
      </c>
      <c r="O236">
        <v>1.5706709591982031</v>
      </c>
      <c r="P236">
        <v>5.8441461008814519</v>
      </c>
      <c r="Q236">
        <v>0</v>
      </c>
      <c r="R236">
        <v>0</v>
      </c>
      <c r="S236">
        <v>0</v>
      </c>
      <c r="T236">
        <f t="shared" si="3"/>
        <v>42.25798602915922</v>
      </c>
    </row>
    <row r="237" spans="1:20" x14ac:dyDescent="0.3">
      <c r="A237" t="s">
        <v>147</v>
      </c>
      <c r="B237" t="s">
        <v>51</v>
      </c>
      <c r="C237" t="s">
        <v>98</v>
      </c>
      <c r="D237">
        <f>'Transpo perseq'!D237*Pondération!$D$17</f>
        <v>1.1606400000000001E-3</v>
      </c>
      <c r="E237">
        <f>'Transpo perseq'!E237*Pondération!$D$2</f>
        <v>4.8185280000000007E-3</v>
      </c>
      <c r="F237">
        <f>'Transpo perseq'!I237*Pondération!$D$12</f>
        <v>1.6803839999999998E-3</v>
      </c>
      <c r="G237">
        <f>'Transpo perseq'!M237*Pondération!$D$15</f>
        <v>2.75968E-3</v>
      </c>
      <c r="H237">
        <f>'Transpo perseq'!N237*Pondération!$D$14</f>
        <v>3.2441600000000001E-4</v>
      </c>
      <c r="I237">
        <f>'Transpo perseq'!O237*Pondération!$D$16</f>
        <v>3.7456160000000002E-4</v>
      </c>
      <c r="J237">
        <f>'Transpo perseq'!P237*Pondération!$D$4</f>
        <v>1.1621279999999999E-4</v>
      </c>
      <c r="K237">
        <f>'Transpo perseq'!T237*Pondération!$D$5</f>
        <v>1.9518719999999997E-4</v>
      </c>
      <c r="L237">
        <f>'Transpo perseq'!X237*Pondération!$D$7</f>
        <v>9.7795200000000003E-4</v>
      </c>
      <c r="M237">
        <f>'Transpo perseq'!Y237*Pondération!$D$13</f>
        <v>2.5280959999999999E-4</v>
      </c>
      <c r="N237">
        <f>'Transpo perseq'!Z237*Pondération!$D$3</f>
        <v>1.706224E-5</v>
      </c>
      <c r="O237">
        <f>'Transpo perseq'!AA237*Pondération!$D$6</f>
        <v>7.7271039999999994E-4</v>
      </c>
      <c r="P237">
        <f>'Transpo perseq'!AB237*Pondération!$D$8</f>
        <v>5.6365760000000006E-4</v>
      </c>
      <c r="Q237">
        <f>'Transpo perseq'!AC237*Pondération!$D$10</f>
        <v>4.6325760000000002E-3</v>
      </c>
      <c r="R237">
        <f>'Transpo perseq'!AD237*Pondération!$D$9</f>
        <v>2.1864799999999998E-3</v>
      </c>
      <c r="S237">
        <f>'Transpo perseq'!AE237*Pondération!$D$11</f>
        <v>2.0968639999999999E-3</v>
      </c>
      <c r="T237">
        <f t="shared" si="3"/>
        <v>2.2929721440000002E-2</v>
      </c>
    </row>
    <row r="238" spans="1:20" x14ac:dyDescent="0.3">
      <c r="A238" t="s">
        <v>6</v>
      </c>
      <c r="B238" t="s">
        <v>50</v>
      </c>
      <c r="C238" t="s">
        <v>96</v>
      </c>
      <c r="D238">
        <v>3.4817120144043212</v>
      </c>
      <c r="E238">
        <v>23.840160692280417</v>
      </c>
      <c r="F238">
        <v>32.388844647576086</v>
      </c>
      <c r="G238">
        <v>2.0602608005674431E-2</v>
      </c>
      <c r="H238">
        <v>0.88039414343575806</v>
      </c>
      <c r="I238">
        <v>1.338159588603854</v>
      </c>
      <c r="J238">
        <v>1.6783734155883128</v>
      </c>
      <c r="K238">
        <v>4.3789469818110378</v>
      </c>
      <c r="L238">
        <v>0.13027755165536878</v>
      </c>
      <c r="M238">
        <v>1.9445819930041561E-2</v>
      </c>
      <c r="N238">
        <v>6.7959546894400003E-10</v>
      </c>
      <c r="O238">
        <v>3.0398828594526606</v>
      </c>
      <c r="P238">
        <v>3.3977867032700302</v>
      </c>
      <c r="Q238">
        <v>126.52078015821341</v>
      </c>
      <c r="R238">
        <v>0.28642562146559958</v>
      </c>
      <c r="S238">
        <v>7.0759891167985686E-2</v>
      </c>
      <c r="T238">
        <f t="shared" si="3"/>
        <v>201.47255269754018</v>
      </c>
    </row>
    <row r="239" spans="1:20" x14ac:dyDescent="0.3">
      <c r="A239" t="s">
        <v>6</v>
      </c>
      <c r="B239" t="s">
        <v>50</v>
      </c>
      <c r="C239" t="s">
        <v>97</v>
      </c>
      <c r="D239">
        <v>29.106011503814784</v>
      </c>
      <c r="E239">
        <v>166.1799436491311</v>
      </c>
      <c r="F239">
        <v>7.4792660995389526E-3</v>
      </c>
      <c r="G239">
        <v>0</v>
      </c>
      <c r="H239">
        <v>19.119007144761611</v>
      </c>
      <c r="I239">
        <v>29.02776953740668</v>
      </c>
      <c r="J239">
        <v>0</v>
      </c>
      <c r="K239">
        <v>0.46197168234315988</v>
      </c>
      <c r="L239">
        <v>0</v>
      </c>
      <c r="M239">
        <v>0</v>
      </c>
      <c r="N239">
        <v>0</v>
      </c>
      <c r="O239">
        <v>10.994696714387421</v>
      </c>
      <c r="P239">
        <v>40.909022706170155</v>
      </c>
      <c r="Q239">
        <v>0</v>
      </c>
      <c r="R239">
        <v>0</v>
      </c>
      <c r="S239">
        <v>0</v>
      </c>
      <c r="T239">
        <f t="shared" si="3"/>
        <v>295.80590220411443</v>
      </c>
    </row>
    <row r="240" spans="1:20" x14ac:dyDescent="0.3">
      <c r="A240" t="s">
        <v>6</v>
      </c>
      <c r="B240" t="s">
        <v>51</v>
      </c>
      <c r="C240" t="s">
        <v>98</v>
      </c>
      <c r="D240">
        <f>'Transpo perseq'!D240*Pondération!$D$17</f>
        <v>8.1244799999999999E-3</v>
      </c>
      <c r="E240">
        <f>'Transpo perseq'!E240*Pondération!$D$2</f>
        <v>3.3729696000000003E-2</v>
      </c>
      <c r="F240">
        <f>'Transpo perseq'!I240*Pondération!$D$12</f>
        <v>1.1762687999999999E-2</v>
      </c>
      <c r="G240">
        <f>'Transpo perseq'!M240*Pondération!$D$15</f>
        <v>1.931776E-2</v>
      </c>
      <c r="H240">
        <f>'Transpo perseq'!N240*Pondération!$D$14</f>
        <v>2.2709119999999999E-3</v>
      </c>
      <c r="I240">
        <f>'Transpo perseq'!O240*Pondération!$D$16</f>
        <v>2.6219312000000006E-3</v>
      </c>
      <c r="J240">
        <f>'Transpo perseq'!P240*Pondération!$D$4</f>
        <v>8.1348959999999991E-4</v>
      </c>
      <c r="K240">
        <f>'Transpo perseq'!T240*Pondération!$D$5</f>
        <v>1.3663103999999998E-3</v>
      </c>
      <c r="L240">
        <f>'Transpo perseq'!X240*Pondération!$D$7</f>
        <v>6.8456639999999987E-3</v>
      </c>
      <c r="M240">
        <f>'Transpo perseq'!Y240*Pondération!$D$13</f>
        <v>1.7696672000000002E-3</v>
      </c>
      <c r="N240">
        <f>'Transpo perseq'!Z240*Pondération!$D$3</f>
        <v>1.1943568E-4</v>
      </c>
      <c r="O240">
        <f>'Transpo perseq'!AA240*Pondération!$D$6</f>
        <v>5.4089728E-3</v>
      </c>
      <c r="P240">
        <f>'Transpo perseq'!AB240*Pondération!$D$8</f>
        <v>3.9456032000000007E-3</v>
      </c>
      <c r="Q240">
        <f>'Transpo perseq'!AC240*Pondération!$D$10</f>
        <v>3.2428031999999996E-2</v>
      </c>
      <c r="R240">
        <f>'Transpo perseq'!AD240*Pondération!$D$9</f>
        <v>1.530536E-2</v>
      </c>
      <c r="S240">
        <f>'Transpo perseq'!AE240*Pondération!$D$11</f>
        <v>1.4678047999999999E-2</v>
      </c>
      <c r="T240">
        <f t="shared" si="3"/>
        <v>0.16050805007999996</v>
      </c>
    </row>
    <row r="241" spans="1:20" x14ac:dyDescent="0.3">
      <c r="A241" t="s">
        <v>7</v>
      </c>
      <c r="B241" t="s">
        <v>52</v>
      </c>
      <c r="C241" t="s">
        <v>99</v>
      </c>
      <c r="D241">
        <f>'Transpo perseq'!D241*Pondération!$D$17</f>
        <v>2.2220799999999999E-5</v>
      </c>
      <c r="E241">
        <f>'Transpo perseq'!E241*Pondération!$D$2</f>
        <v>7.312032E-5</v>
      </c>
      <c r="F241">
        <f>'Transpo perseq'!I241*Pondération!$D$12</f>
        <v>9.5846399999999991E-6</v>
      </c>
      <c r="G241">
        <f>'Transpo perseq'!M241*Pondération!$D$15</f>
        <v>8.1535999999999996E-8</v>
      </c>
      <c r="H241">
        <f>'Transpo perseq'!N241*Pondération!$D$14</f>
        <v>7.8144000000000009E-6</v>
      </c>
      <c r="I241">
        <f>'Transpo perseq'!O241*Pondération!$D$16</f>
        <v>1.1931360000000001E-5</v>
      </c>
      <c r="J241">
        <f>'Transpo perseq'!P241*Pondération!$D$4</f>
        <v>3.9191999999999997E-6</v>
      </c>
      <c r="K241">
        <f>'Transpo perseq'!T241*Pondération!$D$5</f>
        <v>2.7526399999999998E-5</v>
      </c>
      <c r="L241">
        <f>'Transpo perseq'!X241*Pondération!$D$7</f>
        <v>4.8416639999999994E-7</v>
      </c>
      <c r="M241">
        <f>'Transpo perseq'!Y241*Pondération!$D$13</f>
        <v>7.2412800000000001E-7</v>
      </c>
      <c r="N241">
        <f>'Transpo perseq'!Z241*Pondération!$D$3</f>
        <v>1.2720960000000001E-14</v>
      </c>
      <c r="O241">
        <f>'Transpo perseq'!AA241*Pondération!$D$6</f>
        <v>3.7130240000000002E-5</v>
      </c>
      <c r="P241">
        <f>'Transpo perseq'!AB241*Pondération!$D$8</f>
        <v>1.843168E-5</v>
      </c>
      <c r="Q241">
        <f>'Transpo perseq'!AC241*Pondération!$D$10</f>
        <v>4.7390719999999995E-5</v>
      </c>
      <c r="R241">
        <f>'Transpo perseq'!AD241*Pondération!$D$9</f>
        <v>3.1287199999999997E-7</v>
      </c>
      <c r="S241">
        <f>'Transpo perseq'!AE241*Pondération!$D$11</f>
        <v>2.2194080000000001E-6</v>
      </c>
      <c r="T241">
        <f t="shared" si="3"/>
        <v>2.6289187041272103E-4</v>
      </c>
    </row>
    <row r="242" spans="1:20" x14ac:dyDescent="0.3">
      <c r="A242" t="s">
        <v>7</v>
      </c>
      <c r="B242" t="s">
        <v>52</v>
      </c>
      <c r="C242" t="s">
        <v>100</v>
      </c>
      <c r="D242">
        <f>'Transpo perseq'!D242*Pondération!$D$17</f>
        <v>1.3391999999999999E-4</v>
      </c>
      <c r="E242">
        <f>'Transpo perseq'!E242*Pondération!$D$2</f>
        <v>4.4141760000000009E-4</v>
      </c>
      <c r="F242">
        <f>'Transpo perseq'!I242*Pondération!$D$12</f>
        <v>1.7848319999999999E-3</v>
      </c>
      <c r="G242">
        <f>'Transpo perseq'!M242*Pondération!$D$15</f>
        <v>4.9280000000000007E-7</v>
      </c>
      <c r="H242">
        <f>'Transpo perseq'!N242*Pondération!$D$14</f>
        <v>4.7123200000000003E-5</v>
      </c>
      <c r="I242">
        <f>'Transpo perseq'!O242*Pondération!$D$16</f>
        <v>7.1825599999999999E-5</v>
      </c>
      <c r="J242">
        <f>'Transpo perseq'!P242*Pondération!$D$4</f>
        <v>2.365152E-5</v>
      </c>
      <c r="K242">
        <f>'Transpo perseq'!T242*Pondération!$D$5</f>
        <v>1.6574720000000001E-4</v>
      </c>
      <c r="L242">
        <f>'Transpo perseq'!X242*Pondération!$D$7</f>
        <v>2.9418719999999998E-6</v>
      </c>
      <c r="M242">
        <f>'Transpo perseq'!Y242*Pondération!$D$13</f>
        <v>4.3701760000000003E-6</v>
      </c>
      <c r="N242">
        <f>'Transpo perseq'!Z242*Pondération!$D$3</f>
        <v>7.693152000000001E-14</v>
      </c>
      <c r="O242">
        <f>'Transpo perseq'!AA242*Pondération!$D$6</f>
        <v>2.236416E-4</v>
      </c>
      <c r="P242">
        <f>'Transpo perseq'!AB242*Pondération!$D$8</f>
        <v>1.10896E-4</v>
      </c>
      <c r="Q242">
        <f>'Transpo perseq'!AC242*Pondération!$D$10</f>
        <v>2.8620799999999998E-4</v>
      </c>
      <c r="R242">
        <f>'Transpo perseq'!AD242*Pondération!$D$9</f>
        <v>1.88448E-6</v>
      </c>
      <c r="S242">
        <f>'Transpo perseq'!AE242*Pondération!$D$11</f>
        <v>1.3398144E-5</v>
      </c>
      <c r="T242">
        <f t="shared" si="3"/>
        <v>3.3123501920769315E-3</v>
      </c>
    </row>
    <row r="243" spans="1:20" x14ac:dyDescent="0.3">
      <c r="A243" t="s">
        <v>7</v>
      </c>
      <c r="B243" t="s">
        <v>52</v>
      </c>
      <c r="C243" t="s">
        <v>101</v>
      </c>
      <c r="D243">
        <f>'Transpo perseq'!D243*Pondération!$D$17</f>
        <v>2.8867200000000002E-4</v>
      </c>
      <c r="E243">
        <f>'Transpo perseq'!E243*Pondération!$D$2</f>
        <v>1.2838176E-3</v>
      </c>
      <c r="F243">
        <f>'Transpo perseq'!I243*Pondération!$D$12</f>
        <v>1.410048E-4</v>
      </c>
      <c r="G243">
        <f>'Transpo perseq'!M243*Pondération!$D$15</f>
        <v>1.5366400000000001E-6</v>
      </c>
      <c r="H243">
        <f>'Transpo perseq'!N243*Pondération!$D$14</f>
        <v>1.5628800000000001E-4</v>
      </c>
      <c r="I243">
        <f>'Transpo perseq'!O243*Pondération!$D$16</f>
        <v>2.368464E-4</v>
      </c>
      <c r="J243">
        <f>'Transpo perseq'!P243*Pondération!$D$4</f>
        <v>5.82768E-3</v>
      </c>
      <c r="K243">
        <f>'Transpo perseq'!T243*Pondération!$D$5</f>
        <v>4.3571199999999997E-2</v>
      </c>
      <c r="L243">
        <f>'Transpo perseq'!X243*Pondération!$D$7</f>
        <v>1.867728E-5</v>
      </c>
      <c r="M243">
        <f>'Transpo perseq'!Y243*Pondération!$D$13</f>
        <v>1.1560639999999998E-5</v>
      </c>
      <c r="N243">
        <f>'Transpo perseq'!Z243*Pondération!$D$3</f>
        <v>6.5018240000000003E-13</v>
      </c>
      <c r="O243">
        <f>'Transpo perseq'!AA243*Pondération!$D$6</f>
        <v>2.4657919999999999E-4</v>
      </c>
      <c r="P243">
        <f>'Transpo perseq'!AB243*Pondération!$D$8</f>
        <v>3.2351040000000003E-4</v>
      </c>
      <c r="Q243">
        <f>'Transpo perseq'!AC243*Pondération!$D$10</f>
        <v>6.6426879999999992E-4</v>
      </c>
      <c r="R243">
        <f>'Transpo perseq'!AD243*Pondération!$D$9</f>
        <v>9.3740799999999992E-6</v>
      </c>
      <c r="S243">
        <f>'Transpo perseq'!AE243*Pondération!$D$11</f>
        <v>1.5522239999999998E-5</v>
      </c>
      <c r="T243">
        <f t="shared" si="3"/>
        <v>5.2796538080650171E-2</v>
      </c>
    </row>
    <row r="244" spans="1:20" x14ac:dyDescent="0.3">
      <c r="A244" t="s">
        <v>7</v>
      </c>
      <c r="B244" t="s">
        <v>52</v>
      </c>
      <c r="C244" t="s">
        <v>102</v>
      </c>
      <c r="D244">
        <f>'Transpo perseq'!D244*Pondération!$D$17</f>
        <v>8.1840000000000002E-5</v>
      </c>
      <c r="E244">
        <f>'Transpo perseq'!E244*Pondération!$D$2</f>
        <v>6.4022400000000011E-4</v>
      </c>
      <c r="F244">
        <f>'Transpo perseq'!I244*Pondération!$D$12</f>
        <v>1.5267840000000001E-4</v>
      </c>
      <c r="G244">
        <f>'Transpo perseq'!M244*Pondération!$D$15</f>
        <v>7.8848000000000001E-5</v>
      </c>
      <c r="H244">
        <f>'Transpo perseq'!N244*Pondération!$D$14</f>
        <v>2.5195520000000001E-5</v>
      </c>
      <c r="I244">
        <f>'Transpo perseq'!O244*Pondération!$D$16</f>
        <v>3.8287200000000002E-5</v>
      </c>
      <c r="J244">
        <f>'Transpo perseq'!P244*Pondération!$D$4</f>
        <v>1.9152959999999998E-5</v>
      </c>
      <c r="K244">
        <f>'Transpo perseq'!T244*Pondération!$D$5</f>
        <v>1.0215679999999999E-4</v>
      </c>
      <c r="L244">
        <f>'Transpo perseq'!X244*Pondération!$D$7</f>
        <v>7.0620960000000004E-6</v>
      </c>
      <c r="M244">
        <f>'Transpo perseq'!Y244*Pondération!$D$13</f>
        <v>2.3502400000000002E-6</v>
      </c>
      <c r="N244">
        <f>'Transpo perseq'!Z244*Pondération!$D$3</f>
        <v>6.9460480000000003E-14</v>
      </c>
      <c r="O244">
        <f>'Transpo perseq'!AA244*Pondération!$D$6</f>
        <v>1.082368E-4</v>
      </c>
      <c r="P244">
        <f>'Transpo perseq'!AB244*Pondération!$D$8</f>
        <v>6.2637119999999998E-5</v>
      </c>
      <c r="Q244">
        <f>'Transpo perseq'!AC244*Pondération!$D$10</f>
        <v>4.5660159999999999E-4</v>
      </c>
      <c r="R244">
        <f>'Transpo perseq'!AD244*Pondération!$D$9</f>
        <v>2.00528E-6</v>
      </c>
      <c r="S244">
        <f>'Transpo perseq'!AE244*Pondération!$D$11</f>
        <v>-2.2330239999999999E-6</v>
      </c>
      <c r="T244">
        <f t="shared" si="3"/>
        <v>1.7750429920694605E-3</v>
      </c>
    </row>
    <row r="245" spans="1:20" x14ac:dyDescent="0.3">
      <c r="A245" t="s">
        <v>7</v>
      </c>
      <c r="B245" t="s">
        <v>52</v>
      </c>
      <c r="C245" t="s">
        <v>103</v>
      </c>
      <c r="D245">
        <f>'Transpo perseq'!D245*Pondération!$D$17</f>
        <v>1.5276800000000003E-5</v>
      </c>
      <c r="E245">
        <f>'Transpo perseq'!E245*Pondération!$D$2</f>
        <v>1.2366432E-3</v>
      </c>
      <c r="F245">
        <f>'Transpo perseq'!I245*Pondération!$D$12</f>
        <v>4.1164799999999996E-5</v>
      </c>
      <c r="G245">
        <f>'Transpo perseq'!M245*Pondération!$D$15</f>
        <v>8.8256000000000007E-6</v>
      </c>
      <c r="H245">
        <f>'Transpo perseq'!N245*Pondération!$D$14</f>
        <v>4.0113920000000004E-5</v>
      </c>
      <c r="I245">
        <f>'Transpo perseq'!O245*Pondération!$D$16</f>
        <v>1.0387999999999999E-5</v>
      </c>
      <c r="J245">
        <f>'Transpo perseq'!P245*Pondération!$D$4</f>
        <v>2.2901759999999999E-6</v>
      </c>
      <c r="K245">
        <f>'Transpo perseq'!T245*Pondération!$D$5</f>
        <v>2.0961279999999997E-5</v>
      </c>
      <c r="L245">
        <f>'Transpo perseq'!X245*Pondération!$D$7</f>
        <v>7.7194079999999995E-7</v>
      </c>
      <c r="M245">
        <f>'Transpo perseq'!Y245*Pondération!$D$13</f>
        <v>2.5662080000000002E-7</v>
      </c>
      <c r="N245">
        <f>'Transpo perseq'!Z245*Pondération!$D$3</f>
        <v>7.5921920000000004E-15</v>
      </c>
      <c r="O245">
        <f>'Transpo perseq'!AA245*Pondération!$D$6</f>
        <v>1.978368E-5</v>
      </c>
      <c r="P245">
        <f>'Transpo perseq'!AB245*Pondération!$D$8</f>
        <v>3.433952E-5</v>
      </c>
      <c r="Q245">
        <f>'Transpo perseq'!AC245*Pondération!$D$10</f>
        <v>4.9919999999999996E-5</v>
      </c>
      <c r="R245">
        <f>'Transpo perseq'!AD245*Pondération!$D$9</f>
        <v>2.1864799999999999E-7</v>
      </c>
      <c r="S245">
        <f>'Transpo perseq'!AE245*Pondération!$D$11</f>
        <v>1.4296799999999997E-6</v>
      </c>
      <c r="T245">
        <f t="shared" si="3"/>
        <v>1.4823838656075929E-3</v>
      </c>
    </row>
    <row r="246" spans="1:20" x14ac:dyDescent="0.3">
      <c r="A246" t="s">
        <v>7</v>
      </c>
      <c r="B246" t="s">
        <v>53</v>
      </c>
      <c r="C246" t="s">
        <v>104</v>
      </c>
      <c r="D246">
        <f>'Transpo perseq'!D246*Pondération!$D$17</f>
        <v>-4.6127999999999994E-3</v>
      </c>
      <c r="E246">
        <f>'Transpo perseq'!E246*Pondération!$D$2</f>
        <v>-1.6578432000000001E-2</v>
      </c>
      <c r="F246">
        <f>'Transpo perseq'!I246*Pondération!$D$12</f>
        <v>-1.8892799999999999E-3</v>
      </c>
      <c r="G246">
        <f>'Transpo perseq'!M246*Pondération!$D$15</f>
        <v>-1.4515200000000001E-5</v>
      </c>
      <c r="H246">
        <f>'Transpo perseq'!N246*Pondération!$D$14</f>
        <v>-1.0987520000000001E-3</v>
      </c>
      <c r="I246">
        <f>'Transpo perseq'!O246*Pondération!$D$16</f>
        <v>-1.650208E-3</v>
      </c>
      <c r="J246">
        <f>'Transpo perseq'!P246*Pondération!$D$4</f>
        <v>-5.8617599999999992E-2</v>
      </c>
      <c r="K246">
        <f>'Transpo perseq'!T246*Pondération!$D$5</f>
        <v>-6.6850989455077862E-3</v>
      </c>
      <c r="L246">
        <f>'Transpo perseq'!X246*Pondération!$D$7</f>
        <v>-3.6840720578360138E-4</v>
      </c>
      <c r="M246">
        <f>'Transpo perseq'!Y246*Pondération!$D$13</f>
        <v>-1.9977677384979E-4</v>
      </c>
      <c r="N246">
        <f>'Transpo perseq'!Z246*Pondération!$D$3</f>
        <v>-1.1667433144849702E-11</v>
      </c>
      <c r="O246">
        <f>'Transpo perseq'!AA246*Pondération!$D$6</f>
        <v>-1.072247292024164E-2</v>
      </c>
      <c r="P246">
        <f>'Transpo perseq'!AB246*Pondération!$D$8</f>
        <v>-2.5461329945466169E-3</v>
      </c>
      <c r="Q246">
        <f>'Transpo perseq'!AC246*Pondération!$D$10</f>
        <v>-1.0450075523151194E-2</v>
      </c>
      <c r="R246">
        <f>'Transpo perseq'!AD246*Pondération!$D$9</f>
        <v>-1.2770356239506309E-2</v>
      </c>
      <c r="S246">
        <f>'Transpo perseq'!AE246*Pondération!$D$11</f>
        <v>-3.4157811842273119E-3</v>
      </c>
      <c r="T246">
        <f t="shared" si="3"/>
        <v>-0.13161968899848167</v>
      </c>
    </row>
    <row r="247" spans="1:20" x14ac:dyDescent="0.3">
      <c r="A247" t="s">
        <v>7</v>
      </c>
      <c r="B247" t="s">
        <v>53</v>
      </c>
      <c r="C247" t="s">
        <v>105</v>
      </c>
      <c r="D247">
        <f>'Transpo perseq'!D247*Pondération!$D$17</f>
        <v>-4.6723199999999999E-2</v>
      </c>
      <c r="E247">
        <f>'Transpo perseq'!E247*Pondération!$D$2</f>
        <v>-0.22508928</v>
      </c>
      <c r="F247">
        <f>'Transpo perseq'!I247*Pondération!$D$12</f>
        <v>-1.6834559999999998E-2</v>
      </c>
      <c r="G247">
        <f>'Transpo perseq'!M247*Pondération!$D$15</f>
        <v>-6.9888000000000006E-5</v>
      </c>
      <c r="H247">
        <f>'Transpo perseq'!N247*Pondération!$D$14</f>
        <v>-8.524799999999999E-3</v>
      </c>
      <c r="I247">
        <f>'Transpo perseq'!O247*Pondération!$D$16</f>
        <v>-1.2881120000000001E-2</v>
      </c>
      <c r="J247">
        <f>'Transpo perseq'!P247*Pondération!$D$4</f>
        <v>-5.6913599999999995E-3</v>
      </c>
      <c r="K247">
        <f>'Transpo perseq'!T247*Pondération!$D$5</f>
        <v>-8.3934323149171541E-3</v>
      </c>
      <c r="L247">
        <f>'Transpo perseq'!X247*Pondération!$D$7</f>
        <v>-1.4399812382585081E-2</v>
      </c>
      <c r="M247">
        <f>'Transpo perseq'!Y247*Pondération!$D$13</f>
        <v>-1.1548829626811324E-3</v>
      </c>
      <c r="N247">
        <f>'Transpo perseq'!Z247*Pondération!$D$3</f>
        <v>-2.8718445022052987E-11</v>
      </c>
      <c r="O247">
        <f>'Transpo perseq'!AA247*Pondération!$D$6</f>
        <v>-6.7763031464392789E-2</v>
      </c>
      <c r="P247">
        <f>'Transpo perseq'!AB247*Pondération!$D$8</f>
        <v>-2.0631721472372133E-2</v>
      </c>
      <c r="Q247">
        <f>'Transpo perseq'!AC247*Pondération!$D$10</f>
        <v>-0.13878059982832813</v>
      </c>
      <c r="R247">
        <f>'Transpo perseq'!AD247*Pondération!$D$9</f>
        <v>-0.15735434803403581</v>
      </c>
      <c r="S247">
        <f>'Transpo perseq'!AE247*Pondération!$D$11</f>
        <v>-1.0074178966225358E-2</v>
      </c>
      <c r="T247">
        <f t="shared" si="3"/>
        <v>-0.73436621545425607</v>
      </c>
    </row>
    <row r="248" spans="1:20" x14ac:dyDescent="0.3">
      <c r="A248" t="s">
        <v>7</v>
      </c>
      <c r="B248" t="s">
        <v>53</v>
      </c>
      <c r="C248" t="s">
        <v>106</v>
      </c>
      <c r="D248">
        <f>'Transpo perseq'!D248*Pondération!$D$17</f>
        <v>-4.0870400000000001E-2</v>
      </c>
      <c r="E248">
        <f>'Transpo perseq'!E248*Pondération!$D$2</f>
        <v>-0.19712160000000001</v>
      </c>
      <c r="F248">
        <f>'Transpo perseq'!I248*Pondération!$D$12</f>
        <v>-0.56524799999999997</v>
      </c>
      <c r="G248">
        <f>'Transpo perseq'!M248*Pondération!$D$15</f>
        <v>-0.22265599999999999</v>
      </c>
      <c r="H248">
        <f>'Transpo perseq'!N248*Pondération!$D$14</f>
        <v>-2.1927680000000001E-2</v>
      </c>
      <c r="I248">
        <f>'Transpo perseq'!O248*Pondération!$D$16</f>
        <v>-2.659328E-2</v>
      </c>
      <c r="J248">
        <f>'Transpo perseq'!P248*Pondération!$D$4</f>
        <v>-1.1519039999999998E-2</v>
      </c>
      <c r="K248">
        <f>'Transpo perseq'!T248*Pondération!$D$5</f>
        <v>-3.5533839565012902E-2</v>
      </c>
      <c r="L248">
        <f>'Transpo perseq'!X248*Pondération!$D$7</f>
        <v>-1.37051925807635E-2</v>
      </c>
      <c r="M248">
        <f>'Transpo perseq'!Y248*Pondération!$D$13</f>
        <v>-3.8373830620660088E-3</v>
      </c>
      <c r="N248">
        <f>'Transpo perseq'!Z248*Pondération!$D$3</f>
        <v>-8.6116045826043635E-4</v>
      </c>
      <c r="O248">
        <f>'Transpo perseq'!AA248*Pondération!$D$6</f>
        <v>-6.0366061080249341E-2</v>
      </c>
      <c r="P248">
        <f>'Transpo perseq'!AB248*Pondération!$D$8</f>
        <v>-3.7151702358328674E-2</v>
      </c>
      <c r="Q248">
        <f>'Transpo perseq'!AC248*Pondération!$D$10</f>
        <v>-0.12502473320368551</v>
      </c>
      <c r="R248">
        <f>'Transpo perseq'!AD248*Pondération!$D$9</f>
        <v>-4.3867116375457664</v>
      </c>
      <c r="S248">
        <f>'Transpo perseq'!AE248*Pondération!$D$11</f>
        <v>-1.5940418742451448</v>
      </c>
      <c r="T248">
        <f t="shared" si="3"/>
        <v>-7.343169584099277</v>
      </c>
    </row>
    <row r="249" spans="1:20" x14ac:dyDescent="0.3">
      <c r="A249" t="s">
        <v>7</v>
      </c>
      <c r="B249" t="s">
        <v>53</v>
      </c>
      <c r="C249" t="s">
        <v>107</v>
      </c>
      <c r="D249">
        <f>'Transpo perseq'!D249*Pondération!$D$17</f>
        <v>-8.9676799999999994E-4</v>
      </c>
      <c r="E249">
        <f>'Transpo perseq'!E249*Pondération!$D$2</f>
        <v>-8.2555200000000006E-3</v>
      </c>
      <c r="F249">
        <f>'Transpo perseq'!I249*Pondération!$D$12</f>
        <v>-6.8198399999999998E-3</v>
      </c>
      <c r="G249">
        <f>'Transpo perseq'!M249*Pondération!$D$15</f>
        <v>-2.74176E-4</v>
      </c>
      <c r="H249">
        <f>'Transpo perseq'!N249*Pondération!$D$14</f>
        <v>-3.4288640000000001E-4</v>
      </c>
      <c r="I249">
        <f>'Transpo perseq'!O249*Pondération!$D$16</f>
        <v>-4.5410399999999999E-4</v>
      </c>
      <c r="J249">
        <f>'Transpo perseq'!P249*Pondération!$D$4</f>
        <v>-2.5219199999999999E-4</v>
      </c>
      <c r="K249">
        <f>'Transpo perseq'!T249*Pondération!$D$5</f>
        <v>-1.5196615836687132E-3</v>
      </c>
      <c r="L249">
        <f>'Transpo perseq'!X249*Pondération!$D$7</f>
        <v>-7.7668476155682013E-4</v>
      </c>
      <c r="M249">
        <f>'Transpo perseq'!Y249*Pondération!$D$13</f>
        <v>-8.9333446489726605E-4</v>
      </c>
      <c r="N249">
        <f>'Transpo perseq'!Z249*Pondération!$D$3</f>
        <v>-5.073439807125718E-6</v>
      </c>
      <c r="O249">
        <f>'Transpo perseq'!AA249*Pondération!$D$6</f>
        <v>-1.4360130569352745E-3</v>
      </c>
      <c r="P249">
        <f>'Transpo perseq'!AB249*Pondération!$D$8</f>
        <v>-8.2024148792769693E-4</v>
      </c>
      <c r="Q249">
        <f>'Transpo perseq'!AC249*Pondération!$D$10</f>
        <v>-8.1081767447457043E-3</v>
      </c>
      <c r="R249">
        <f>'Transpo perseq'!AD249*Pondération!$D$9</f>
        <v>7.2044803752248224E-4</v>
      </c>
      <c r="S249">
        <f>'Transpo perseq'!AE249*Pondération!$D$11</f>
        <v>-6.1661475264938462E-3</v>
      </c>
      <c r="T249">
        <f t="shared" si="3"/>
        <v>-3.6300371428509962E-2</v>
      </c>
    </row>
    <row r="250" spans="1:20" x14ac:dyDescent="0.3">
      <c r="A250" t="s">
        <v>7</v>
      </c>
      <c r="B250" t="s">
        <v>53</v>
      </c>
      <c r="C250" t="s">
        <v>108</v>
      </c>
      <c r="D250">
        <f>'Transpo perseq'!D250*Pondération!$D$17</f>
        <v>1.488E-5</v>
      </c>
      <c r="E250">
        <f>'Transpo perseq'!E250*Pondération!$D$2</f>
        <v>-1.6915392000000002E-4</v>
      </c>
      <c r="F250">
        <f>'Transpo perseq'!I250*Pondération!$D$12</f>
        <v>-2.79552E-5</v>
      </c>
      <c r="G250">
        <f>'Transpo perseq'!M250*Pondération!$D$15</f>
        <v>-4.0723200000000003E-7</v>
      </c>
      <c r="H250">
        <f>'Transpo perseq'!N250*Pondération!$D$14</f>
        <v>1.5344640000000002E-5</v>
      </c>
      <c r="I250">
        <f>'Transpo perseq'!O250*Pondération!$D$16</f>
        <v>2.5049920000000004E-5</v>
      </c>
      <c r="J250">
        <f>'Transpo perseq'!P250*Pondération!$D$4</f>
        <v>-1.9800480000000002E-6</v>
      </c>
      <c r="K250">
        <f>'Transpo perseq'!T250*Pondération!$D$5</f>
        <v>2.5758907895249933E-6</v>
      </c>
      <c r="L250">
        <f>'Transpo perseq'!X250*Pondération!$D$7</f>
        <v>-4.5314779982673589E-5</v>
      </c>
      <c r="M250">
        <f>'Transpo perseq'!Y250*Pondération!$D$13</f>
        <v>-4.6158050773000957E-6</v>
      </c>
      <c r="N250">
        <f>'Transpo perseq'!Z250*Pondération!$D$3</f>
        <v>-2.4497803264139832E-13</v>
      </c>
      <c r="O250">
        <f>'Transpo perseq'!AA250*Pondération!$D$6</f>
        <v>-1.5217826515493397E-5</v>
      </c>
      <c r="P250">
        <f>'Transpo perseq'!AB250*Pondération!$D$8</f>
        <v>2.8850121436770548E-5</v>
      </c>
      <c r="Q250">
        <f>'Transpo perseq'!AC250*Pondération!$D$10</f>
        <v>-4.0193683321950146E-4</v>
      </c>
      <c r="R250">
        <f>'Transpo perseq'!AD250*Pondération!$D$9</f>
        <v>-3.3288517510522509E-6</v>
      </c>
      <c r="S250">
        <f>'Transpo perseq'!AE250*Pondération!$D$11</f>
        <v>2.9781716034969739E-5</v>
      </c>
      <c r="T250">
        <f t="shared" si="3"/>
        <v>-5.5342820852973364E-4</v>
      </c>
    </row>
    <row r="251" spans="1:20" x14ac:dyDescent="0.3">
      <c r="A251" t="s">
        <v>7</v>
      </c>
      <c r="B251" t="s">
        <v>53</v>
      </c>
      <c r="C251" t="s">
        <v>109</v>
      </c>
      <c r="D251">
        <f>'Transpo perseq'!D251*Pondération!$D$17</f>
        <v>-1.9431124692873187E-4</v>
      </c>
      <c r="E251">
        <f>'Transpo perseq'!E251*Pondération!$D$2</f>
        <v>4.1248851127126491E-3</v>
      </c>
      <c r="F251">
        <f>'Transpo perseq'!I251*Pondération!$D$12</f>
        <v>-2.1776509341907228E-4</v>
      </c>
      <c r="G251">
        <f>'Transpo perseq'!M251*Pondération!$D$15</f>
        <v>-3.342771384280572E-6</v>
      </c>
      <c r="H251">
        <f>'Transpo perseq'!N251*Pondération!$D$14</f>
        <v>-7.9733349638767134E-5</v>
      </c>
      <c r="I251">
        <f>'Transpo perseq'!O251*Pondération!$D$16</f>
        <v>-1.0450216207503317E-4</v>
      </c>
      <c r="J251">
        <f>'Transpo perseq'!P251*Pondération!$D$4</f>
        <v>-2.5079561645139632E-5</v>
      </c>
      <c r="K251">
        <f>'Transpo perseq'!T251*Pondération!$D$5</f>
        <v>-2.7392402101597673E-5</v>
      </c>
      <c r="L251">
        <f>'Transpo perseq'!X251*Pondération!$D$7</f>
        <v>-3.8225533216195004E-4</v>
      </c>
      <c r="M251">
        <f>'Transpo perseq'!Y251*Pondération!$D$13</f>
        <v>-3.847127668711562E-5</v>
      </c>
      <c r="N251">
        <f>'Transpo perseq'!Z251*Pondération!$D$3</f>
        <v>-2.0210038908150994E-12</v>
      </c>
      <c r="O251">
        <f>'Transpo perseq'!AA251*Pondération!$D$6</f>
        <v>-1.938990456699943E-4</v>
      </c>
      <c r="P251">
        <f>'Transpo perseq'!AB251*Pondération!$D$8</f>
        <v>-1.7079210629860139E-4</v>
      </c>
      <c r="Q251">
        <f>'Transpo perseq'!AC251*Pondération!$D$10</f>
        <v>-3.4145687304767201E-3</v>
      </c>
      <c r="R251">
        <f>'Transpo perseq'!AD251*Pondération!$D$9</f>
        <v>-2.7689954325883033E-5</v>
      </c>
      <c r="S251">
        <f>'Transpo perseq'!AE251*Pondération!$D$11</f>
        <v>1.5915134299680867E-4</v>
      </c>
      <c r="T251">
        <f t="shared" si="3"/>
        <v>-5.9576657912443261E-4</v>
      </c>
    </row>
    <row r="252" spans="1:20" x14ac:dyDescent="0.3">
      <c r="A252" t="s">
        <v>7</v>
      </c>
      <c r="B252" t="s">
        <v>53</v>
      </c>
      <c r="C252" t="s">
        <v>110</v>
      </c>
      <c r="D252">
        <f>'Transpo perseq'!D252*Pondération!$D$17</f>
        <v>3.326499076114484E-6</v>
      </c>
      <c r="E252">
        <f>'Transpo perseq'!E252*Pondération!$D$2</f>
        <v>1.0956459289708741E-5</v>
      </c>
      <c r="F252">
        <f>'Transpo perseq'!I252*Pondération!$D$12</f>
        <v>1.4376667683953509E-6</v>
      </c>
      <c r="G252">
        <f>'Transpo perseq'!M252*Pondération!$D$15</f>
        <v>1.2243124842072051E-8</v>
      </c>
      <c r="H252">
        <f>'Transpo perseq'!N252*Pondération!$D$14</f>
        <v>1.1720126205429627E-6</v>
      </c>
      <c r="I252">
        <f>'Transpo perseq'!O252*Pondération!$D$16</f>
        <v>1.7846536018313389E-6</v>
      </c>
      <c r="J252">
        <f>'Transpo perseq'!P252*Pondération!$D$4</f>
        <v>5.882749331716946E-7</v>
      </c>
      <c r="K252">
        <f>'Transpo perseq'!T252*Pondération!$D$5</f>
        <v>4.12704761895952E-6</v>
      </c>
      <c r="L252">
        <f>'Transpo perseq'!X252*Pondération!$D$7</f>
        <v>7.260245690835717E-8</v>
      </c>
      <c r="M252">
        <f>'Transpo perseq'!Y252*Pondération!$D$13</f>
        <v>1.0862909637486738E-7</v>
      </c>
      <c r="N252">
        <f>'Transpo perseq'!Z252*Pondération!$D$3</f>
        <v>1.9120442488539928E-15</v>
      </c>
      <c r="O252">
        <f>'Transpo perseq'!AA252*Pondération!$D$6</f>
        <v>5.5717983647995002E-6</v>
      </c>
      <c r="P252">
        <f>'Transpo perseq'!AB252*Pondération!$D$8</f>
        <v>2.7608965403889074E-6</v>
      </c>
      <c r="Q252">
        <f>'Transpo perseq'!AC252*Pondération!$D$10</f>
        <v>7.1069736000023114E-6</v>
      </c>
      <c r="R252">
        <f>'Transpo perseq'!AD252*Pondération!$D$9</f>
        <v>4.6948863747407796E-8</v>
      </c>
      <c r="S252">
        <f>'Transpo perseq'!AE252*Pondération!$D$11</f>
        <v>3.3330881906103287E-7</v>
      </c>
      <c r="T252">
        <f t="shared" si="3"/>
        <v>3.9406014776760594E-5</v>
      </c>
    </row>
    <row r="253" spans="1:20" x14ac:dyDescent="0.3">
      <c r="A253" t="s">
        <v>7</v>
      </c>
      <c r="B253" t="s">
        <v>53</v>
      </c>
      <c r="C253" t="s">
        <v>111</v>
      </c>
      <c r="D253">
        <f>'Transpo perseq'!D253*Pondération!$D$17</f>
        <v>2.0056798240447665E-5</v>
      </c>
      <c r="E253">
        <f>'Transpo perseq'!E253*Pondération!$D$2</f>
        <v>6.6074223364911749E-5</v>
      </c>
      <c r="F253">
        <f>'Transpo perseq'!I253*Pondération!$D$12</f>
        <v>2.6778542039079687E-4</v>
      </c>
      <c r="G253">
        <f>'Transpo perseq'!M253*Pondération!$D$15</f>
        <v>7.3846063138353861E-8</v>
      </c>
      <c r="H253">
        <f>'Transpo perseq'!N253*Pondération!$D$14</f>
        <v>7.0664848743089951E-6</v>
      </c>
      <c r="I253">
        <f>'Transpo perseq'!O253*Pondération!$D$16</f>
        <v>1.0760281057184681E-5</v>
      </c>
      <c r="J253">
        <f>'Transpo perseq'!P253*Pondération!$D$4</f>
        <v>3.5468429580300763E-6</v>
      </c>
      <c r="K253">
        <f>'Transpo perseq'!T253*Pondération!$D$5</f>
        <v>2.4882083430981497E-5</v>
      </c>
      <c r="L253">
        <f>'Transpo perseq'!X253*Pondération!$D$7</f>
        <v>4.4140886995612932E-7</v>
      </c>
      <c r="M253">
        <f>'Transpo perseq'!Y253*Pondération!$D$13</f>
        <v>6.5530350718810157E-7</v>
      </c>
      <c r="N253">
        <f>'Transpo perseq'!Z253*Pondération!$D$3</f>
        <v>1.1547686749955113E-14</v>
      </c>
      <c r="O253">
        <f>'Transpo perseq'!AA253*Pondération!$D$6</f>
        <v>3.3593715385625577E-5</v>
      </c>
      <c r="P253">
        <f>'Transpo perseq'!AB253*Pondération!$D$8</f>
        <v>1.6646304484130573E-5</v>
      </c>
      <c r="Q253">
        <f>'Transpo perseq'!AC253*Pondération!$D$10</f>
        <v>4.2863546179742139E-5</v>
      </c>
      <c r="R253">
        <f>'Transpo perseq'!AD253*Pondération!$D$9</f>
        <v>2.8330029921195425E-7</v>
      </c>
      <c r="S253">
        <f>'Transpo perseq'!AE253*Pondération!$D$11</f>
        <v>2.0103386014048824E-6</v>
      </c>
      <c r="T253">
        <f t="shared" si="3"/>
        <v>4.9673989771860697E-4</v>
      </c>
    </row>
    <row r="254" spans="1:20" x14ac:dyDescent="0.3">
      <c r="A254" t="s">
        <v>7</v>
      </c>
      <c r="B254" t="s">
        <v>53</v>
      </c>
      <c r="C254" t="s">
        <v>112</v>
      </c>
      <c r="D254">
        <f>'Transpo perseq'!D254*Pondération!$D$17</f>
        <v>2.0782065297539687E-4</v>
      </c>
      <c r="E254">
        <f>'Transpo perseq'!E254*Pondération!$D$2</f>
        <v>9.2344882038652954E-4</v>
      </c>
      <c r="F254">
        <f>'Transpo perseq'!I254*Pondération!$D$12</f>
        <v>1.0153947116080803E-4</v>
      </c>
      <c r="G254">
        <f>'Transpo perseq'!M254*Pondération!$D$15</f>
        <v>1.1060615922049613E-6</v>
      </c>
      <c r="H254">
        <f>'Transpo perseq'!N254*Pondération!$D$14</f>
        <v>1.1251396531542209E-4</v>
      </c>
      <c r="I254">
        <f>'Transpo perseq'!O254*Pondération!$D$16</f>
        <v>1.7031957725923379E-4</v>
      </c>
      <c r="J254">
        <f>'Transpo perseq'!P254*Pondération!$D$4</f>
        <v>4.1801315727324614E-3</v>
      </c>
      <c r="K254">
        <f>'Transpo perseq'!T254*Pondération!$D$5</f>
        <v>3.1380760285651135E-2</v>
      </c>
      <c r="L254">
        <f>'Transpo perseq'!X254*Pondération!$D$7</f>
        <v>1.3411124029940202E-5</v>
      </c>
      <c r="M254">
        <f>'Transpo perseq'!Y254*Pondération!$D$13</f>
        <v>8.317591895451697E-6</v>
      </c>
      <c r="N254">
        <f>'Transpo perseq'!Z254*Pondération!$D$3</f>
        <v>4.6796769630958535E-13</v>
      </c>
      <c r="O254">
        <f>'Transpo perseq'!AA254*Pondération!$D$6</f>
        <v>1.7731339765304668E-4</v>
      </c>
      <c r="P254">
        <f>'Transpo perseq'!AB254*Pondération!$D$8</f>
        <v>2.3271048136881955E-4</v>
      </c>
      <c r="Q254">
        <f>'Transpo perseq'!AC254*Pondération!$D$10</f>
        <v>4.7755076190661227E-4</v>
      </c>
      <c r="R254">
        <f>'Transpo perseq'!AD254*Pondération!$D$9</f>
        <v>6.7465717808799974E-6</v>
      </c>
      <c r="S254">
        <f>'Transpo perseq'!AE254*Pondération!$D$11</f>
        <v>1.1181997377213908E-5</v>
      </c>
      <c r="T254">
        <f t="shared" si="3"/>
        <v>3.8004872333553118E-2</v>
      </c>
    </row>
    <row r="255" spans="1:20" x14ac:dyDescent="0.3">
      <c r="A255" t="s">
        <v>7</v>
      </c>
      <c r="B255" t="s">
        <v>53</v>
      </c>
      <c r="C255" t="s">
        <v>113</v>
      </c>
      <c r="D255">
        <f>'Transpo perseq'!D255*Pondération!$D$17</f>
        <v>2.1116323795116515E-5</v>
      </c>
      <c r="E255">
        <f>'Transpo perseq'!E255*Pondération!$D$2</f>
        <v>1.6480761134363351E-4</v>
      </c>
      <c r="F255">
        <f>'Transpo perseq'!I255*Pondération!$D$12</f>
        <v>3.9360807255041427E-5</v>
      </c>
      <c r="G255">
        <f>'Transpo perseq'!M255*Pondération!$D$15</f>
        <v>2.032467094800558E-5</v>
      </c>
      <c r="H255">
        <f>'Transpo perseq'!N255*Pondération!$D$14</f>
        <v>6.4999266362474241E-6</v>
      </c>
      <c r="I255">
        <f>'Transpo perseq'!O255*Pondération!$D$16</f>
        <v>9.8791046310094092E-6</v>
      </c>
      <c r="J255">
        <f>'Transpo perseq'!P255*Pondération!$D$4</f>
        <v>4.9416311944479675E-6</v>
      </c>
      <c r="K255">
        <f>'Transpo perseq'!T255*Pondération!$D$5</f>
        <v>2.631823282424467E-5</v>
      </c>
      <c r="L255">
        <f>'Transpo perseq'!X255*Pondération!$D$7</f>
        <v>1.8209735721502671E-6</v>
      </c>
      <c r="M255">
        <f>'Transpo perseq'!Y255*Pondération!$D$13</f>
        <v>6.0691808424040862E-7</v>
      </c>
      <c r="N255">
        <f>'Transpo perseq'!Z255*Pondération!$D$3</f>
        <v>1.7921321956719812E-14</v>
      </c>
      <c r="O255">
        <f>'Transpo perseq'!AA255*Pondération!$D$6</f>
        <v>2.7910071169071903E-5</v>
      </c>
      <c r="P255">
        <f>'Transpo perseq'!AB255*Pondération!$D$8</f>
        <v>1.6163231839907777E-5</v>
      </c>
      <c r="Q255">
        <f>'Transpo perseq'!AC255*Pondération!$D$10</f>
        <v>1.1789275468091448E-4</v>
      </c>
      <c r="R255">
        <f>'Transpo perseq'!AD255*Pondération!$D$9</f>
        <v>5.1618590463559789E-7</v>
      </c>
      <c r="S255">
        <f>'Transpo perseq'!AE255*Pondération!$D$11</f>
        <v>-5.7722139068180841E-7</v>
      </c>
      <c r="T255">
        <f t="shared" si="3"/>
        <v>4.5758122250590642E-4</v>
      </c>
    </row>
    <row r="256" spans="1:20" x14ac:dyDescent="0.3">
      <c r="A256" t="s">
        <v>7</v>
      </c>
      <c r="B256" t="s">
        <v>53</v>
      </c>
      <c r="C256" t="s">
        <v>114</v>
      </c>
      <c r="D256">
        <f>'Transpo perseq'!D256*Pondération!$D$17</f>
        <v>1.3648506148896528E-5</v>
      </c>
      <c r="E256">
        <f>'Transpo perseq'!E256*Pondération!$D$2</f>
        <v>1.1064656558405018E-3</v>
      </c>
      <c r="F256">
        <f>'Transpo perseq'!I256*Pondération!$D$12</f>
        <v>3.6907033314026489E-5</v>
      </c>
      <c r="G256">
        <f>'Transpo perseq'!M256*Pondération!$D$15</f>
        <v>7.8931807856077573E-6</v>
      </c>
      <c r="H256">
        <f>'Transpo perseq'!N256*Pondération!$D$14</f>
        <v>3.5920169527893644E-5</v>
      </c>
      <c r="I256">
        <f>'Transpo perseq'!O256*Pondération!$D$16</f>
        <v>9.2817099459496963E-6</v>
      </c>
      <c r="J256">
        <f>'Transpo perseq'!P256*Pondération!$D$4</f>
        <v>2.0486046192185757E-6</v>
      </c>
      <c r="K256">
        <f>'Transpo perseq'!T256*Pondération!$D$5</f>
        <v>1.8757788085606366E-5</v>
      </c>
      <c r="L256">
        <f>'Transpo perseq'!X256*Pondération!$D$7</f>
        <v>6.9071653356259299E-7</v>
      </c>
      <c r="M256">
        <f>'Transpo perseq'!Y256*Pondération!$D$13</f>
        <v>2.3021166386583061E-7</v>
      </c>
      <c r="N256">
        <f>'Transpo perseq'!Z256*Pondération!$D$3</f>
        <v>6.7978269269364548E-15</v>
      </c>
      <c r="O256">
        <f>'Transpo perseq'!AA256*Pondération!$D$6</f>
        <v>1.7757722133335225E-5</v>
      </c>
      <c r="P256">
        <f>'Transpo perseq'!AB256*Pondération!$D$8</f>
        <v>3.071810711968383E-5</v>
      </c>
      <c r="Q256">
        <f>'Transpo perseq'!AC256*Pondération!$D$10</f>
        <v>4.471799375512095E-5</v>
      </c>
      <c r="R256">
        <f>'Transpo perseq'!AD256*Pondération!$D$9</f>
        <v>1.957957396132545E-7</v>
      </c>
      <c r="S256">
        <f>'Transpo perseq'!AE256*Pondération!$D$11</f>
        <v>1.2759498467599778E-6</v>
      </c>
      <c r="T256">
        <f t="shared" si="3"/>
        <v>1.3265091450664407E-3</v>
      </c>
    </row>
    <row r="257" spans="1:20" x14ac:dyDescent="0.3">
      <c r="A257" t="s">
        <v>7</v>
      </c>
      <c r="B257" t="s">
        <v>53</v>
      </c>
      <c r="C257" t="s">
        <v>115</v>
      </c>
      <c r="D257">
        <f>'Transpo perseq'!D257*Pondération!$D$17</f>
        <v>1.4645098354406028E-4</v>
      </c>
      <c r="E257">
        <f>'Transpo perseq'!E257*Pondération!$D$2</f>
        <v>1.3888547124569039E-3</v>
      </c>
      <c r="F257">
        <f>'Transpo perseq'!I257*Pondération!$D$12</f>
        <v>5.6125425563393426E-5</v>
      </c>
      <c r="G257">
        <f>'Transpo perseq'!M257*Pondération!$D$15</f>
        <v>6.4259469082738052E-7</v>
      </c>
      <c r="H257">
        <f>'Transpo perseq'!N257*Pondération!$D$14</f>
        <v>6.1262052804331258E-5</v>
      </c>
      <c r="I257">
        <f>'Transpo perseq'!O257*Pondération!$D$16</f>
        <v>9.2695872204862933E-5</v>
      </c>
      <c r="J257">
        <f>'Transpo perseq'!P257*Pondération!$D$4</f>
        <v>5.8274618220197574E-6</v>
      </c>
      <c r="K257">
        <f>'Transpo perseq'!T257*Pondération!$D$5</f>
        <v>1.1101409148700125E-5</v>
      </c>
      <c r="L257">
        <f>'Transpo perseq'!X257*Pondération!$D$7</f>
        <v>6.5662190400545315E-5</v>
      </c>
      <c r="M257">
        <f>'Transpo perseq'!Y257*Pondération!$D$13</f>
        <v>7.2111734856656171E-6</v>
      </c>
      <c r="N257">
        <f>'Transpo perseq'!Z257*Pondération!$D$3</f>
        <v>3.5607371331011162E-10</v>
      </c>
      <c r="O257">
        <f>'Transpo perseq'!AA257*Pondération!$D$6</f>
        <v>1.171570772783964E-4</v>
      </c>
      <c r="P257">
        <f>'Transpo perseq'!AB257*Pondération!$D$8</f>
        <v>1.3672802479422095E-4</v>
      </c>
      <c r="Q257">
        <f>'Transpo perseq'!AC257*Pondération!$D$10</f>
        <v>1.0890149537244444E-3</v>
      </c>
      <c r="R257">
        <f>'Transpo perseq'!AD257*Pondération!$D$9</f>
        <v>7.2320259489875304E-6</v>
      </c>
      <c r="S257">
        <f>'Transpo perseq'!AE257*Pondération!$D$11</f>
        <v>7.0008961606960779E-6</v>
      </c>
      <c r="T257">
        <f t="shared" si="3"/>
        <v>3.1929672101017686E-3</v>
      </c>
    </row>
    <row r="258" spans="1:20" x14ac:dyDescent="0.3">
      <c r="A258" t="s">
        <v>7</v>
      </c>
      <c r="B258" t="s">
        <v>53</v>
      </c>
      <c r="C258" t="s">
        <v>116</v>
      </c>
      <c r="D258">
        <f>'Transpo perseq'!D258*Pondération!$D$17</f>
        <v>8.8213951249934146E-4</v>
      </c>
      <c r="E258">
        <f>'Transpo perseq'!E258*Pondération!$D$2</f>
        <v>8.3656906176430672E-3</v>
      </c>
      <c r="F258">
        <f>'Transpo perseq'!I258*Pondération!$D$12</f>
        <v>3.3806844001436464E-4</v>
      </c>
      <c r="G258">
        <f>'Transpo perseq'!M258*Pondération!$D$15</f>
        <v>3.8706340755341287E-6</v>
      </c>
      <c r="H258">
        <f>'Transpo perseq'!N258*Pondération!$D$14</f>
        <v>3.6900863406808622E-4</v>
      </c>
      <c r="I258">
        <f>'Transpo perseq'!O258*Pondération!$D$16</f>
        <v>5.5834853094651848E-4</v>
      </c>
      <c r="J258">
        <f>'Transpo perseq'!P258*Pondération!$D$4</f>
        <v>3.5101398477385164E-5</v>
      </c>
      <c r="K258">
        <f>'Transpo perseq'!T258*Pondération!$D$5</f>
        <v>6.686873257866365E-5</v>
      </c>
      <c r="L258">
        <f>'Transpo perseq'!X258*Pondération!$D$7</f>
        <v>3.9551262291215327E-4</v>
      </c>
      <c r="M258">
        <f>'Transpo perseq'!Y258*Pondération!$D$13</f>
        <v>4.3436110220997364E-5</v>
      </c>
      <c r="N258">
        <f>'Transpo perseq'!Z258*Pondération!$D$3</f>
        <v>2.14479059322065E-9</v>
      </c>
      <c r="O258">
        <f>'Transpo perseq'!AA258*Pondération!$D$6</f>
        <v>7.0568926568607992E-4</v>
      </c>
      <c r="P258">
        <f>'Transpo perseq'!AB258*Pondération!$D$8</f>
        <v>8.2357380072278286E-4</v>
      </c>
      <c r="Q258">
        <f>'Transpo perseq'!AC258*Pondération!$D$10</f>
        <v>6.5596221830354177E-3</v>
      </c>
      <c r="R258">
        <f>'Transpo perseq'!AD258*Pondération!$D$9</f>
        <v>4.3561713896602795E-5</v>
      </c>
      <c r="S258">
        <f>'Transpo perseq'!AE258*Pondération!$D$11</f>
        <v>4.2169516221718525E-5</v>
      </c>
      <c r="T258">
        <f t="shared" si="3"/>
        <v>1.9232663857789309E-2</v>
      </c>
    </row>
    <row r="259" spans="1:20" x14ac:dyDescent="0.3">
      <c r="A259" t="s">
        <v>7</v>
      </c>
      <c r="B259" t="s">
        <v>53</v>
      </c>
      <c r="C259" t="s">
        <v>117</v>
      </c>
      <c r="D259">
        <f>'Transpo perseq'!D259*Pondération!$D$17</f>
        <v>1.2642408431230628E-4</v>
      </c>
      <c r="E259">
        <f>'Transpo perseq'!E259*Pondération!$D$2</f>
        <v>1.2158335662622232E-3</v>
      </c>
      <c r="F259">
        <f>'Transpo perseq'!I259*Pondération!$D$12</f>
        <v>5.2030073633104274E-5</v>
      </c>
      <c r="G259">
        <f>'Transpo perseq'!M259*Pondération!$D$15</f>
        <v>6.0862965274618306E-7</v>
      </c>
      <c r="H259">
        <f>'Transpo perseq'!N259*Pondération!$D$14</f>
        <v>5.2633837819281863E-5</v>
      </c>
      <c r="I259">
        <f>'Transpo perseq'!O259*Pondération!$D$16</f>
        <v>7.9579889255145816E-5</v>
      </c>
      <c r="J259">
        <f>'Transpo perseq'!P259*Pondération!$D$4</f>
        <v>5.3469608657693046E-6</v>
      </c>
      <c r="K259">
        <f>'Transpo perseq'!T259*Pondération!$D$5</f>
        <v>1.03851754050832E-5</v>
      </c>
      <c r="L259">
        <f>'Transpo perseq'!X259*Pondération!$D$7</f>
        <v>6.2661358379612704E-5</v>
      </c>
      <c r="M259">
        <f>'Transpo perseq'!Y259*Pondération!$D$13</f>
        <v>6.8545136354077005E-6</v>
      </c>
      <c r="N259">
        <f>'Transpo perseq'!Z259*Pondération!$D$3</f>
        <v>2.9795019041046424E-10</v>
      </c>
      <c r="O259">
        <f>'Transpo perseq'!AA259*Pondération!$D$6</f>
        <v>1.0250318972893798E-4</v>
      </c>
      <c r="P259">
        <f>'Transpo perseq'!AB259*Pondération!$D$8</f>
        <v>1.1733261873910235E-4</v>
      </c>
      <c r="Q259">
        <f>'Transpo perseq'!AC259*Pondération!$D$10</f>
        <v>9.5705327646661981E-4</v>
      </c>
      <c r="R259">
        <f>'Transpo perseq'!AD259*Pondération!$D$9</f>
        <v>6.5955139407128011E-6</v>
      </c>
      <c r="S259">
        <f>'Transpo perseq'!AE259*Pondération!$D$11</f>
        <v>7.6300285643487858E-6</v>
      </c>
      <c r="T259">
        <f t="shared" ref="T259:T260" si="4">SUM(D259:S259)</f>
        <v>2.8034730146105926E-3</v>
      </c>
    </row>
    <row r="260" spans="1:20" x14ac:dyDescent="0.3">
      <c r="A260" t="s">
        <v>7</v>
      </c>
      <c r="B260" t="s">
        <v>53</v>
      </c>
      <c r="C260" t="s">
        <v>118</v>
      </c>
      <c r="D260">
        <f>'Transpo perseq'!D260*Pondération!$D$17</f>
        <v>2.1860322196225399E-5</v>
      </c>
      <c r="E260">
        <f>'Transpo perseq'!E260*Pondération!$D$2</f>
        <v>4.1722046979059823E-4</v>
      </c>
      <c r="F260">
        <f>'Transpo perseq'!I260*Pondération!$D$12</f>
        <v>2.2140978815531765E-5</v>
      </c>
      <c r="G260">
        <f>'Transpo perseq'!M260*Pondération!$D$15</f>
        <v>3.603140371285849E-7</v>
      </c>
      <c r="H260">
        <f>'Transpo perseq'!N260*Pondération!$D$14</f>
        <v>9.202121796376154E-6</v>
      </c>
      <c r="I260">
        <f>'Transpo perseq'!O260*Pondération!$D$16</f>
        <v>1.3706789698088079E-5</v>
      </c>
      <c r="J260">
        <f>'Transpo perseq'!P260*Pondération!$D$4</f>
        <v>2.9336322143278279E-6</v>
      </c>
      <c r="K260">
        <f>'Transpo perseq'!T260*Pondération!$D$5</f>
        <v>6.5583640942831065E-6</v>
      </c>
      <c r="L260">
        <f>'Transpo perseq'!X260*Pondération!$D$7</f>
        <v>3.2369022822306471E-5</v>
      </c>
      <c r="M260">
        <f>'Transpo perseq'!Y260*Pondération!$D$13</f>
        <v>3.4432163378428153E-6</v>
      </c>
      <c r="N260">
        <f>'Transpo perseq'!Z260*Pondération!$D$3</f>
        <v>1.774355530389496E-13</v>
      </c>
      <c r="O260">
        <f>'Transpo perseq'!AA260*Pondération!$D$6</f>
        <v>2.5900455229135586E-5</v>
      </c>
      <c r="P260">
        <f>'Transpo perseq'!AB260*Pondération!$D$8</f>
        <v>1.9928249338923152E-5</v>
      </c>
      <c r="Q260">
        <f>'Transpo perseq'!AC260*Pondération!$D$10</f>
        <v>3.4962018719080558E-4</v>
      </c>
      <c r="R260">
        <f>'Transpo perseq'!AD260*Pondération!$D$9</f>
        <v>2.5225495254292924E-6</v>
      </c>
      <c r="S260">
        <f>'Transpo perseq'!AE260*Pondération!$D$11</f>
        <v>1.0138465723273051E-4</v>
      </c>
      <c r="T260">
        <f t="shared" si="4"/>
        <v>1.0291513304971679E-3</v>
      </c>
    </row>
    <row r="265" spans="1:20" x14ac:dyDescent="0.3">
      <c r="D265">
        <v>0.99090636281793631</v>
      </c>
    </row>
    <row r="269" spans="1:20" x14ac:dyDescent="0.3">
      <c r="A269" t="s">
        <v>147</v>
      </c>
      <c r="B269" t="s">
        <v>50</v>
      </c>
      <c r="C269" t="s">
        <v>96</v>
      </c>
      <c r="D269">
        <v>0.50195199999999995</v>
      </c>
      <c r="E269">
        <v>3.436992</v>
      </c>
      <c r="F269">
        <v>4.6694399999999998</v>
      </c>
      <c r="G269">
        <v>2.9702399999999999E-3</v>
      </c>
      <c r="H269">
        <v>0.1269248</v>
      </c>
      <c r="I269">
        <v>0.19292000000000001</v>
      </c>
      <c r="J269">
        <v>0.24196799999999999</v>
      </c>
      <c r="K269">
        <v>0.63130471053335202</v>
      </c>
      <c r="L269">
        <v>1.8781874358929026E-2</v>
      </c>
      <c r="M269">
        <v>2.8034679965322135E-3</v>
      </c>
      <c r="N269">
        <v>9.7976025419707481E-11</v>
      </c>
      <c r="O269">
        <v>0.43825430557014078</v>
      </c>
      <c r="P269">
        <v>0.48985264267228401</v>
      </c>
      <c r="Q269">
        <v>18.240267540576841</v>
      </c>
      <c r="R269">
        <v>4.1293453608769612E-2</v>
      </c>
      <c r="S269">
        <v>1.020132301138337E-2</v>
      </c>
    </row>
    <row r="270" spans="1:20" x14ac:dyDescent="0.3">
      <c r="A270" t="s">
        <v>147</v>
      </c>
      <c r="B270" t="s">
        <v>50</v>
      </c>
      <c r="C270" t="s">
        <v>97</v>
      </c>
      <c r="D270">
        <v>4.1961600000000008</v>
      </c>
      <c r="E270">
        <v>23.957856000000003</v>
      </c>
      <c r="F270">
        <v>1.0782719999999999E-3</v>
      </c>
      <c r="G270">
        <v>0</v>
      </c>
      <c r="H270">
        <v>2.7563520000000001</v>
      </c>
      <c r="I270">
        <v>4.1848799999999997</v>
      </c>
      <c r="J270">
        <v>0</v>
      </c>
      <c r="K270">
        <v>6.6601605456213173E-2</v>
      </c>
      <c r="L270">
        <v>0</v>
      </c>
      <c r="M270">
        <v>0</v>
      </c>
      <c r="N270">
        <v>0</v>
      </c>
      <c r="O270">
        <v>1.5850851484408013</v>
      </c>
      <c r="P270">
        <v>5.8977783574442775</v>
      </c>
      <c r="Q270">
        <v>0</v>
      </c>
      <c r="R270">
        <v>0</v>
      </c>
      <c r="S270">
        <v>0</v>
      </c>
    </row>
    <row r="271" spans="1:20" x14ac:dyDescent="0.3">
      <c r="A271" t="s">
        <v>6</v>
      </c>
      <c r="B271" t="s">
        <v>50</v>
      </c>
      <c r="C271" t="s">
        <v>96</v>
      </c>
      <c r="D271">
        <v>3.5136639999999999</v>
      </c>
      <c r="E271">
        <v>24.058944000000004</v>
      </c>
      <c r="F271">
        <v>32.686079999999997</v>
      </c>
      <c r="G271">
        <v>2.079168E-2</v>
      </c>
      <c r="H271">
        <v>0.88847360000000009</v>
      </c>
      <c r="I271">
        <v>1.3504400000000001</v>
      </c>
      <c r="J271">
        <v>1.6937759999999999</v>
      </c>
      <c r="K271">
        <v>4.4191329737334639</v>
      </c>
      <c r="L271">
        <v>0.13147312051250321</v>
      </c>
      <c r="M271">
        <v>1.9624275975725497E-2</v>
      </c>
      <c r="N271">
        <v>6.8583217793795236E-10</v>
      </c>
      <c r="O271">
        <v>3.0677801389909853</v>
      </c>
      <c r="P271">
        <v>3.4289684987059879</v>
      </c>
      <c r="Q271">
        <v>127.68187278403786</v>
      </c>
      <c r="R271">
        <v>0.28905417526138727</v>
      </c>
      <c r="S271">
        <v>7.1409261079683595E-2</v>
      </c>
    </row>
    <row r="272" spans="1:20" x14ac:dyDescent="0.3">
      <c r="A272" t="s">
        <v>6</v>
      </c>
      <c r="B272" t="s">
        <v>50</v>
      </c>
      <c r="C272" t="s">
        <v>97</v>
      </c>
      <c r="D272">
        <v>29.373120000000004</v>
      </c>
      <c r="E272">
        <v>167.704992</v>
      </c>
      <c r="F272">
        <v>7.5479040000000002E-3</v>
      </c>
      <c r="G272">
        <v>0</v>
      </c>
      <c r="H272">
        <v>19.294464000000001</v>
      </c>
      <c r="I272">
        <v>29.294160000000002</v>
      </c>
      <c r="J272">
        <v>0</v>
      </c>
      <c r="K272">
        <v>0.46621123819349219</v>
      </c>
      <c r="L272">
        <v>0</v>
      </c>
      <c r="M272">
        <v>0</v>
      </c>
      <c r="N272">
        <v>0</v>
      </c>
      <c r="O272">
        <v>11.095596039085608</v>
      </c>
      <c r="P272">
        <v>41.284448502109939</v>
      </c>
      <c r="Q272">
        <v>0</v>
      </c>
      <c r="R272">
        <v>0</v>
      </c>
      <c r="S272">
        <v>0</v>
      </c>
    </row>
    <row r="275" spans="1:19" x14ac:dyDescent="0.3">
      <c r="A275" t="s">
        <v>147</v>
      </c>
      <c r="B275" t="s">
        <v>50</v>
      </c>
      <c r="C275" t="s">
        <v>96</v>
      </c>
      <c r="D275">
        <f>D269*$D$265</f>
        <v>0.49738743062918872</v>
      </c>
      <c r="E275">
        <f t="shared" ref="E275:S275" si="5">E269*$D$265</f>
        <v>3.4057372417543448</v>
      </c>
      <c r="F275">
        <f t="shared" si="5"/>
        <v>4.6269778067965843</v>
      </c>
      <c r="G275">
        <f t="shared" si="5"/>
        <v>2.9432297150963471E-3</v>
      </c>
      <c r="H275">
        <f t="shared" si="5"/>
        <v>0.12577059191939402</v>
      </c>
      <c r="I275">
        <f t="shared" si="5"/>
        <v>0.19116565551483627</v>
      </c>
      <c r="J275">
        <f t="shared" si="5"/>
        <v>0.23976763079833041</v>
      </c>
      <c r="K275">
        <f t="shared" si="5"/>
        <v>0.62556385454443397</v>
      </c>
      <c r="L275">
        <f t="shared" si="5"/>
        <v>1.8611078807909822E-2</v>
      </c>
      <c r="M275">
        <f t="shared" si="5"/>
        <v>2.7779742757202226E-3</v>
      </c>
      <c r="N275">
        <f t="shared" si="5"/>
        <v>9.7085066992000013E-11</v>
      </c>
      <c r="O275">
        <f t="shared" si="5"/>
        <v>0.43426897992180863</v>
      </c>
      <c r="P275">
        <f t="shared" si="5"/>
        <v>0.48539810046714715</v>
      </c>
      <c r="Q275">
        <f t="shared" si="5"/>
        <v>18.074397165459061</v>
      </c>
      <c r="R275">
        <f t="shared" si="5"/>
        <v>4.0917945923657086E-2</v>
      </c>
      <c r="S275">
        <f t="shared" si="5"/>
        <v>1.0108555881140813E-2</v>
      </c>
    </row>
    <row r="276" spans="1:19" x14ac:dyDescent="0.3">
      <c r="A276" t="s">
        <v>147</v>
      </c>
      <c r="B276" t="s">
        <v>50</v>
      </c>
      <c r="C276" t="s">
        <v>97</v>
      </c>
      <c r="D276">
        <f t="shared" ref="D276:S277" si="6">D270*$D$265</f>
        <v>4.1580016434021125</v>
      </c>
      <c r="E276">
        <f t="shared" si="6"/>
        <v>23.739991949875876</v>
      </c>
      <c r="F276">
        <f t="shared" si="6"/>
        <v>1.0684665856484218E-3</v>
      </c>
      <c r="G276">
        <f t="shared" si="6"/>
        <v>0</v>
      </c>
      <c r="H276">
        <f t="shared" si="6"/>
        <v>2.7312867349659444</v>
      </c>
      <c r="I276">
        <f t="shared" si="6"/>
        <v>4.1468242196295249</v>
      </c>
      <c r="J276">
        <f t="shared" si="6"/>
        <v>0</v>
      </c>
      <c r="K276">
        <f t="shared" si="6"/>
        <v>6.5995954620451422E-2</v>
      </c>
      <c r="L276">
        <f t="shared" si="6"/>
        <v>0</v>
      </c>
      <c r="M276">
        <f t="shared" si="6"/>
        <v>0</v>
      </c>
      <c r="N276">
        <f t="shared" si="6"/>
        <v>0</v>
      </c>
      <c r="O276">
        <f t="shared" si="6"/>
        <v>1.5706709591982031</v>
      </c>
      <c r="P276">
        <f t="shared" si="6"/>
        <v>5.8441461008814519</v>
      </c>
      <c r="Q276">
        <f t="shared" si="6"/>
        <v>0</v>
      </c>
      <c r="R276">
        <f t="shared" si="6"/>
        <v>0</v>
      </c>
      <c r="S276">
        <f t="shared" si="6"/>
        <v>0</v>
      </c>
    </row>
    <row r="277" spans="1:19" x14ac:dyDescent="0.3">
      <c r="A277" t="s">
        <v>6</v>
      </c>
      <c r="B277" t="s">
        <v>50</v>
      </c>
      <c r="C277" t="s">
        <v>96</v>
      </c>
      <c r="D277">
        <f t="shared" si="6"/>
        <v>3.4817120144043212</v>
      </c>
      <c r="E277">
        <f t="shared" si="6"/>
        <v>23.840160692280417</v>
      </c>
      <c r="F277">
        <f t="shared" si="6"/>
        <v>32.388844647576086</v>
      </c>
      <c r="G277">
        <f t="shared" si="6"/>
        <v>2.0602608005674431E-2</v>
      </c>
      <c r="H277">
        <f t="shared" si="6"/>
        <v>0.88039414343575806</v>
      </c>
      <c r="I277">
        <f t="shared" si="6"/>
        <v>1.338159588603854</v>
      </c>
      <c r="J277">
        <f t="shared" si="6"/>
        <v>1.6783734155883128</v>
      </c>
      <c r="K277">
        <f t="shared" si="6"/>
        <v>4.3789469818110378</v>
      </c>
      <c r="L277">
        <f t="shared" si="6"/>
        <v>0.13027755165536878</v>
      </c>
      <c r="M277">
        <f t="shared" si="6"/>
        <v>1.9445819930041561E-2</v>
      </c>
      <c r="N277">
        <f t="shared" si="6"/>
        <v>6.7959546894400003E-10</v>
      </c>
      <c r="O277">
        <f t="shared" si="6"/>
        <v>3.0398828594526606</v>
      </c>
      <c r="P277">
        <f t="shared" si="6"/>
        <v>3.3977867032700302</v>
      </c>
      <c r="Q277">
        <f t="shared" si="6"/>
        <v>126.52078015821341</v>
      </c>
      <c r="R277">
        <f t="shared" si="6"/>
        <v>0.28642562146559958</v>
      </c>
      <c r="S277">
        <f t="shared" si="6"/>
        <v>7.0759891167985686E-2</v>
      </c>
    </row>
    <row r="278" spans="1:19" x14ac:dyDescent="0.3">
      <c r="A278" t="s">
        <v>6</v>
      </c>
      <c r="B278" t="s">
        <v>50</v>
      </c>
      <c r="C278" t="s">
        <v>97</v>
      </c>
      <c r="D278">
        <f>D272*$D$265</f>
        <v>29.106011503814784</v>
      </c>
      <c r="E278">
        <f t="shared" ref="E278:S278" si="7">E272*$D$265</f>
        <v>166.1799436491311</v>
      </c>
      <c r="F278">
        <f t="shared" si="7"/>
        <v>7.4792660995389526E-3</v>
      </c>
      <c r="G278">
        <f t="shared" si="7"/>
        <v>0</v>
      </c>
      <c r="H278">
        <f t="shared" si="7"/>
        <v>19.119007144761611</v>
      </c>
      <c r="I278">
        <f t="shared" si="7"/>
        <v>29.02776953740668</v>
      </c>
      <c r="J278">
        <f t="shared" si="7"/>
        <v>0</v>
      </c>
      <c r="K278">
        <f t="shared" si="7"/>
        <v>0.46197168234315988</v>
      </c>
      <c r="L278">
        <f t="shared" si="7"/>
        <v>0</v>
      </c>
      <c r="M278">
        <f t="shared" si="7"/>
        <v>0</v>
      </c>
      <c r="N278">
        <f t="shared" si="7"/>
        <v>0</v>
      </c>
      <c r="O278">
        <f t="shared" si="7"/>
        <v>10.994696714387421</v>
      </c>
      <c r="P278">
        <f t="shared" si="7"/>
        <v>40.909022706170155</v>
      </c>
      <c r="Q278">
        <f t="shared" si="7"/>
        <v>0</v>
      </c>
      <c r="R278">
        <f t="shared" si="7"/>
        <v>0</v>
      </c>
      <c r="S278">
        <f t="shared" si="7"/>
        <v>0</v>
      </c>
    </row>
    <row r="280" spans="1:19" x14ac:dyDescent="0.3">
      <c r="A280" t="s">
        <v>147</v>
      </c>
      <c r="B280" t="s">
        <v>50</v>
      </c>
      <c r="C280" t="s">
        <v>96</v>
      </c>
      <c r="D280">
        <v>0.49738743062918872</v>
      </c>
      <c r="E280">
        <v>3.4057372417543448</v>
      </c>
      <c r="F280">
        <v>4.6269778067965843</v>
      </c>
      <c r="G280">
        <v>2.9432297150963471E-3</v>
      </c>
      <c r="H280">
        <v>0.12577059191939402</v>
      </c>
      <c r="I280">
        <v>0.19116565551483627</v>
      </c>
      <c r="J280">
        <v>0.23976763079833041</v>
      </c>
      <c r="K280">
        <v>0.62556385454443397</v>
      </c>
      <c r="L280">
        <v>1.8611078807909822E-2</v>
      </c>
      <c r="M280">
        <v>2.7779742757202226E-3</v>
      </c>
      <c r="N280">
        <v>9.7085066992000013E-11</v>
      </c>
      <c r="O280">
        <v>0.43426897992180863</v>
      </c>
      <c r="P280">
        <v>0.48539810046714715</v>
      </c>
      <c r="Q280">
        <v>18.074397165459061</v>
      </c>
      <c r="R280">
        <v>4.0917945923657086E-2</v>
      </c>
      <c r="S280">
        <v>1.0108555881140813E-2</v>
      </c>
    </row>
    <row r="281" spans="1:19" x14ac:dyDescent="0.3">
      <c r="A281" t="s">
        <v>147</v>
      </c>
      <c r="B281" t="s">
        <v>50</v>
      </c>
      <c r="C281" t="s">
        <v>97</v>
      </c>
      <c r="D281">
        <v>4.1580016434021125</v>
      </c>
      <c r="E281">
        <v>23.739991949875876</v>
      </c>
      <c r="F281">
        <v>1.0684665856484218E-3</v>
      </c>
      <c r="G281">
        <v>0</v>
      </c>
      <c r="H281">
        <v>2.7312867349659444</v>
      </c>
      <c r="I281">
        <v>4.1468242196295249</v>
      </c>
      <c r="J281">
        <v>0</v>
      </c>
      <c r="K281">
        <v>6.5995954620451422E-2</v>
      </c>
      <c r="L281">
        <v>0</v>
      </c>
      <c r="M281">
        <v>0</v>
      </c>
      <c r="N281">
        <v>0</v>
      </c>
      <c r="O281">
        <v>1.5706709591982031</v>
      </c>
      <c r="P281">
        <v>5.8441461008814519</v>
      </c>
      <c r="Q281">
        <v>0</v>
      </c>
      <c r="R281">
        <v>0</v>
      </c>
      <c r="S281">
        <v>0</v>
      </c>
    </row>
    <row r="282" spans="1:19" x14ac:dyDescent="0.3">
      <c r="A282" t="s">
        <v>6</v>
      </c>
      <c r="B282" t="s">
        <v>50</v>
      </c>
      <c r="C282" t="s">
        <v>96</v>
      </c>
      <c r="D282">
        <v>3.4817120144043212</v>
      </c>
      <c r="E282">
        <v>23.840160692280417</v>
      </c>
      <c r="F282">
        <v>32.388844647576086</v>
      </c>
      <c r="G282">
        <v>2.0602608005674431E-2</v>
      </c>
      <c r="H282">
        <v>0.88039414343575806</v>
      </c>
      <c r="I282">
        <v>1.338159588603854</v>
      </c>
      <c r="J282">
        <v>1.6783734155883128</v>
      </c>
      <c r="K282">
        <v>4.3789469818110378</v>
      </c>
      <c r="L282">
        <v>0.13027755165536878</v>
      </c>
      <c r="M282">
        <v>1.9445819930041561E-2</v>
      </c>
      <c r="N282">
        <v>6.7959546894400003E-10</v>
      </c>
      <c r="O282">
        <v>3.0398828594526606</v>
      </c>
      <c r="P282">
        <v>3.3977867032700302</v>
      </c>
      <c r="Q282">
        <v>126.52078015821341</v>
      </c>
      <c r="R282">
        <v>0.28642562146559958</v>
      </c>
      <c r="S282">
        <v>7.0759891167985686E-2</v>
      </c>
    </row>
    <row r="283" spans="1:19" x14ac:dyDescent="0.3">
      <c r="A283" t="s">
        <v>6</v>
      </c>
      <c r="B283" t="s">
        <v>50</v>
      </c>
      <c r="C283" t="s">
        <v>97</v>
      </c>
      <c r="D283">
        <v>29.106011503814784</v>
      </c>
      <c r="E283">
        <v>166.1799436491311</v>
      </c>
      <c r="F283">
        <v>7.4792660995389526E-3</v>
      </c>
      <c r="G283">
        <v>0</v>
      </c>
      <c r="H283">
        <v>19.119007144761611</v>
      </c>
      <c r="I283">
        <v>29.02776953740668</v>
      </c>
      <c r="J283">
        <v>0</v>
      </c>
      <c r="K283">
        <v>0.46197168234315988</v>
      </c>
      <c r="L283">
        <v>0</v>
      </c>
      <c r="M283">
        <v>0</v>
      </c>
      <c r="N283">
        <v>0</v>
      </c>
      <c r="O283">
        <v>10.994696714387421</v>
      </c>
      <c r="P283">
        <v>40.909022706170155</v>
      </c>
      <c r="Q283">
        <v>0</v>
      </c>
      <c r="R283">
        <v>0</v>
      </c>
      <c r="S28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F20" sqref="F20"/>
    </sheetView>
  </sheetViews>
  <sheetFormatPr baseColWidth="10" defaultColWidth="11.44140625" defaultRowHeight="14.4" x14ac:dyDescent="0.3"/>
  <cols>
    <col min="1" max="1" width="24.109375" customWidth="1"/>
    <col min="2" max="2" width="15.109375" bestFit="1" customWidth="1"/>
  </cols>
  <sheetData>
    <row r="1" spans="1:4" x14ac:dyDescent="0.3">
      <c r="B1" t="s">
        <v>176</v>
      </c>
      <c r="C1" t="s">
        <v>177</v>
      </c>
      <c r="D1" t="s">
        <v>178</v>
      </c>
    </row>
    <row r="2" spans="1:4" x14ac:dyDescent="0.3">
      <c r="A2" t="s">
        <v>179</v>
      </c>
      <c r="B2">
        <f>1/16</f>
        <v>6.25E-2</v>
      </c>
      <c r="C2">
        <v>0.21060000000000001</v>
      </c>
      <c r="D2">
        <f>C2/B2</f>
        <v>3.3696000000000002</v>
      </c>
    </row>
    <row r="3" spans="1:4" x14ac:dyDescent="0.3">
      <c r="A3" t="s">
        <v>180</v>
      </c>
      <c r="B3">
        <f t="shared" ref="B3:B17" si="0">1/16</f>
        <v>6.25E-2</v>
      </c>
      <c r="C3">
        <v>6.3100000000000003E-2</v>
      </c>
      <c r="D3">
        <f t="shared" ref="D3:D17" si="1">C3/B3</f>
        <v>1.0096000000000001</v>
      </c>
    </row>
    <row r="4" spans="1:4" x14ac:dyDescent="0.3">
      <c r="A4" t="s">
        <v>181</v>
      </c>
      <c r="B4">
        <f t="shared" si="0"/>
        <v>6.25E-2</v>
      </c>
      <c r="C4">
        <v>2.1299999999999999E-2</v>
      </c>
      <c r="D4">
        <f t="shared" si="1"/>
        <v>0.34079999999999999</v>
      </c>
    </row>
    <row r="5" spans="1:4" x14ac:dyDescent="0.3">
      <c r="A5" t="s">
        <v>182</v>
      </c>
      <c r="B5">
        <f t="shared" si="0"/>
        <v>6.25E-2</v>
      </c>
      <c r="C5">
        <v>1.84E-2</v>
      </c>
      <c r="D5">
        <f t="shared" si="1"/>
        <v>0.2944</v>
      </c>
    </row>
    <row r="6" spans="1:4" x14ac:dyDescent="0.3">
      <c r="A6" t="s">
        <v>183</v>
      </c>
      <c r="B6">
        <f t="shared" si="0"/>
        <v>6.25E-2</v>
      </c>
      <c r="C6">
        <v>8.9599999999999999E-2</v>
      </c>
      <c r="D6">
        <f t="shared" si="1"/>
        <v>1.4336</v>
      </c>
    </row>
    <row r="7" spans="1:4" x14ac:dyDescent="0.3">
      <c r="A7" t="s">
        <v>184</v>
      </c>
      <c r="B7">
        <f t="shared" si="0"/>
        <v>6.25E-2</v>
      </c>
      <c r="C7">
        <v>5.0099999999999999E-2</v>
      </c>
      <c r="D7">
        <f t="shared" si="1"/>
        <v>0.80159999999999998</v>
      </c>
    </row>
    <row r="8" spans="1:4" x14ac:dyDescent="0.3">
      <c r="A8" t="s">
        <v>185</v>
      </c>
      <c r="B8">
        <f t="shared" si="0"/>
        <v>6.25E-2</v>
      </c>
      <c r="C8">
        <v>4.7800000000000002E-2</v>
      </c>
      <c r="D8">
        <f t="shared" si="1"/>
        <v>0.76480000000000004</v>
      </c>
    </row>
    <row r="9" spans="1:4" x14ac:dyDescent="0.3">
      <c r="A9" t="s">
        <v>186</v>
      </c>
      <c r="B9">
        <f t="shared" si="0"/>
        <v>6.25E-2</v>
      </c>
      <c r="C9">
        <v>7.5499999999999998E-2</v>
      </c>
      <c r="D9">
        <f t="shared" si="1"/>
        <v>1.208</v>
      </c>
    </row>
    <row r="10" spans="1:4" x14ac:dyDescent="0.3">
      <c r="A10" t="s">
        <v>187</v>
      </c>
      <c r="B10">
        <f t="shared" si="0"/>
        <v>6.25E-2</v>
      </c>
      <c r="C10">
        <v>8.3199999999999996E-2</v>
      </c>
      <c r="D10">
        <f t="shared" si="1"/>
        <v>1.3311999999999999</v>
      </c>
    </row>
    <row r="11" spans="1:4" x14ac:dyDescent="0.3">
      <c r="A11" t="s">
        <v>188</v>
      </c>
      <c r="B11">
        <f t="shared" si="0"/>
        <v>6.25E-2</v>
      </c>
      <c r="C11">
        <v>8.5099999999999995E-2</v>
      </c>
      <c r="D11">
        <f t="shared" si="1"/>
        <v>1.3615999999999999</v>
      </c>
    </row>
    <row r="12" spans="1:4" x14ac:dyDescent="0.3">
      <c r="A12" t="s">
        <v>189</v>
      </c>
      <c r="B12">
        <f t="shared" si="0"/>
        <v>6.25E-2</v>
      </c>
      <c r="C12">
        <v>1.9199999999999998E-2</v>
      </c>
      <c r="D12">
        <f t="shared" si="1"/>
        <v>0.30719999999999997</v>
      </c>
    </row>
    <row r="13" spans="1:4" x14ac:dyDescent="0.3">
      <c r="A13" t="s">
        <v>190</v>
      </c>
      <c r="B13">
        <f t="shared" si="0"/>
        <v>6.25E-2</v>
      </c>
      <c r="C13">
        <v>7.9399999999999998E-2</v>
      </c>
      <c r="D13">
        <f t="shared" si="1"/>
        <v>1.2704</v>
      </c>
    </row>
    <row r="14" spans="1:4" x14ac:dyDescent="0.3">
      <c r="A14" t="s">
        <v>191</v>
      </c>
      <c r="B14">
        <f t="shared" si="0"/>
        <v>6.25E-2</v>
      </c>
      <c r="C14">
        <v>2.9600000000000001E-2</v>
      </c>
      <c r="D14">
        <f t="shared" si="1"/>
        <v>0.47360000000000002</v>
      </c>
    </row>
    <row r="15" spans="1:4" x14ac:dyDescent="0.3">
      <c r="A15" t="s">
        <v>192</v>
      </c>
      <c r="B15">
        <f t="shared" si="0"/>
        <v>6.25E-2</v>
      </c>
      <c r="C15">
        <v>2.8000000000000001E-2</v>
      </c>
      <c r="D15">
        <f t="shared" si="1"/>
        <v>0.44800000000000001</v>
      </c>
    </row>
    <row r="16" spans="1:4" x14ac:dyDescent="0.3">
      <c r="A16" t="s">
        <v>193</v>
      </c>
      <c r="B16">
        <f t="shared" si="0"/>
        <v>6.25E-2</v>
      </c>
      <c r="C16">
        <v>3.7100000000000001E-2</v>
      </c>
      <c r="D16">
        <f t="shared" si="1"/>
        <v>0.59360000000000002</v>
      </c>
    </row>
    <row r="17" spans="1:4" x14ac:dyDescent="0.3">
      <c r="A17" t="s">
        <v>194</v>
      </c>
      <c r="B17">
        <f t="shared" si="0"/>
        <v>6.25E-2</v>
      </c>
      <c r="C17">
        <v>6.2E-2</v>
      </c>
      <c r="D17">
        <f t="shared" si="1"/>
        <v>0.99199999999999999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60"/>
  <sheetViews>
    <sheetView topLeftCell="F1" workbookViewId="0">
      <selection activeCell="D239" sqref="D239"/>
    </sheetView>
  </sheetViews>
  <sheetFormatPr baseColWidth="10" defaultColWidth="11.44140625" defaultRowHeight="14.4" x14ac:dyDescent="0.3"/>
  <cols>
    <col min="1" max="1" width="18.109375" customWidth="1"/>
    <col min="2" max="2" width="20.44140625" customWidth="1"/>
    <col min="3" max="3" width="49.21875" customWidth="1"/>
    <col min="4" max="4" width="16.5546875" bestFit="1" customWidth="1"/>
    <col min="5" max="5" width="24.6640625" bestFit="1" customWidth="1"/>
    <col min="7" max="7" width="30.33203125" customWidth="1"/>
    <col min="8" max="8" width="25.109375" bestFit="1" customWidth="1"/>
    <col min="9" max="9" width="27.5546875" bestFit="1" customWidth="1"/>
    <col min="10" max="10" width="30.6640625" bestFit="1" customWidth="1"/>
    <col min="11" max="11" width="34.5546875" bestFit="1" customWidth="1"/>
    <col min="12" max="14" width="12" bestFit="1" customWidth="1"/>
    <col min="17" max="17" width="23.5546875" customWidth="1"/>
  </cols>
  <sheetData>
    <row r="1" spans="1:21" x14ac:dyDescent="0.3">
      <c r="A1" t="s">
        <v>0</v>
      </c>
      <c r="B1" t="s">
        <v>8</v>
      </c>
      <c r="C1" t="s">
        <v>54</v>
      </c>
      <c r="D1" t="s">
        <v>148</v>
      </c>
      <c r="E1" t="s">
        <v>149</v>
      </c>
      <c r="F1" t="s">
        <v>153</v>
      </c>
      <c r="G1" t="s">
        <v>157</v>
      </c>
      <c r="H1" t="s">
        <v>158</v>
      </c>
      <c r="I1" t="s">
        <v>159</v>
      </c>
      <c r="J1" t="s">
        <v>160</v>
      </c>
      <c r="K1" t="s">
        <v>164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U1" t="s">
        <v>225</v>
      </c>
    </row>
    <row r="2" spans="1:21" x14ac:dyDescent="0.3">
      <c r="A2" t="s">
        <v>1</v>
      </c>
      <c r="B2" t="s">
        <v>9</v>
      </c>
      <c r="C2" t="s">
        <v>55</v>
      </c>
      <c r="D2">
        <f>'Transpo perseq'!D2*Pondération!$D$17</f>
        <v>9.3148799999999996E-4</v>
      </c>
      <c r="E2">
        <f>'Transpo perseq'!E2*Pondération!$D$2</f>
        <v>7.9522560000000013E-3</v>
      </c>
      <c r="F2">
        <f>'Transpo perseq'!I2*Pondération!$D$12</f>
        <v>1.2595200000000001E-3</v>
      </c>
      <c r="G2">
        <f>'Transpo perseq'!M2*Pondération!$D$15</f>
        <v>8.6912000000000007E-6</v>
      </c>
      <c r="H2">
        <f>'Transpo perseq'!N2*Pondération!$D$14</f>
        <v>1.908608E-4</v>
      </c>
      <c r="I2">
        <f>'Transpo perseq'!O2*Pondération!$D$16</f>
        <v>2.902704E-4</v>
      </c>
      <c r="J2">
        <f>'Transpo perseq'!P2*Pondération!$D$4</f>
        <v>9.4742399999999996E-5</v>
      </c>
      <c r="K2">
        <f>'Transpo perseq'!T2*Pondération!$D$5</f>
        <v>3.7208576576574885E-4</v>
      </c>
      <c r="L2">
        <f>'Transpo perseq'!X2*Pondération!$D$7</f>
        <v>1.0602293555737581E-4</v>
      </c>
      <c r="M2">
        <f>'Transpo perseq'!Y2*Pondération!$D$13</f>
        <v>3.8195245703479612E-5</v>
      </c>
      <c r="N2">
        <f>'Transpo perseq'!Z2*Pondération!$D$3</f>
        <v>2.0526784482998984E-6</v>
      </c>
      <c r="O2">
        <f>'Transpo perseq'!AA2*Pondération!$D$6</f>
        <v>1.479097369508606E-3</v>
      </c>
      <c r="P2">
        <f>'Transpo perseq'!AB2*Pondération!$D$8</f>
        <v>4.8378031977281235E-4</v>
      </c>
      <c r="Q2">
        <f>'Transpo perseq'!AC2*Pondération!$D$10</f>
        <v>4.9534736535504628E-3</v>
      </c>
      <c r="R2">
        <f>'Transpo perseq'!AD2*Pondération!$D$9</f>
        <v>3.605941954246672E-2</v>
      </c>
      <c r="S2">
        <f>'Transpo perseq'!AE2*Pondération!$D$11</f>
        <v>2.4482045686865606E-4</v>
      </c>
      <c r="U2">
        <f>SUM(D2:S2)</f>
        <v>5.446677676764216E-2</v>
      </c>
    </row>
    <row r="3" spans="1:21" x14ac:dyDescent="0.3">
      <c r="A3" t="s">
        <v>1</v>
      </c>
      <c r="B3" t="s">
        <v>9</v>
      </c>
      <c r="C3" t="s">
        <v>56</v>
      </c>
      <c r="D3">
        <f>'Transpo perseq'!D3*Pondération!$D$17</f>
        <v>1.8352E-5</v>
      </c>
      <c r="E3">
        <f>'Transpo perseq'!E3*Pondération!$D$2</f>
        <v>1.0951199999999999E-4</v>
      </c>
      <c r="F3">
        <f>'Transpo perseq'!I3*Pondération!$D$12</f>
        <v>-1.5790079999999998E-6</v>
      </c>
      <c r="G3">
        <f>'Transpo perseq'!M3*Pondération!$D$15</f>
        <v>9.2735999999999991E-8</v>
      </c>
      <c r="H3">
        <f>'Transpo perseq'!N3*Pondération!$D$14</f>
        <v>3.1636480000000001E-6</v>
      </c>
      <c r="I3">
        <f>'Transpo perseq'!O3*Pondération!$D$16</f>
        <v>4.825968E-6</v>
      </c>
      <c r="J3">
        <f>'Transpo perseq'!P3*Pondération!$D$4</f>
        <v>1.8505440000000001E-7</v>
      </c>
      <c r="K3">
        <f>'Transpo perseq'!T3*Pondération!$D$5</f>
        <v>2.9789575322581219E-7</v>
      </c>
      <c r="L3">
        <f>'Transpo perseq'!X3*Pondération!$D$7</f>
        <v>-8.0891446311601045E-6</v>
      </c>
      <c r="M3">
        <f>'Transpo perseq'!Y3*Pondération!$D$13</f>
        <v>-7.0835263905190507E-8</v>
      </c>
      <c r="N3">
        <f>'Transpo perseq'!Z3*Pondération!$D$3</f>
        <v>-5.5412275323132462E-15</v>
      </c>
      <c r="O3">
        <f>'Transpo perseq'!AA3*Pondération!$D$6</f>
        <v>1.8118302173766286E-5</v>
      </c>
      <c r="P3">
        <f>'Transpo perseq'!AB3*Pondération!$D$8</f>
        <v>8.5510419884842735E-6</v>
      </c>
      <c r="Q3">
        <f>'Transpo perseq'!AC3*Pondération!$D$10</f>
        <v>7.7630764211000024E-5</v>
      </c>
      <c r="R3">
        <f>'Transpo perseq'!AD3*Pondération!$D$9</f>
        <v>2.5324723094760019E-7</v>
      </c>
      <c r="S3">
        <f>'Transpo perseq'!AE3*Pondération!$D$11</f>
        <v>1.3410621856786486E-6</v>
      </c>
      <c r="U3">
        <f>SUM(D3:S3)</f>
        <v>2.3258473204249613E-4</v>
      </c>
    </row>
    <row r="4" spans="1:21" x14ac:dyDescent="0.3">
      <c r="A4" t="s">
        <v>1</v>
      </c>
      <c r="B4" t="s">
        <v>9</v>
      </c>
      <c r="C4" t="s">
        <v>57</v>
      </c>
      <c r="D4">
        <f>'Transpo perseq'!D4*Pondération!$D$17</f>
        <v>5.6543999999999996E-6</v>
      </c>
      <c r="E4">
        <f>'Transpo perseq'!E4*Pondération!$D$2</f>
        <v>2.2037184000000003E-5</v>
      </c>
      <c r="F4">
        <f>'Transpo perseq'!I4*Pondération!$D$12</f>
        <v>3.7478399999999998E-6</v>
      </c>
      <c r="G4">
        <f>'Transpo perseq'!M4*Pondération!$D$15</f>
        <v>4.3769599999999999E-8</v>
      </c>
      <c r="H4">
        <f>'Transpo perseq'!N4*Pondération!$D$14</f>
        <v>3.7461760000000004E-6</v>
      </c>
      <c r="I4">
        <f>'Transpo perseq'!O4*Pondération!$D$16</f>
        <v>5.7460480000000002E-6</v>
      </c>
      <c r="J4">
        <f>'Transpo perseq'!P4*Pondération!$D$4</f>
        <v>2.1300000000000001E-7</v>
      </c>
      <c r="K4">
        <f>'Transpo perseq'!T4*Pondération!$D$5</f>
        <v>7.516608753811338E-7</v>
      </c>
      <c r="L4">
        <f>'Transpo perseq'!X4*Pondération!$D$7</f>
        <v>3.5600312497000765E-8</v>
      </c>
      <c r="M4">
        <f>'Transpo perseq'!Y4*Pondération!$D$13</f>
        <v>3.7508153136337834E-7</v>
      </c>
      <c r="N4">
        <f>'Transpo perseq'!Z4*Pondération!$D$3</f>
        <v>1.963606091090133E-16</v>
      </c>
      <c r="O4">
        <f>'Transpo perseq'!AA4*Pondération!$D$6</f>
        <v>2.8288787815405181E-6</v>
      </c>
      <c r="P4">
        <f>'Transpo perseq'!AB4*Pondération!$D$8</f>
        <v>5.621051724222253E-6</v>
      </c>
      <c r="Q4">
        <f>'Transpo perseq'!AC4*Pondération!$D$10</f>
        <v>1.4415983050847405E-5</v>
      </c>
      <c r="R4">
        <f>'Transpo perseq'!AD4*Pondération!$D$9</f>
        <v>8.9298150745645113E-8</v>
      </c>
      <c r="S4">
        <f>'Transpo perseq'!AE4*Pondération!$D$11</f>
        <v>5.8226263712350119E-8</v>
      </c>
      <c r="U4">
        <f t="shared" ref="U4:U67" si="0">SUM(D4:S4)</f>
        <v>6.5364198290506051E-5</v>
      </c>
    </row>
    <row r="5" spans="1:21" x14ac:dyDescent="0.3">
      <c r="A5" t="s">
        <v>1</v>
      </c>
      <c r="B5" t="s">
        <v>10</v>
      </c>
      <c r="C5" t="s">
        <v>58</v>
      </c>
      <c r="D5">
        <f>'Transpo perseq'!D5*Pondération!$D$17</f>
        <v>1.01184E-4</v>
      </c>
      <c r="E5">
        <f>'Transpo perseq'!E5*Pondération!$D$2</f>
        <v>8.9968320000000004E-4</v>
      </c>
      <c r="F5">
        <f>'Transpo perseq'!I5*Pondération!$D$12</f>
        <v>2.555904E-5</v>
      </c>
      <c r="G5">
        <f>'Transpo perseq'!M5*Pondération!$D$15</f>
        <v>2.4505599999999999E-7</v>
      </c>
      <c r="H5">
        <f>'Transpo perseq'!N5*Pondération!$D$14</f>
        <v>3.1494400000000001E-5</v>
      </c>
      <c r="I5">
        <f>'Transpo perseq'!O5*Pondération!$D$16</f>
        <v>4.6004000000000002E-5</v>
      </c>
      <c r="J5">
        <f>'Transpo perseq'!P5*Pondération!$D$4</f>
        <v>3.7147200000000003E-6</v>
      </c>
      <c r="K5">
        <f>'Transpo perseq'!T5*Pondération!$D$5</f>
        <v>2.929604458954812E-5</v>
      </c>
      <c r="L5">
        <f>'Transpo perseq'!X5*Pondération!$D$7</f>
        <v>6.4217805914927611E-6</v>
      </c>
      <c r="M5">
        <f>'Transpo perseq'!Y5*Pondération!$D$13</f>
        <v>1.7936189794762493E-6</v>
      </c>
      <c r="N5">
        <f>'Transpo perseq'!Z5*Pondération!$D$3</f>
        <v>3.1697074711876566E-14</v>
      </c>
      <c r="O5">
        <f>'Transpo perseq'!AA5*Pondération!$D$6</f>
        <v>1.6689023564806082E-4</v>
      </c>
      <c r="P5">
        <f>'Transpo perseq'!AB5*Pondération!$D$8</f>
        <v>8.1901843959456344E-5</v>
      </c>
      <c r="Q5">
        <f>'Transpo perseq'!AC5*Pondération!$D$10</f>
        <v>4.8121674907235598E-4</v>
      </c>
      <c r="R5">
        <f>'Transpo perseq'!AD5*Pondération!$D$9</f>
        <v>1.3783906015243715E-5</v>
      </c>
      <c r="S5">
        <f>'Transpo perseq'!AE5*Pondération!$D$11</f>
        <v>8.6394101304967372E-5</v>
      </c>
      <c r="U5">
        <f t="shared" si="0"/>
        <v>1.9755826961922987E-3</v>
      </c>
    </row>
    <row r="6" spans="1:21" x14ac:dyDescent="0.3">
      <c r="A6" t="s">
        <v>1</v>
      </c>
      <c r="B6" t="s">
        <v>10</v>
      </c>
      <c r="C6" t="s">
        <v>59</v>
      </c>
      <c r="D6">
        <f>'Transpo perseq'!D6*Pondération!$D$17</f>
        <v>5.3270399999999997E-5</v>
      </c>
      <c r="E6">
        <f>'Transpo perseq'!E6*Pondération!$D$2</f>
        <v>7.0087679999999996E-4</v>
      </c>
      <c r="F6">
        <f>'Transpo perseq'!I6*Pondération!$D$12</f>
        <v>1.0598399999999998E-4</v>
      </c>
      <c r="G6">
        <f>'Transpo perseq'!M6*Pondération!$D$15</f>
        <v>5.7344000000000003E-7</v>
      </c>
      <c r="H6">
        <f>'Transpo perseq'!N6*Pondération!$D$14</f>
        <v>2.6474240000000001E-5</v>
      </c>
      <c r="I6">
        <f>'Transpo perseq'!O6*Pondération!$D$16</f>
        <v>3.7337440000000002E-5</v>
      </c>
      <c r="J6">
        <f>'Transpo perseq'!P6*Pondération!$D$4</f>
        <v>7.5998399999999999E-6</v>
      </c>
      <c r="K6">
        <f>'Transpo perseq'!T6*Pondération!$D$5</f>
        <v>2.0324934281600209E-5</v>
      </c>
      <c r="L6">
        <f>'Transpo perseq'!X6*Pondération!$D$7</f>
        <v>1.4997520803257186E-5</v>
      </c>
      <c r="M6">
        <f>'Transpo perseq'!Y6*Pondération!$D$13</f>
        <v>1.6846329350406018E-6</v>
      </c>
      <c r="N6">
        <f>'Transpo perseq'!Z6*Pondération!$D$3</f>
        <v>8.7143007523853109E-14</v>
      </c>
      <c r="O6">
        <f>'Transpo perseq'!AA6*Pondération!$D$6</f>
        <v>4.1263214894970018E-5</v>
      </c>
      <c r="P6">
        <f>'Transpo perseq'!AB6*Pondération!$D$8</f>
        <v>6.9930181608654333E-5</v>
      </c>
      <c r="Q6">
        <f>'Transpo perseq'!AC6*Pondération!$D$10</f>
        <v>6.2096046937116904E-4</v>
      </c>
      <c r="R6">
        <f>'Transpo perseq'!AD6*Pondération!$D$9</f>
        <v>2.3628859065742314E-6</v>
      </c>
      <c r="S6">
        <f>'Transpo perseq'!AE6*Pondération!$D$11</f>
        <v>2.5088821040931183E-5</v>
      </c>
      <c r="U6">
        <f t="shared" si="0"/>
        <v>1.7287288209293396E-3</v>
      </c>
    </row>
    <row r="7" spans="1:21" x14ac:dyDescent="0.3">
      <c r="A7" t="s">
        <v>1</v>
      </c>
      <c r="B7" t="s">
        <v>10</v>
      </c>
      <c r="C7" t="s">
        <v>56</v>
      </c>
      <c r="D7">
        <f>'Transpo perseq'!D7*Pondération!$D$17</f>
        <v>1.7260799999999999E-5</v>
      </c>
      <c r="E7">
        <f>'Transpo perseq'!E7*Pondération!$D$2</f>
        <v>1.0176192E-4</v>
      </c>
      <c r="F7">
        <f>'Transpo perseq'!I7*Pondération!$D$12</f>
        <v>-8.6937599999999996E-7</v>
      </c>
      <c r="G7">
        <f>'Transpo perseq'!M7*Pondération!$D$15</f>
        <v>9.0944000000000008E-7</v>
      </c>
      <c r="H7">
        <f>'Transpo perseq'!N7*Pondération!$D$14</f>
        <v>3.0736640000000002E-6</v>
      </c>
      <c r="I7">
        <f>'Transpo perseq'!O7*Pondération!$D$16</f>
        <v>4.6360159999999998E-6</v>
      </c>
      <c r="J7">
        <f>'Transpo perseq'!P7*Pondération!$D$4</f>
        <v>2.204976E-7</v>
      </c>
      <c r="K7">
        <f>'Transpo perseq'!T7*Pondération!$D$5</f>
        <v>3.7459889262033229E-7</v>
      </c>
      <c r="L7">
        <f>'Transpo perseq'!X7*Pondération!$D$7</f>
        <v>-6.9531955542885269E-6</v>
      </c>
      <c r="M7">
        <f>'Transpo perseq'!Y7*Pondération!$D$13</f>
        <v>1.089481798858182E-6</v>
      </c>
      <c r="N7">
        <f>'Transpo perseq'!Z7*Pondération!$D$3</f>
        <v>1.2986115127531767E-8</v>
      </c>
      <c r="O7">
        <f>'Transpo perseq'!AA7*Pondération!$D$6</f>
        <v>1.8290020237162457E-5</v>
      </c>
      <c r="P7">
        <f>'Transpo perseq'!AB7*Pondération!$D$8</f>
        <v>8.1705737882144225E-6</v>
      </c>
      <c r="Q7">
        <f>'Transpo perseq'!AC7*Pondération!$D$10</f>
        <v>7.1824337928114767E-5</v>
      </c>
      <c r="R7">
        <f>'Transpo perseq'!AD7*Pondération!$D$9</f>
        <v>3.5835346797370832E-7</v>
      </c>
      <c r="S7">
        <f>'Transpo perseq'!AE7*Pondération!$D$11</f>
        <v>1.6128059245831773E-4</v>
      </c>
      <c r="U7">
        <f t="shared" si="0"/>
        <v>3.8144071073210059E-4</v>
      </c>
    </row>
    <row r="8" spans="1:21" x14ac:dyDescent="0.3">
      <c r="A8" t="s">
        <v>1</v>
      </c>
      <c r="B8" t="s">
        <v>10</v>
      </c>
      <c r="C8" t="s">
        <v>57</v>
      </c>
      <c r="D8">
        <f>'Transpo perseq'!D8*Pondération!$D$17</f>
        <v>3.8390399999999996E-4</v>
      </c>
      <c r="E8">
        <f>'Transpo perseq'!E8*Pondération!$D$2</f>
        <v>2.2374144000000002E-3</v>
      </c>
      <c r="F8">
        <f>'Transpo perseq'!I8*Pondération!$D$12</f>
        <v>3.8092799999999994E-4</v>
      </c>
      <c r="G8">
        <f>'Transpo perseq'!M8*Pondération!$D$15</f>
        <v>2.4236800000000002E-7</v>
      </c>
      <c r="H8">
        <f>'Transpo perseq'!N8*Pondération!$D$14</f>
        <v>2.3537920000000004E-4</v>
      </c>
      <c r="I8">
        <f>'Transpo perseq'!O8*Pondération!$D$16</f>
        <v>3.5734720000000001E-4</v>
      </c>
      <c r="J8">
        <f>'Transpo perseq'!P8*Pondération!$D$4</f>
        <v>1.9766400000000001E-5</v>
      </c>
      <c r="K8">
        <f>'Transpo perseq'!T8*Pondération!$D$5</f>
        <v>5.6948108786451883E-5</v>
      </c>
      <c r="L8">
        <f>'Transpo perseq'!X8*Pondération!$D$7</f>
        <v>1.5325727819058098E-6</v>
      </c>
      <c r="M8">
        <f>'Transpo perseq'!Y8*Pondération!$D$13</f>
        <v>2.287587843641738E-7</v>
      </c>
      <c r="N8">
        <f>'Transpo perseq'!Z8*Pondération!$D$3</f>
        <v>7.9946967468755595E-15</v>
      </c>
      <c r="O8">
        <f>'Transpo perseq'!AA8*Pondération!$D$6</f>
        <v>1.6510146519530639E-4</v>
      </c>
      <c r="P8">
        <f>'Transpo perseq'!AB8*Pondération!$D$8</f>
        <v>5.2122111055345343E-4</v>
      </c>
      <c r="Q8">
        <f>'Transpo perseq'!AC8*Pondération!$D$10</f>
        <v>1.4883784777358047E-3</v>
      </c>
      <c r="R8">
        <f>'Transpo perseq'!AD8*Pondération!$D$9</f>
        <v>3.36948388974844E-6</v>
      </c>
      <c r="S8">
        <f>'Transpo perseq'!AE8*Pondération!$D$11</f>
        <v>8.3241265956249937E-7</v>
      </c>
      <c r="U8">
        <f t="shared" si="0"/>
        <v>5.8525939583945925E-3</v>
      </c>
    </row>
    <row r="9" spans="1:21" x14ac:dyDescent="0.3">
      <c r="A9" t="s">
        <v>1</v>
      </c>
      <c r="B9" t="s">
        <v>11</v>
      </c>
      <c r="C9" t="s">
        <v>11</v>
      </c>
      <c r="D9">
        <f>'Transpo perseq'!D9*Pondération!$D$17</f>
        <v>3.7993600000000002E-2</v>
      </c>
      <c r="E9">
        <f>'Transpo perseq'!E9*Pondération!$D$2</f>
        <v>0.12096864000000002</v>
      </c>
      <c r="F9">
        <f>'Transpo perseq'!I9*Pondération!$D$12</f>
        <v>0.29552639999999997</v>
      </c>
      <c r="G9">
        <f>'Transpo perseq'!M9*Pondération!$D$15</f>
        <v>0.16844800000000001</v>
      </c>
      <c r="H9">
        <f>'Transpo perseq'!N9*Pondération!$D$14</f>
        <v>1.1982080000000001E-2</v>
      </c>
      <c r="I9">
        <f>'Transpo perseq'!O9*Pondération!$D$16</f>
        <v>1.8104800000000001E-2</v>
      </c>
      <c r="J9">
        <f>'Transpo perseq'!P9*Pondération!$D$4</f>
        <v>8.7244799999999997E-3</v>
      </c>
      <c r="K9">
        <f>'Transpo perseq'!T9*Pondération!$D$5</f>
        <v>1.929399533407233E-2</v>
      </c>
      <c r="L9">
        <f>'Transpo perseq'!X9*Pondération!$D$7</f>
        <v>7.3911966581170314E-3</v>
      </c>
      <c r="M9">
        <f>'Transpo perseq'!Y9*Pondération!$D$13</f>
        <v>2.7120553521089879E-3</v>
      </c>
      <c r="N9">
        <f>'Transpo perseq'!Z9*Pondération!$D$3</f>
        <v>7.0130778808626083E-4</v>
      </c>
      <c r="O9">
        <f>'Transpo perseq'!AA9*Pondération!$D$6</f>
        <v>3.5849213794767847E-2</v>
      </c>
      <c r="P9">
        <f>'Transpo perseq'!AB9*Pondération!$D$8</f>
        <v>2.5015068959580077E-2</v>
      </c>
      <c r="Q9">
        <f>'Transpo perseq'!AC9*Pondération!$D$10</f>
        <v>7.7029674091031494E-2</v>
      </c>
      <c r="R9">
        <f>'Transpo perseq'!AD9*Pondération!$D$9</f>
        <v>3.7171138107237289</v>
      </c>
      <c r="S9">
        <f>'Transpo perseq'!AE9*Pondération!$D$11</f>
        <v>1.5617337430713137E-2</v>
      </c>
      <c r="U9">
        <f t="shared" si="0"/>
        <v>4.5624716601322062</v>
      </c>
    </row>
    <row r="10" spans="1:21" x14ac:dyDescent="0.3">
      <c r="A10" t="s">
        <v>1</v>
      </c>
      <c r="B10" t="s">
        <v>11</v>
      </c>
      <c r="C10" t="s">
        <v>56</v>
      </c>
      <c r="D10">
        <f>'Transpo perseq'!D10*Pondération!$D$17</f>
        <v>8.6799999999999996E-5</v>
      </c>
      <c r="E10">
        <f>'Transpo perseq'!E10*Pondération!$D$2</f>
        <v>3.8750400000000005E-4</v>
      </c>
      <c r="F10">
        <f>'Transpo perseq'!I10*Pondération!$D$12</f>
        <v>4.7923199999999995E-5</v>
      </c>
      <c r="G10">
        <f>'Transpo perseq'!M10*Pondération!$D$15</f>
        <v>7.4368000000000004E-5</v>
      </c>
      <c r="H10">
        <f>'Transpo perseq'!N10*Pondération!$D$14</f>
        <v>2.3585280000000001E-5</v>
      </c>
      <c r="I10">
        <f>'Transpo perseq'!O10*Pondération!$D$16</f>
        <v>3.1164000000000002E-5</v>
      </c>
      <c r="J10">
        <f>'Transpo perseq'!P10*Pondération!$D$4</f>
        <v>5.0438400000000001E-6</v>
      </c>
      <c r="K10">
        <f>'Transpo perseq'!T10*Pondération!$D$5</f>
        <v>9.8822400777650152E-6</v>
      </c>
      <c r="L10">
        <f>'Transpo perseq'!X10*Pondération!$D$7</f>
        <v>2.1343970606843964E-5</v>
      </c>
      <c r="M10">
        <f>'Transpo perseq'!Y10*Pondération!$D$13</f>
        <v>1.0372018300965167E-4</v>
      </c>
      <c r="N10">
        <f>'Transpo perseq'!Z10*Pondération!$D$3</f>
        <v>1.16875080477606E-6</v>
      </c>
      <c r="O10">
        <f>'Transpo perseq'!AA10*Pondération!$D$6</f>
        <v>1.9663764744331654E-4</v>
      </c>
      <c r="P10">
        <f>'Transpo perseq'!AB10*Pondération!$D$8</f>
        <v>5.1268281860554974E-5</v>
      </c>
      <c r="Q10">
        <f>'Transpo perseq'!AC10*Pondération!$D$10</f>
        <v>2.537292766503173E-4</v>
      </c>
      <c r="R10">
        <f>'Transpo perseq'!AD10*Pondération!$D$9</f>
        <v>1.1992033641825741E-5</v>
      </c>
      <c r="S10">
        <f>'Transpo perseq'!AE10*Pondération!$D$11</f>
        <v>1.440796834639437E-2</v>
      </c>
      <c r="U10">
        <f t="shared" si="0"/>
        <v>1.571409905048942E-2</v>
      </c>
    </row>
    <row r="11" spans="1:21" x14ac:dyDescent="0.3">
      <c r="A11" t="s">
        <v>1</v>
      </c>
      <c r="B11" t="s">
        <v>11</v>
      </c>
      <c r="C11" t="s">
        <v>57</v>
      </c>
      <c r="D11">
        <f>'Transpo perseq'!D11*Pondération!$D$17</f>
        <v>5.7833600000000001E-6</v>
      </c>
      <c r="E11">
        <f>'Transpo perseq'!E11*Pondération!$D$2</f>
        <v>2.2576320000000001E-5</v>
      </c>
      <c r="F11">
        <f>'Transpo perseq'!I11*Pondération!$D$12</f>
        <v>3.8399999999999997E-6</v>
      </c>
      <c r="G11">
        <f>'Transpo perseq'!M11*Pondération!$D$15</f>
        <v>4.4799999999999997E-8</v>
      </c>
      <c r="H11">
        <f>'Transpo perseq'!N11*Pondération!$D$14</f>
        <v>3.8408960000000007E-6</v>
      </c>
      <c r="I11">
        <f>'Transpo perseq'!O11*Pondération!$D$16</f>
        <v>5.8885119999999999E-6</v>
      </c>
      <c r="J11">
        <f>'Transpo perseq'!P11*Pondération!$D$4</f>
        <v>2.1845279999999999E-7</v>
      </c>
      <c r="K11">
        <f>'Transpo perseq'!T11*Pondération!$D$5</f>
        <v>7.7003825904231291E-7</v>
      </c>
      <c r="L11">
        <f>'Transpo perseq'!X11*Pondération!$D$7</f>
        <v>3.6470705812182231E-8</v>
      </c>
      <c r="M11">
        <f>'Transpo perseq'!Y11*Pondération!$D$13</f>
        <v>3.8425191315635071E-7</v>
      </c>
      <c r="N11">
        <f>'Transpo perseq'!Z11*Pondération!$D$3</f>
        <v>2.0116143667331734E-16</v>
      </c>
      <c r="O11">
        <f>'Transpo perseq'!AA11*Pondération!$D$6</f>
        <v>2.8980421401801029E-6</v>
      </c>
      <c r="P11">
        <f>'Transpo perseq'!AB11*Pondération!$D$8</f>
        <v>5.758481019132641E-6</v>
      </c>
      <c r="Q11">
        <f>'Transpo perseq'!AC11*Pondération!$D$10</f>
        <v>1.4768439936732384E-5</v>
      </c>
      <c r="R11">
        <f>'Transpo perseq'!AD11*Pondération!$D$9</f>
        <v>9.1481404431230767E-8</v>
      </c>
      <c r="S11">
        <f>'Transpo perseq'!AE11*Pondération!$D$11</f>
        <v>5.9649839719089077E-8</v>
      </c>
      <c r="U11">
        <f t="shared" si="0"/>
        <v>6.6959196018407459E-5</v>
      </c>
    </row>
    <row r="12" spans="1:21" x14ac:dyDescent="0.3">
      <c r="A12" t="s">
        <v>2</v>
      </c>
      <c r="B12" t="s">
        <v>12</v>
      </c>
      <c r="C12" t="s">
        <v>12</v>
      </c>
      <c r="D12">
        <f>'Transpo perseq'!D12*Pondération!$D$17</f>
        <v>2.3708800000000002E-2</v>
      </c>
      <c r="E12">
        <f>'Transpo perseq'!E12*Pondération!$D$2</f>
        <v>7.2446399999999994E-2</v>
      </c>
      <c r="F12">
        <f>'Transpo perseq'!I12*Pondération!$D$12</f>
        <v>4.1472000000000002E-2</v>
      </c>
      <c r="G12">
        <f>'Transpo perseq'!M12*Pondération!$D$15</f>
        <v>6.1376000000000007E-2</v>
      </c>
      <c r="H12">
        <f>'Transpo perseq'!N12*Pondération!$D$14</f>
        <v>1.7760000000000001E-2</v>
      </c>
      <c r="I12">
        <f>'Transpo perseq'!O12*Pondération!$D$16</f>
        <v>9.0820799999999993E-3</v>
      </c>
      <c r="J12">
        <f>'Transpo perseq'!P12*Pondération!$D$4</f>
        <v>2.7093600000000001E-3</v>
      </c>
      <c r="K12">
        <f>'Transpo perseq'!T12*Pondération!$D$5</f>
        <v>3.5242746119653605E-2</v>
      </c>
      <c r="L12">
        <f>'Transpo perseq'!X12*Pondération!$D$7</f>
        <v>8.6734044841147908E-3</v>
      </c>
      <c r="M12">
        <f>'Transpo perseq'!Y12*Pondération!$D$13</f>
        <v>3.6854508827693818E-4</v>
      </c>
      <c r="N12">
        <f>'Transpo perseq'!Z12*Pondération!$D$3</f>
        <v>2.0067892433923808E-4</v>
      </c>
      <c r="O12">
        <f>'Transpo perseq'!AA12*Pondération!$D$6</f>
        <v>2.8937492117105154E-2</v>
      </c>
      <c r="P12">
        <f>'Transpo perseq'!AB12*Pondération!$D$8</f>
        <v>1.2048438506138005E-2</v>
      </c>
      <c r="Q12">
        <f>'Transpo perseq'!AC12*Pondération!$D$10</f>
        <v>4.4670347822947092E-2</v>
      </c>
      <c r="R12">
        <f>'Transpo perseq'!AD12*Pondération!$D$9</f>
        <v>0.51101244995400374</v>
      </c>
      <c r="S12">
        <f>'Transpo perseq'!AE12*Pondération!$D$11</f>
        <v>3.6816006116255422</v>
      </c>
      <c r="U12">
        <f t="shared" si="0"/>
        <v>4.5513093546421208</v>
      </c>
    </row>
    <row r="13" spans="1:21" x14ac:dyDescent="0.3">
      <c r="A13" t="s">
        <v>2</v>
      </c>
      <c r="B13" t="s">
        <v>12</v>
      </c>
      <c r="C13" t="s">
        <v>56</v>
      </c>
      <c r="D13">
        <f>'Transpo perseq'!D13*Pondération!$D$17</f>
        <v>1.2995200000000002E-4</v>
      </c>
      <c r="E13">
        <f>'Transpo perseq'!E13*Pondération!$D$2</f>
        <v>5.7957120000000004E-4</v>
      </c>
      <c r="F13">
        <f>'Transpo perseq'!I13*Pondération!$D$12</f>
        <v>7.1884799999999993E-5</v>
      </c>
      <c r="G13">
        <f>'Transpo perseq'!M13*Pondération!$D$15</f>
        <v>1.1155199999999999E-4</v>
      </c>
      <c r="H13">
        <f>'Transpo perseq'!N13*Pondération!$D$14</f>
        <v>3.5330560000000001E-5</v>
      </c>
      <c r="I13">
        <f>'Transpo perseq'!O13*Pondération!$D$16</f>
        <v>4.671632E-5</v>
      </c>
      <c r="J13">
        <f>'Transpo perseq'!P13*Pondération!$D$4</f>
        <v>7.5657600000000002E-6</v>
      </c>
      <c r="K13">
        <f>'Transpo perseq'!T13*Pondération!$D$5</f>
        <v>1.4823360116647538E-5</v>
      </c>
      <c r="L13">
        <f>'Transpo perseq'!X13*Pondération!$D$7</f>
        <v>3.2015955910265946E-5</v>
      </c>
      <c r="M13">
        <f>'Transpo perseq'!Y13*Pondération!$D$13</f>
        <v>1.5558027451447709E-4</v>
      </c>
      <c r="N13">
        <f>'Transpo perseq'!Z13*Pondération!$D$3</f>
        <v>1.7531262071640899E-6</v>
      </c>
      <c r="O13">
        <f>'Transpo perseq'!AA13*Pondération!$D$6</f>
        <v>2.9495647116497409E-4</v>
      </c>
      <c r="P13">
        <f>'Transpo perseq'!AB13*Pondération!$D$8</f>
        <v>7.6902422790832648E-5</v>
      </c>
      <c r="Q13">
        <f>'Transpo perseq'!AC13*Pondération!$D$10</f>
        <v>3.805939149754766E-4</v>
      </c>
      <c r="R13">
        <f>'Transpo perseq'!AD13*Pondération!$D$9</f>
        <v>1.7988050462738569E-5</v>
      </c>
      <c r="S13">
        <f>'Transpo perseq'!AE13*Pondération!$D$11</f>
        <v>2.1611952519591485E-2</v>
      </c>
      <c r="U13">
        <f t="shared" si="0"/>
        <v>2.356913873573406E-2</v>
      </c>
    </row>
    <row r="14" spans="1:21" x14ac:dyDescent="0.3">
      <c r="A14" t="s">
        <v>2</v>
      </c>
      <c r="B14" t="s">
        <v>12</v>
      </c>
      <c r="C14" t="s">
        <v>57</v>
      </c>
      <c r="D14">
        <f>'Transpo perseq'!D14*Pondération!$D$17</f>
        <v>1.5475199999999999E-3</v>
      </c>
      <c r="E14">
        <f>'Transpo perseq'!E14*Pondération!$D$2</f>
        <v>8.9968320000000015E-3</v>
      </c>
      <c r="F14">
        <f>'Transpo perseq'!I14*Pondération!$D$12</f>
        <v>1.5329279999999998E-3</v>
      </c>
      <c r="G14">
        <f>'Transpo perseq'!M14*Pondération!$D$15</f>
        <v>9.7663999999999994E-7</v>
      </c>
      <c r="H14">
        <f>'Transpo perseq'!N14*Pondération!$D$14</f>
        <v>9.4720000000000004E-4</v>
      </c>
      <c r="I14">
        <f>'Transpo perseq'!O14*Pondération!$D$16</f>
        <v>1.436512E-3</v>
      </c>
      <c r="J14">
        <f>'Transpo perseq'!P14*Pondération!$D$4</f>
        <v>7.9406399999999992E-5</v>
      </c>
      <c r="K14">
        <f>'Transpo perseq'!T14*Pondération!$D$5</f>
        <v>2.2926756452637252E-4</v>
      </c>
      <c r="L14">
        <f>'Transpo perseq'!X14*Pondération!$D$7</f>
        <v>6.1699894281747408E-6</v>
      </c>
      <c r="M14">
        <f>'Transpo perseq'!Y14*Pondération!$D$13</f>
        <v>9.2096068636549393E-7</v>
      </c>
      <c r="N14">
        <f>'Transpo perseq'!Z14*Pondération!$D$3</f>
        <v>3.2185873970921663E-14</v>
      </c>
      <c r="O14">
        <f>'Transpo perseq'!AA14*Pondération!$D$6</f>
        <v>6.6468249133619633E-4</v>
      </c>
      <c r="P14">
        <f>'Transpo perseq'!AB14*Pondération!$D$8</f>
        <v>2.0983856556927652E-3</v>
      </c>
      <c r="Q14">
        <f>'Transpo perseq'!AC14*Pondération!$D$10</f>
        <v>5.9920674444792141E-3</v>
      </c>
      <c r="R14">
        <f>'Transpo perseq'!AD14*Pondération!$D$9</f>
        <v>1.3565215449213596E-5</v>
      </c>
      <c r="S14">
        <f>'Transpo perseq'!AE14*Pondération!$D$11</f>
        <v>3.3512126601856734E-6</v>
      </c>
      <c r="U14">
        <f t="shared" si="0"/>
        <v>2.3549785574290678E-2</v>
      </c>
    </row>
    <row r="15" spans="1:21" x14ac:dyDescent="0.3">
      <c r="A15" t="s">
        <v>1</v>
      </c>
      <c r="B15" t="s">
        <v>13</v>
      </c>
      <c r="C15" t="s">
        <v>13</v>
      </c>
      <c r="D15">
        <f>'Transpo perseq'!D15*Pondération!$D$17</f>
        <v>2.2419199999999997E-2</v>
      </c>
      <c r="E15">
        <f>'Transpo perseq'!E15*Pondération!$D$2</f>
        <v>8.9631359999999993E-2</v>
      </c>
      <c r="F15">
        <f>'Transpo perseq'!I15*Pondération!$D$12</f>
        <v>4.2086400000000003E-2</v>
      </c>
      <c r="G15">
        <f>'Transpo perseq'!M15*Pondération!$D$15</f>
        <v>3.3062400000000006E-2</v>
      </c>
      <c r="H15">
        <f>'Transpo perseq'!N15*Pondération!$D$14</f>
        <v>6.25152E-3</v>
      </c>
      <c r="I15">
        <f>'Transpo perseq'!O15*Pondération!$D$16</f>
        <v>8.4884799999999996E-3</v>
      </c>
      <c r="J15">
        <f>'Transpo perseq'!P15*Pondération!$D$4</f>
        <v>1.9357440000000001E-3</v>
      </c>
      <c r="K15">
        <f>'Transpo perseq'!T15*Pondération!$D$5</f>
        <v>3.7038687111543424E-3</v>
      </c>
      <c r="L15">
        <f>'Transpo perseq'!X15*Pondération!$D$7</f>
        <v>5.0109414875506835E-3</v>
      </c>
      <c r="M15">
        <f>'Transpo perseq'!Y15*Pondération!$D$13</f>
        <v>1.7598897073970081E-3</v>
      </c>
      <c r="N15">
        <f>'Transpo perseq'!Z15*Pondération!$D$3</f>
        <v>4.2108013070269146E-6</v>
      </c>
      <c r="O15">
        <f>'Transpo perseq'!AA15*Pondération!$D$6</f>
        <v>2.5999920109877003E-2</v>
      </c>
      <c r="P15">
        <f>'Transpo perseq'!AB15*Pondération!$D$8</f>
        <v>1.2291920716438398E-2</v>
      </c>
      <c r="Q15">
        <f>'Transpo perseq'!AC15*Pondération!$D$10</f>
        <v>5.5829186662056697E-2</v>
      </c>
      <c r="R15">
        <f>'Transpo perseq'!AD15*Pondération!$D$9</f>
        <v>0.12001383873405133</v>
      </c>
      <c r="S15">
        <f>'Transpo perseq'!AE15*Pondération!$D$11</f>
        <v>7.867440271657913E-3</v>
      </c>
      <c r="U15">
        <f t="shared" si="0"/>
        <v>0.43635632120149043</v>
      </c>
    </row>
    <row r="16" spans="1:21" x14ac:dyDescent="0.3">
      <c r="A16" t="s">
        <v>1</v>
      </c>
      <c r="B16" t="s">
        <v>13</v>
      </c>
      <c r="C16" t="s">
        <v>56</v>
      </c>
      <c r="D16">
        <f>'Transpo perseq'!D16*Pondération!$D$17</f>
        <v>8.6799999999999996E-5</v>
      </c>
      <c r="E16">
        <f>'Transpo perseq'!E16*Pondération!$D$2</f>
        <v>3.8750400000000005E-4</v>
      </c>
      <c r="F16">
        <f>'Transpo perseq'!I16*Pondération!$D$12</f>
        <v>4.7923199999999995E-5</v>
      </c>
      <c r="G16">
        <f>'Transpo perseq'!M16*Pondération!$D$15</f>
        <v>7.4368000000000004E-5</v>
      </c>
      <c r="H16">
        <f>'Transpo perseq'!N16*Pondération!$D$14</f>
        <v>2.3585280000000001E-5</v>
      </c>
      <c r="I16">
        <f>'Transpo perseq'!O16*Pondération!$D$16</f>
        <v>3.1164000000000002E-5</v>
      </c>
      <c r="J16">
        <f>'Transpo perseq'!P16*Pondération!$D$4</f>
        <v>5.0438400000000001E-6</v>
      </c>
      <c r="K16">
        <f>'Transpo perseq'!T16*Pondération!$D$5</f>
        <v>9.8822400777650152E-6</v>
      </c>
      <c r="L16">
        <f>'Transpo perseq'!X16*Pondération!$D$7</f>
        <v>2.1343970606843964E-5</v>
      </c>
      <c r="M16">
        <f>'Transpo perseq'!Y16*Pondération!$D$13</f>
        <v>1.0372018300965167E-4</v>
      </c>
      <c r="N16">
        <f>'Transpo perseq'!Z16*Pondération!$D$3</f>
        <v>1.16875080477606E-6</v>
      </c>
      <c r="O16">
        <f>'Transpo perseq'!AA16*Pondération!$D$6</f>
        <v>1.9663764744331654E-4</v>
      </c>
      <c r="P16">
        <f>'Transpo perseq'!AB16*Pondération!$D$8</f>
        <v>5.1268281860554974E-5</v>
      </c>
      <c r="Q16">
        <f>'Transpo perseq'!AC16*Pondération!$D$10</f>
        <v>2.537292766503173E-4</v>
      </c>
      <c r="R16">
        <f>'Transpo perseq'!AD16*Pondération!$D$9</f>
        <v>1.1992033641825741E-5</v>
      </c>
      <c r="S16">
        <f>'Transpo perseq'!AE16*Pondération!$D$11</f>
        <v>1.440796834639437E-2</v>
      </c>
      <c r="U16">
        <f t="shared" si="0"/>
        <v>1.571409905048942E-2</v>
      </c>
    </row>
    <row r="17" spans="1:21" x14ac:dyDescent="0.3">
      <c r="A17" t="s">
        <v>1</v>
      </c>
      <c r="B17" t="s">
        <v>13</v>
      </c>
      <c r="C17" t="s">
        <v>57</v>
      </c>
      <c r="D17">
        <f>'Transpo perseq'!D17*Pondération!$D$17</f>
        <v>5.9519999999999999E-6</v>
      </c>
      <c r="E17">
        <f>'Transpo perseq'!E17*Pondération!$D$2</f>
        <v>2.3216544000000001E-5</v>
      </c>
      <c r="F17">
        <f>'Transpo perseq'!I17*Pondération!$D$12</f>
        <v>3.9628800000000001E-6</v>
      </c>
      <c r="G17">
        <f>'Transpo perseq'!M17*Pondération!$D$15</f>
        <v>4.6143999999999999E-8</v>
      </c>
      <c r="H17">
        <f>'Transpo perseq'!N17*Pondération!$D$14</f>
        <v>3.9498239999999997E-6</v>
      </c>
      <c r="I17">
        <f>'Transpo perseq'!O17*Pondération!$D$16</f>
        <v>6.0547200000000004E-6</v>
      </c>
      <c r="J17">
        <f>'Transpo perseq'!P17*Pondération!$D$4</f>
        <v>2.2458719999999998E-7</v>
      </c>
      <c r="K17">
        <f>'Transpo perseq'!T17*Pondération!$D$5</f>
        <v>7.9203935215780755E-7</v>
      </c>
      <c r="L17">
        <f>'Transpo perseq'!X17*Pondération!$D$7</f>
        <v>3.7512725978244579E-8</v>
      </c>
      <c r="M17">
        <f>'Transpo perseq'!Y17*Pondération!$D$13</f>
        <v>3.9523053924653494E-7</v>
      </c>
      <c r="N17">
        <f>'Transpo perseq'!Z17*Pondération!$D$3</f>
        <v>2.069089062925544E-16</v>
      </c>
      <c r="O17">
        <f>'Transpo perseq'!AA17*Pondération!$D$6</f>
        <v>2.9808433441852478E-6</v>
      </c>
      <c r="P17">
        <f>'Transpo perseq'!AB17*Pondération!$D$8</f>
        <v>5.9230090482507172E-6</v>
      </c>
      <c r="Q17">
        <f>'Transpo perseq'!AC17*Pondération!$D$10</f>
        <v>1.5190395363496172E-5</v>
      </c>
      <c r="R17">
        <f>'Transpo perseq'!AD17*Pondération!$D$9</f>
        <v>9.4095158843551722E-8</v>
      </c>
      <c r="S17">
        <f>'Transpo perseq'!AE17*Pondération!$D$11</f>
        <v>6.1354120853923924E-8</v>
      </c>
      <c r="U17">
        <f t="shared" si="0"/>
        <v>6.8881178853219093E-5</v>
      </c>
    </row>
    <row r="18" spans="1:21" x14ac:dyDescent="0.3">
      <c r="A18" t="s">
        <v>1</v>
      </c>
      <c r="B18" t="s">
        <v>14</v>
      </c>
      <c r="C18" t="s">
        <v>56</v>
      </c>
      <c r="D18">
        <f>'Transpo perseq'!D18*Pondération!$D$17</f>
        <v>7.5987200000000003E-5</v>
      </c>
      <c r="E18">
        <f>'Transpo perseq'!E18*Pondération!$D$2</f>
        <v>3.0730751999999997E-4</v>
      </c>
      <c r="F18">
        <f>'Transpo perseq'!I18*Pondération!$D$12</f>
        <v>5.4988799999999991E-5</v>
      </c>
      <c r="G18">
        <f>'Transpo perseq'!M18*Pondération!$D$15</f>
        <v>8.2432E-5</v>
      </c>
      <c r="H18">
        <f>'Transpo perseq'!N18*Pondération!$D$14</f>
        <v>2.2685440000000001E-5</v>
      </c>
      <c r="I18">
        <f>'Transpo perseq'!O18*Pondération!$D$16</f>
        <v>2.9264479999999999E-5</v>
      </c>
      <c r="J18">
        <f>'Transpo perseq'!P18*Pondération!$D$4</f>
        <v>5.41872E-6</v>
      </c>
      <c r="K18">
        <f>'Transpo perseq'!T18*Pondération!$D$5</f>
        <v>1.0649271471710247E-5</v>
      </c>
      <c r="L18">
        <f>'Transpo perseq'!X18*Pondération!$D$7</f>
        <v>3.2703461375560134E-5</v>
      </c>
      <c r="M18">
        <f>'Transpo perseq'!Y18*Pondération!$D$13</f>
        <v>1.1532335363728533E-4</v>
      </c>
      <c r="N18">
        <f>'Transpo perseq'!Z18*Pondération!$D$3</f>
        <v>1.2986120114636531E-6</v>
      </c>
      <c r="O18">
        <f>'Transpo perseq'!AA18*Pondération!$D$6</f>
        <v>1.9835482807727822E-4</v>
      </c>
      <c r="P18">
        <f>'Transpo perseq'!AB18*Pondération!$D$8</f>
        <v>4.7463599857856383E-5</v>
      </c>
      <c r="Q18">
        <f>'Transpo perseq'!AC18*Pondération!$D$10</f>
        <v>1.9566501382146467E-4</v>
      </c>
      <c r="R18">
        <f>'Transpo perseq'!AD18*Pondération!$D$9</f>
        <v>1.3043096012086824E-5</v>
      </c>
      <c r="S18">
        <f>'Transpo perseq'!AE18*Pondération!$D$11</f>
        <v>1.600736364912066E-2</v>
      </c>
      <c r="U18">
        <f t="shared" si="0"/>
        <v>1.7199949045385365E-2</v>
      </c>
    </row>
    <row r="19" spans="1:21" x14ac:dyDescent="0.3">
      <c r="A19" t="s">
        <v>1</v>
      </c>
      <c r="B19" t="s">
        <v>14</v>
      </c>
      <c r="C19" t="s">
        <v>14</v>
      </c>
      <c r="D19">
        <f>'Transpo perseq'!D19*Pondération!$D$17</f>
        <v>5.0988800000000001E-4</v>
      </c>
      <c r="E19">
        <f>'Transpo perseq'!E19*Pondération!$D$2</f>
        <v>1.6544736E-3</v>
      </c>
      <c r="F19">
        <f>'Transpo perseq'!I19*Pondération!$D$12</f>
        <v>1.3578239999999998E-4</v>
      </c>
      <c r="G19">
        <f>'Transpo perseq'!M19*Pondération!$D$15</f>
        <v>1.2275199999999999E-5</v>
      </c>
      <c r="H19">
        <f>'Transpo perseq'!N19*Pondération!$D$14</f>
        <v>8.9510400000000016E-5</v>
      </c>
      <c r="I19">
        <f>'Transpo perseq'!O19*Pondération!$D$16</f>
        <v>1.3355999999999999E-4</v>
      </c>
      <c r="J19">
        <f>'Transpo perseq'!P19*Pondération!$D$4</f>
        <v>2.4503520000000001E-2</v>
      </c>
      <c r="K19">
        <f>'Transpo perseq'!T19*Pondération!$D$5</f>
        <v>1.0335256643811535E-4</v>
      </c>
      <c r="L19">
        <f>'Transpo perseq'!X19*Pondération!$D$7</f>
        <v>0</v>
      </c>
      <c r="M19">
        <f>'Transpo perseq'!Y19*Pondération!$D$13</f>
        <v>0</v>
      </c>
      <c r="N19">
        <f>'Transpo perseq'!Z19*Pondération!$D$3</f>
        <v>0</v>
      </c>
      <c r="O19">
        <f>'Transpo perseq'!AA19*Pondération!$D$6</f>
        <v>6.5553302166897513E-4</v>
      </c>
      <c r="P19">
        <f>'Transpo perseq'!AB19*Pondération!$D$8</f>
        <v>2.1296522632865974E-4</v>
      </c>
      <c r="Q19">
        <f>'Transpo perseq'!AC19*Pondération!$D$10</f>
        <v>2.1319179885249391E-3</v>
      </c>
      <c r="R19">
        <f>'Transpo perseq'!AD19*Pondération!$D$9</f>
        <v>7.9832389823252668E-6</v>
      </c>
      <c r="S19">
        <f>'Transpo perseq'!AE19*Pondération!$D$11</f>
        <v>6.0614561729038102E-4</v>
      </c>
      <c r="U19">
        <f t="shared" si="0"/>
        <v>3.0756907259233399E-2</v>
      </c>
    </row>
    <row r="20" spans="1:21" x14ac:dyDescent="0.3">
      <c r="A20" t="s">
        <v>1</v>
      </c>
      <c r="B20" t="s">
        <v>14</v>
      </c>
      <c r="C20" t="s">
        <v>57</v>
      </c>
      <c r="D20">
        <f>'Transpo perseq'!D20*Pondération!$D$17</f>
        <v>2.8272E-5</v>
      </c>
      <c r="E20">
        <f>'Transpo perseq'!E20*Pondération!$D$2</f>
        <v>1.1052287999999999E-4</v>
      </c>
      <c r="F20">
        <f>'Transpo perseq'!I20*Pondération!$D$12</f>
        <v>1.8831359999999998E-5</v>
      </c>
      <c r="G20">
        <f>'Transpo perseq'!M20*Pondération!$D$15</f>
        <v>2.1952E-7</v>
      </c>
      <c r="H20">
        <f>'Transpo perseq'!N20*Pondération!$D$14</f>
        <v>1.8754560000000002E-5</v>
      </c>
      <c r="I20">
        <f>'Transpo perseq'!O20*Pondération!$D$16</f>
        <v>2.87896E-5</v>
      </c>
      <c r="J20">
        <f>'Transpo perseq'!P20*Pondération!$D$4</f>
        <v>1.066704E-6</v>
      </c>
      <c r="K20">
        <f>'Transpo perseq'!T20*Pondération!$D$5</f>
        <v>3.7654531914754213E-6</v>
      </c>
      <c r="L20">
        <f>'Transpo perseq'!X20*Pondération!$D$7</f>
        <v>1.7834014606837387E-7</v>
      </c>
      <c r="M20">
        <f>'Transpo perseq'!Y20*Pondération!$D$13</f>
        <v>1.8789749414848579E-6</v>
      </c>
      <c r="N20">
        <f>'Transpo perseq'!Z20*Pondération!$D$3</f>
        <v>9.8367057068745004E-16</v>
      </c>
      <c r="O20">
        <f>'Transpo perseq'!AA20*Pondération!$D$6</f>
        <v>1.4171298500600599E-5</v>
      </c>
      <c r="P20">
        <f>'Transpo perseq'!AB20*Pondération!$D$8</f>
        <v>2.8158718709003986E-5</v>
      </c>
      <c r="Q20">
        <f>'Transpo perseq'!AC20*Pondération!$D$10</f>
        <v>7.2217021219235668E-5</v>
      </c>
      <c r="R20">
        <f>'Transpo perseq'!AD20*Pondération!$D$9</f>
        <v>4.4734004087620632E-7</v>
      </c>
      <c r="S20">
        <f>'Transpo perseq'!AE20*Pondération!$D$11</f>
        <v>2.9168509058315404E-7</v>
      </c>
      <c r="U20">
        <f t="shared" si="0"/>
        <v>3.2756545584031193E-4</v>
      </c>
    </row>
    <row r="21" spans="1:21" x14ac:dyDescent="0.3">
      <c r="A21" t="s">
        <v>2</v>
      </c>
      <c r="B21" t="s">
        <v>15</v>
      </c>
      <c r="C21" t="s">
        <v>56</v>
      </c>
      <c r="D21">
        <f>'Transpo perseq'!D21*Pondération!$D$17</f>
        <v>8.6799999999999996E-5</v>
      </c>
      <c r="E21">
        <f>'Transpo perseq'!E21*Pondération!$D$2</f>
        <v>3.8750400000000005E-4</v>
      </c>
      <c r="F21">
        <f>'Transpo perseq'!I21*Pondération!$D$12</f>
        <v>4.7923199999999995E-5</v>
      </c>
      <c r="G21">
        <f>'Transpo perseq'!M21*Pondération!$D$15</f>
        <v>7.4368000000000004E-5</v>
      </c>
      <c r="H21">
        <f>'Transpo perseq'!N21*Pondération!$D$14</f>
        <v>2.3585280000000001E-5</v>
      </c>
      <c r="I21">
        <f>'Transpo perseq'!O21*Pondération!$D$16</f>
        <v>3.1164000000000002E-5</v>
      </c>
      <c r="J21">
        <f>'Transpo perseq'!P21*Pondération!$D$4</f>
        <v>5.0438400000000001E-6</v>
      </c>
      <c r="K21">
        <f>'Transpo perseq'!T21*Pondération!$D$5</f>
        <v>9.8822400777650152E-6</v>
      </c>
      <c r="L21">
        <f>'Transpo perseq'!X21*Pondération!$D$7</f>
        <v>2.1343970606843964E-5</v>
      </c>
      <c r="M21">
        <f>'Transpo perseq'!Y21*Pondération!$D$13</f>
        <v>1.0372018300965167E-4</v>
      </c>
      <c r="N21">
        <f>'Transpo perseq'!Z21*Pondération!$D$3</f>
        <v>1.16875080477606E-6</v>
      </c>
      <c r="O21">
        <f>'Transpo perseq'!AA21*Pondération!$D$6</f>
        <v>1.9663764744331654E-4</v>
      </c>
      <c r="P21">
        <f>'Transpo perseq'!AB21*Pondération!$D$8</f>
        <v>5.1268281860554974E-5</v>
      </c>
      <c r="Q21">
        <f>'Transpo perseq'!AC21*Pondération!$D$10</f>
        <v>2.537292766503173E-4</v>
      </c>
      <c r="R21">
        <f>'Transpo perseq'!AD21*Pondération!$D$9</f>
        <v>1.1992033641825741E-5</v>
      </c>
      <c r="S21">
        <f>'Transpo perseq'!AE21*Pondération!$D$11</f>
        <v>1.440796834639437E-2</v>
      </c>
      <c r="U21">
        <f t="shared" si="0"/>
        <v>1.571409905048942E-2</v>
      </c>
    </row>
    <row r="22" spans="1:21" x14ac:dyDescent="0.3">
      <c r="A22" t="s">
        <v>2</v>
      </c>
      <c r="B22" t="s">
        <v>15</v>
      </c>
      <c r="C22" t="s">
        <v>60</v>
      </c>
      <c r="D22">
        <f>'Transpo perseq'!D22*Pondération!$D$17</f>
        <v>3.0256000000000003E-3</v>
      </c>
      <c r="E22">
        <f>'Transpo perseq'!E22*Pondération!$D$2</f>
        <v>9.0979200000000007E-3</v>
      </c>
      <c r="F22">
        <f>'Transpo perseq'!I22*Pondération!$D$12</f>
        <v>0.5898239999999999</v>
      </c>
      <c r="G22">
        <f>'Transpo perseq'!M22*Pondération!$D$15</f>
        <v>7.7504000000000002E-3</v>
      </c>
      <c r="H22">
        <f>'Transpo perseq'!N22*Pondération!$D$14</f>
        <v>5.6831999999999998E-4</v>
      </c>
      <c r="I22">
        <f>'Transpo perseq'!O22*Pondération!$D$16</f>
        <v>7.8355199999999997E-4</v>
      </c>
      <c r="J22">
        <f>'Transpo perseq'!P22*Pondération!$D$4</f>
        <v>4.2259200000000001E-4</v>
      </c>
      <c r="K22">
        <f>'Transpo perseq'!T22*Pondération!$D$5</f>
        <v>1.0217250593690165E-3</v>
      </c>
      <c r="L22">
        <f>'Transpo perseq'!X22*Pondération!$D$7</f>
        <v>1.932412259282561E-3</v>
      </c>
      <c r="M22">
        <f>'Transpo perseq'!Y22*Pondération!$D$13</f>
        <v>5.3548082803850896E-5</v>
      </c>
      <c r="N22">
        <f>'Transpo perseq'!Z22*Pondération!$D$3</f>
        <v>3.1951226017512356E-5</v>
      </c>
      <c r="O22">
        <f>'Transpo perseq'!AA22*Pondération!$D$6</f>
        <v>2.3008243805105809E-3</v>
      </c>
      <c r="P22">
        <f>'Transpo perseq'!AB22*Pondération!$D$8</f>
        <v>2.0649493544648225E-3</v>
      </c>
      <c r="Q22">
        <f>'Transpo perseq'!AC22*Pondération!$D$10</f>
        <v>7.3056550434746513E-3</v>
      </c>
      <c r="R22">
        <f>'Transpo perseq'!AD22*Pondération!$D$9</f>
        <v>0.10813052286740958</v>
      </c>
      <c r="S22">
        <f>'Transpo perseq'!AE22*Pondération!$D$11</f>
        <v>0.80083014840767774</v>
      </c>
      <c r="U22">
        <f t="shared" si="0"/>
        <v>1.5351441206810104</v>
      </c>
    </row>
    <row r="23" spans="1:21" x14ac:dyDescent="0.3">
      <c r="A23" t="s">
        <v>2</v>
      </c>
      <c r="B23" t="s">
        <v>15</v>
      </c>
      <c r="C23" t="s">
        <v>57</v>
      </c>
      <c r="D23">
        <f>'Transpo perseq'!D23*Pondération!$D$17</f>
        <v>9.9200000000000004E-4</v>
      </c>
      <c r="E23">
        <f>'Transpo perseq'!E23*Pondération!$D$2</f>
        <v>5.7957119999999997E-3</v>
      </c>
      <c r="F23">
        <f>'Transpo perseq'!I23*Pondération!$D$12</f>
        <v>9.8611199999999993E-4</v>
      </c>
      <c r="G23">
        <f>'Transpo perseq'!M23*Pondération!$D$15</f>
        <v>6.272E-7</v>
      </c>
      <c r="H23">
        <f>'Transpo perseq'!N23*Pondération!$D$14</f>
        <v>6.1094399999999998E-4</v>
      </c>
      <c r="I23">
        <f>'Transpo perseq'!O23*Pondération!$D$16</f>
        <v>9.2601599999999999E-4</v>
      </c>
      <c r="J23">
        <f>'Transpo perseq'!P23*Pondération!$D$4</f>
        <v>5.1119999999999992E-5</v>
      </c>
      <c r="K23">
        <f>'Transpo perseq'!T23*Pondération!$D$5</f>
        <v>1.4780013185042062E-4</v>
      </c>
      <c r="L23">
        <f>'Transpo perseq'!X23*Pondération!$D$7</f>
        <v>3.9775589402879967E-6</v>
      </c>
      <c r="M23">
        <f>'Transpo perseq'!Y23*Pondération!$D$13</f>
        <v>5.9370853943107908E-7</v>
      </c>
      <c r="N23">
        <f>'Transpo perseq'!Z23*Pondération!$D$3</f>
        <v>2.0749016226741662E-14</v>
      </c>
      <c r="O23">
        <f>'Transpo perseq'!AA23*Pondération!$D$6</f>
        <v>4.2849567517805261E-4</v>
      </c>
      <c r="P23">
        <f>'Transpo perseq'!AB23*Pondération!$D$8</f>
        <v>1.3527499069705788E-3</v>
      </c>
      <c r="Q23">
        <f>'Transpo perseq'!AC23*Pondération!$D$10</f>
        <v>3.8628593633826826E-3</v>
      </c>
      <c r="R23">
        <f>'Transpo perseq'!AD23*Pondération!$D$9</f>
        <v>8.7449815943873203E-6</v>
      </c>
      <c r="S23">
        <f>'Transpo perseq'!AE23*Pondération!$D$11</f>
        <v>2.1604001161586299E-6</v>
      </c>
      <c r="U23">
        <f t="shared" si="0"/>
        <v>1.5169912926592749E-2</v>
      </c>
    </row>
    <row r="24" spans="1:21" x14ac:dyDescent="0.3">
      <c r="A24" t="s">
        <v>1</v>
      </c>
      <c r="B24" t="s">
        <v>16</v>
      </c>
      <c r="C24" t="s">
        <v>56</v>
      </c>
      <c r="D24">
        <f>'Transpo perseq'!D24*Pondération!$D$17</f>
        <v>8.6799999999999996E-5</v>
      </c>
      <c r="E24">
        <f>'Transpo perseq'!E24*Pondération!$D$2</f>
        <v>3.8750400000000005E-4</v>
      </c>
      <c r="F24">
        <f>'Transpo perseq'!I24*Pondération!$D$12</f>
        <v>4.7923199999999995E-5</v>
      </c>
      <c r="G24">
        <f>'Transpo perseq'!M24*Pondération!$D$15</f>
        <v>7.4368000000000004E-5</v>
      </c>
      <c r="H24">
        <f>'Transpo perseq'!N24*Pondération!$D$14</f>
        <v>2.3585280000000001E-5</v>
      </c>
      <c r="I24">
        <f>'Transpo perseq'!O24*Pondération!$D$16</f>
        <v>3.1164000000000002E-5</v>
      </c>
      <c r="J24">
        <f>'Transpo perseq'!P24*Pondération!$D$4</f>
        <v>5.0438400000000001E-6</v>
      </c>
      <c r="K24">
        <f>'Transpo perseq'!T24*Pondération!$D$5</f>
        <v>9.8822400777650152E-6</v>
      </c>
      <c r="L24">
        <f>'Transpo perseq'!X24*Pondération!$D$7</f>
        <v>2.1343970606843964E-5</v>
      </c>
      <c r="M24">
        <f>'Transpo perseq'!Y24*Pondération!$D$13</f>
        <v>1.0372018300965167E-4</v>
      </c>
      <c r="N24">
        <f>'Transpo perseq'!Z24*Pondération!$D$3</f>
        <v>1.16875080477606E-6</v>
      </c>
      <c r="O24">
        <f>'Transpo perseq'!AA24*Pondération!$D$6</f>
        <v>1.9663764744331654E-4</v>
      </c>
      <c r="P24">
        <f>'Transpo perseq'!AB24*Pondération!$D$8</f>
        <v>5.1268281860554974E-5</v>
      </c>
      <c r="Q24">
        <f>'Transpo perseq'!AC24*Pondération!$D$10</f>
        <v>2.537292766503173E-4</v>
      </c>
      <c r="R24">
        <f>'Transpo perseq'!AD24*Pondération!$D$9</f>
        <v>1.1992033641825741E-5</v>
      </c>
      <c r="S24">
        <f>'Transpo perseq'!AE24*Pondération!$D$11</f>
        <v>1.440796834639437E-2</v>
      </c>
      <c r="U24">
        <f t="shared" si="0"/>
        <v>1.571409905048942E-2</v>
      </c>
    </row>
    <row r="25" spans="1:21" x14ac:dyDescent="0.3">
      <c r="A25" t="s">
        <v>1</v>
      </c>
      <c r="B25" t="s">
        <v>16</v>
      </c>
      <c r="C25" t="s">
        <v>61</v>
      </c>
      <c r="D25">
        <f>'Transpo perseq'!D25*Pondération!$D$17</f>
        <v>5.6345600000000003E-3</v>
      </c>
      <c r="E25">
        <f>'Transpo perseq'!E25*Pondération!$D$2</f>
        <v>1.8195840000000001E-2</v>
      </c>
      <c r="F25">
        <f>'Transpo perseq'!I25*Pondération!$D$12</f>
        <v>4.5772799999999995E-2</v>
      </c>
      <c r="G25">
        <f>'Transpo perseq'!M25*Pondération!$D$15</f>
        <v>2.5939199999999999E-2</v>
      </c>
      <c r="H25">
        <f>'Transpo perseq'!N25*Pondération!$D$14</f>
        <v>1.813888E-3</v>
      </c>
      <c r="I25">
        <f>'Transpo perseq'!O25*Pondération!$D$16</f>
        <v>2.7483679999999997E-3</v>
      </c>
      <c r="J25">
        <f>'Transpo perseq'!P25*Pondération!$D$4</f>
        <v>1.318896E-3</v>
      </c>
      <c r="K25">
        <f>'Transpo perseq'!T25*Pondération!$D$5</f>
        <v>2.9568931398594022E-3</v>
      </c>
      <c r="L25">
        <f>'Transpo perseq'!X25*Pondération!$D$7</f>
        <v>1.1325035344841106E-3</v>
      </c>
      <c r="M25">
        <f>'Transpo perseq'!Y25*Pondération!$D$13</f>
        <v>4.168803604235023E-4</v>
      </c>
      <c r="N25">
        <f>'Transpo perseq'!Z25*Pondération!$D$3</f>
        <v>1.0832764505342476E-4</v>
      </c>
      <c r="O25">
        <f>'Transpo perseq'!AA25*Pondération!$D$6</f>
        <v>5.3591667149244602E-3</v>
      </c>
      <c r="P25">
        <f>'Transpo perseq'!AB25*Pondération!$D$8</f>
        <v>3.7849967250879707E-3</v>
      </c>
      <c r="Q25">
        <f>'Transpo perseq'!AC25*Pondération!$D$10</f>
        <v>1.1712570454485701E-2</v>
      </c>
      <c r="R25">
        <f>'Transpo perseq'!AD25*Pondération!$D$9</f>
        <v>0.57816206518395552</v>
      </c>
      <c r="S25">
        <f>'Transpo perseq'!AE25*Pondération!$D$11</f>
        <v>2.4083651160985817E-3</v>
      </c>
      <c r="U25">
        <f t="shared" si="0"/>
        <v>0.70746532087437264</v>
      </c>
    </row>
    <row r="26" spans="1:21" x14ac:dyDescent="0.3">
      <c r="A26" t="s">
        <v>1</v>
      </c>
      <c r="B26" t="s">
        <v>16</v>
      </c>
      <c r="C26" t="s">
        <v>57</v>
      </c>
      <c r="D26">
        <f>'Transpo perseq'!D26*Pondération!$D$17</f>
        <v>3.5414399999999999E-6</v>
      </c>
      <c r="E26">
        <f>'Transpo perseq'!E26*Pondération!$D$2</f>
        <v>1.3815359999999999E-5</v>
      </c>
      <c r="F26">
        <f>'Transpo perseq'!I26*Pondération!$D$12</f>
        <v>2.3562239999999998E-6</v>
      </c>
      <c r="G26">
        <f>'Transpo perseq'!M26*Pondération!$D$15</f>
        <v>2.7417600000000003E-8</v>
      </c>
      <c r="H26">
        <f>'Transpo perseq'!N26*Pondération!$D$14</f>
        <v>2.3490560000000001E-6</v>
      </c>
      <c r="I26">
        <f>'Transpo perseq'!O26*Pondération!$D$16</f>
        <v>3.5972159999999996E-6</v>
      </c>
      <c r="J26">
        <f>'Transpo perseq'!P26*Pondération!$D$4</f>
        <v>1.335936E-7</v>
      </c>
      <c r="K26">
        <f>'Transpo perseq'!T26*Pondération!$D$5</f>
        <v>4.7082339267158384E-7</v>
      </c>
      <c r="L26">
        <f>'Transpo perseq'!X26*Pondération!$D$7</f>
        <v>2.229923155373431E-8</v>
      </c>
      <c r="M26">
        <f>'Transpo perseq'!Y26*Pondération!$D$13</f>
        <v>2.3494259832988234E-7</v>
      </c>
      <c r="N26">
        <f>'Transpo perseq'!Z26*Pondération!$D$3</f>
        <v>1.2299584985168543E-16</v>
      </c>
      <c r="O26">
        <f>'Transpo perseq'!AA26*Pondération!$D$6</f>
        <v>1.7719457657101169E-6</v>
      </c>
      <c r="P26">
        <f>'Transpo perseq'!AB26*Pondération!$D$8</f>
        <v>3.5208998231268122E-6</v>
      </c>
      <c r="Q26">
        <f>'Transpo perseq'!AC26*Pondération!$D$10</f>
        <v>9.0298461327449456E-6</v>
      </c>
      <c r="R26">
        <f>'Transpo perseq'!AD26*Pondération!$D$9</f>
        <v>5.5934344423666796E-8</v>
      </c>
      <c r="S26">
        <f>'Transpo perseq'!AE26*Pondération!$D$11</f>
        <v>3.6471616285387655E-8</v>
      </c>
      <c r="U26">
        <f t="shared" si="0"/>
        <v>4.096347010496912E-5</v>
      </c>
    </row>
    <row r="27" spans="1:21" x14ac:dyDescent="0.3">
      <c r="A27" t="s">
        <v>1</v>
      </c>
      <c r="B27" t="s">
        <v>17</v>
      </c>
      <c r="C27" t="s">
        <v>56</v>
      </c>
      <c r="D27">
        <f>'Transpo perseq'!D27*Pondération!$D$17</f>
        <v>8.6799999999999996E-5</v>
      </c>
      <c r="E27">
        <f>'Transpo perseq'!E27*Pondération!$D$2</f>
        <v>3.8750400000000005E-4</v>
      </c>
      <c r="F27">
        <f>'Transpo perseq'!I27*Pondération!$D$12</f>
        <v>4.7923199999999995E-5</v>
      </c>
      <c r="G27">
        <f>'Transpo perseq'!M27*Pondération!$D$15</f>
        <v>7.4368000000000004E-5</v>
      </c>
      <c r="H27">
        <f>'Transpo perseq'!N27*Pondération!$D$14</f>
        <v>2.3585280000000001E-5</v>
      </c>
      <c r="I27">
        <f>'Transpo perseq'!O27*Pondération!$D$16</f>
        <v>3.1164000000000002E-5</v>
      </c>
      <c r="J27">
        <f>'Transpo perseq'!P27*Pondération!$D$4</f>
        <v>5.0438400000000001E-6</v>
      </c>
      <c r="K27">
        <f>'Transpo perseq'!T27*Pondération!$D$5</f>
        <v>9.8822400777650152E-6</v>
      </c>
      <c r="L27">
        <f>'Transpo perseq'!X27*Pondération!$D$7</f>
        <v>2.1343970606843964E-5</v>
      </c>
      <c r="M27">
        <f>'Transpo perseq'!Y27*Pondération!$D$13</f>
        <v>1.0372018300965167E-4</v>
      </c>
      <c r="N27">
        <f>'Transpo perseq'!Z27*Pondération!$D$3</f>
        <v>1.16875080477606E-6</v>
      </c>
      <c r="O27">
        <f>'Transpo perseq'!AA27*Pondération!$D$6</f>
        <v>1.9663764744331654E-4</v>
      </c>
      <c r="P27">
        <f>'Transpo perseq'!AB27*Pondération!$D$8</f>
        <v>5.1268281860554974E-5</v>
      </c>
      <c r="Q27">
        <f>'Transpo perseq'!AC27*Pondération!$D$10</f>
        <v>2.537292766503173E-4</v>
      </c>
      <c r="R27">
        <f>'Transpo perseq'!AD27*Pondération!$D$9</f>
        <v>1.1992033641825741E-5</v>
      </c>
      <c r="S27">
        <f>'Transpo perseq'!AE27*Pondération!$D$11</f>
        <v>1.440796834639437E-2</v>
      </c>
      <c r="U27">
        <f t="shared" si="0"/>
        <v>1.571409905048942E-2</v>
      </c>
    </row>
    <row r="28" spans="1:21" x14ac:dyDescent="0.3">
      <c r="A28" t="s">
        <v>1</v>
      </c>
      <c r="B28" t="s">
        <v>17</v>
      </c>
      <c r="C28" t="s">
        <v>62</v>
      </c>
      <c r="D28">
        <f>'Transpo perseq'!D28*Pondération!$D$17</f>
        <v>6.2297600000000002E-4</v>
      </c>
      <c r="E28">
        <f>'Transpo perseq'!E28*Pondération!$D$2</f>
        <v>2.2812192000000002E-3</v>
      </c>
      <c r="F28">
        <f>'Transpo perseq'!I28*Pondération!$D$12</f>
        <v>3.0719999999999996E-3</v>
      </c>
      <c r="G28">
        <f>'Transpo perseq'!M28*Pondération!$D$15</f>
        <v>1.7024E-3</v>
      </c>
      <c r="H28">
        <f>'Transpo perseq'!N28*Pondération!$D$14</f>
        <v>1.6907520000000002E-4</v>
      </c>
      <c r="I28">
        <f>'Transpo perseq'!O28*Pondération!$D$16</f>
        <v>2.5584160000000002E-4</v>
      </c>
      <c r="J28">
        <f>'Transpo perseq'!P28*Pondération!$D$4</f>
        <v>2.0925119999999999E-4</v>
      </c>
      <c r="K28">
        <f>'Transpo perseq'!T28*Pondération!$D$5</f>
        <v>3.367889300540928E-4</v>
      </c>
      <c r="L28">
        <f>'Transpo perseq'!X28*Pondération!$D$7</f>
        <v>1.0814537691591953E-4</v>
      </c>
      <c r="M28">
        <f>'Transpo perseq'!Y28*Pondération!$D$13</f>
        <v>8.6982070201079936E-5</v>
      </c>
      <c r="N28">
        <f>'Transpo perseq'!Z28*Pondération!$D$3</f>
        <v>8.1427318045079993E-6</v>
      </c>
      <c r="O28">
        <f>'Transpo perseq'!AA28*Pondération!$D$6</f>
        <v>6.6087761369566149E-4</v>
      </c>
      <c r="P28">
        <f>'Transpo perseq'!AB28*Pondération!$D$8</f>
        <v>3.7501578125115543E-4</v>
      </c>
      <c r="Q28">
        <f>'Transpo perseq'!AC28*Pondération!$D$10</f>
        <v>1.4262687615081318E-3</v>
      </c>
      <c r="R28">
        <f>'Transpo perseq'!AD28*Pondération!$D$9</f>
        <v>2.9007573386237835E-2</v>
      </c>
      <c r="S28">
        <f>'Transpo perseq'!AE28*Pondération!$D$11</f>
        <v>1.9403359909174657E-4</v>
      </c>
      <c r="U28">
        <f t="shared" si="0"/>
        <v>4.0516591450760128E-2</v>
      </c>
    </row>
    <row r="29" spans="1:21" x14ac:dyDescent="0.3">
      <c r="A29" t="s">
        <v>1</v>
      </c>
      <c r="B29" t="s">
        <v>17</v>
      </c>
      <c r="C29" t="s">
        <v>57</v>
      </c>
      <c r="D29">
        <f>'Transpo perseq'!D29*Pondération!$D$17</f>
        <v>2.8172800000000002E-4</v>
      </c>
      <c r="E29">
        <f>'Transpo perseq'!E29*Pondération!$D$2</f>
        <v>1.6443648E-3</v>
      </c>
      <c r="F29">
        <f>'Transpo perseq'!I29*Pondération!$D$12</f>
        <v>2.7955199999999997E-4</v>
      </c>
      <c r="G29">
        <f>'Transpo perseq'!M29*Pondération!$D$15</f>
        <v>1.77856E-7</v>
      </c>
      <c r="H29">
        <f>'Transpo perseq'!N29*Pondération!$D$14</f>
        <v>1.72864E-4</v>
      </c>
      <c r="I29">
        <f>'Transpo perseq'!O29*Pondération!$D$16</f>
        <v>2.6237120000000003E-4</v>
      </c>
      <c r="J29">
        <f>'Transpo perseq'!P29*Pondération!$D$4</f>
        <v>1.4518079999999999E-5</v>
      </c>
      <c r="K29">
        <f>'Transpo perseq'!T29*Pondération!$D$5</f>
        <v>4.1834780708512628E-5</v>
      </c>
      <c r="L29">
        <f>'Transpo perseq'!X29*Pondération!$D$7</f>
        <v>1.1258468036451767E-6</v>
      </c>
      <c r="M29">
        <f>'Transpo perseq'!Y29*Pondération!$D$13</f>
        <v>1.6804901484801931E-7</v>
      </c>
      <c r="N29">
        <f>'Transpo perseq'!Z29*Pondération!$D$3</f>
        <v>5.8730024993589647E-15</v>
      </c>
      <c r="O29">
        <f>'Transpo perseq'!AA29*Pondération!$D$6</f>
        <v>1.2128556572440469E-4</v>
      </c>
      <c r="P29">
        <f>'Transpo perseq'!AB29*Pondération!$D$8</f>
        <v>3.8289543455108811E-4</v>
      </c>
      <c r="Q29">
        <f>'Transpo perseq'!AC29*Pondération!$D$10</f>
        <v>1.0933811245749509E-3</v>
      </c>
      <c r="R29">
        <f>'Transpo perseq'!AD29*Pondération!$D$9</f>
        <v>2.4752642823852129E-6</v>
      </c>
      <c r="S29">
        <f>'Transpo perseq'!AE29*Pondération!$D$11</f>
        <v>6.115005715531439E-7</v>
      </c>
      <c r="U29">
        <f t="shared" si="0"/>
        <v>4.299353502237261E-3</v>
      </c>
    </row>
    <row r="30" spans="1:21" x14ac:dyDescent="0.3">
      <c r="A30" t="s">
        <v>1</v>
      </c>
      <c r="B30" t="s">
        <v>18</v>
      </c>
      <c r="C30" t="s">
        <v>58</v>
      </c>
      <c r="D30">
        <f>'Transpo perseq'!D30*Pondération!$D$17</f>
        <v>1.79552E-4</v>
      </c>
      <c r="E30">
        <f>'Transpo perseq'!E30*Pondération!$D$2</f>
        <v>1.5837119999999999E-3</v>
      </c>
      <c r="F30">
        <f>'Transpo perseq'!I30*Pondération!$D$12</f>
        <v>4.6694399999999998E-5</v>
      </c>
      <c r="G30">
        <f>'Transpo perseq'!M30*Pondération!$D$15</f>
        <v>4.3769599999999995E-7</v>
      </c>
      <c r="H30">
        <f>'Transpo perseq'!N30*Pondération!$D$14</f>
        <v>5.5884799999999997E-5</v>
      </c>
      <c r="I30">
        <f>'Transpo perseq'!O30*Pondération!$D$16</f>
        <v>8.1323199999999994E-5</v>
      </c>
      <c r="J30">
        <f>'Transpo perseq'!P30*Pondération!$D$4</f>
        <v>6.6115199999999998E-6</v>
      </c>
      <c r="K30">
        <f>'Transpo perseq'!T30*Pondération!$D$5</f>
        <v>5.2203607642967499E-5</v>
      </c>
      <c r="L30">
        <f>'Transpo perseq'!X30*Pondération!$D$7</f>
        <v>2.397126214102705E-5</v>
      </c>
      <c r="M30">
        <f>'Transpo perseq'!Y30*Pondération!$D$13</f>
        <v>3.1768385953558408E-6</v>
      </c>
      <c r="N30">
        <f>'Transpo perseq'!Z30*Pondération!$D$3</f>
        <v>6.0167308992893243E-14</v>
      </c>
      <c r="O30">
        <f>'Transpo perseq'!AA30*Pondération!$D$6</f>
        <v>2.9602983034489734E-4</v>
      </c>
      <c r="P30">
        <f>'Transpo perseq'!AB30*Pondération!$D$8</f>
        <v>1.4528166300874389E-4</v>
      </c>
      <c r="Q30">
        <f>'Transpo perseq'!AC30*Pondération!$D$10</f>
        <v>8.5528879961305096E-4</v>
      </c>
      <c r="R30">
        <f>'Transpo perseq'!AD30*Pondération!$D$9</f>
        <v>2.445539408323127E-5</v>
      </c>
      <c r="S30">
        <f>'Transpo perseq'!AE30*Pondération!$D$11</f>
        <v>1.5287944290429811E-4</v>
      </c>
      <c r="U30">
        <f t="shared" si="0"/>
        <v>3.5075024543937392E-3</v>
      </c>
    </row>
    <row r="31" spans="1:21" x14ac:dyDescent="0.3">
      <c r="A31" t="s">
        <v>1</v>
      </c>
      <c r="B31" t="s">
        <v>18</v>
      </c>
      <c r="C31" t="s">
        <v>59</v>
      </c>
      <c r="D31">
        <f>'Transpo perseq'!D31*Pondération!$D$17</f>
        <v>3.89856E-4</v>
      </c>
      <c r="E31">
        <f>'Transpo perseq'!E31*Pondération!$D$2</f>
        <v>3.8076479999999998E-3</v>
      </c>
      <c r="F31">
        <f>'Transpo perseq'!I31*Pondération!$D$12</f>
        <v>6.8198399999999998E-3</v>
      </c>
      <c r="G31">
        <f>'Transpo perseq'!M31*Pondération!$D$15</f>
        <v>8.9600000000000009E-5</v>
      </c>
      <c r="H31">
        <f>'Transpo perseq'!N31*Pondération!$D$14</f>
        <v>1.6197120000000003E-4</v>
      </c>
      <c r="I31">
        <f>'Transpo perseq'!O31*Pondération!$D$16</f>
        <v>1.9588799999999999E-4</v>
      </c>
      <c r="J31">
        <f>'Transpo perseq'!P31*Pondération!$D$4</f>
        <v>2.6241599999999996E-4</v>
      </c>
      <c r="K31">
        <f>'Transpo perseq'!T31*Pondération!$D$5</f>
        <v>1.6777097702417821E-3</v>
      </c>
      <c r="L31">
        <f>'Transpo perseq'!X31*Pondération!$D$7</f>
        <v>4.5237559257766454E-4</v>
      </c>
      <c r="M31">
        <f>'Transpo perseq'!Y31*Pondération!$D$13</f>
        <v>1.7546438429844288E-6</v>
      </c>
      <c r="N31">
        <f>'Transpo perseq'!Z31*Pondération!$D$3</f>
        <v>7.073955402032588E-12</v>
      </c>
      <c r="O31">
        <f>'Transpo perseq'!AA31*Pondération!$D$6</f>
        <v>4.0345898297051936E-4</v>
      </c>
      <c r="P31">
        <f>'Transpo perseq'!AB31*Pondération!$D$8</f>
        <v>3.5164563619643937E-4</v>
      </c>
      <c r="Q31">
        <f>'Transpo perseq'!AC31*Pondération!$D$10</f>
        <v>3.4633045159412242E-3</v>
      </c>
      <c r="R31">
        <f>'Transpo perseq'!AD31*Pondération!$D$9</f>
        <v>8.5185993357088282E-5</v>
      </c>
      <c r="S31">
        <f>'Transpo perseq'!AE31*Pondération!$D$11</f>
        <v>7.8339556466786465E-3</v>
      </c>
      <c r="U31">
        <f t="shared" si="0"/>
        <v>2.5996609988880301E-2</v>
      </c>
    </row>
    <row r="32" spans="1:21" x14ac:dyDescent="0.3">
      <c r="A32" t="s">
        <v>1</v>
      </c>
      <c r="B32" t="s">
        <v>18</v>
      </c>
      <c r="C32" t="s">
        <v>56</v>
      </c>
      <c r="D32">
        <f>'Transpo perseq'!D32*Pondération!$D$17</f>
        <v>3.4720000000000003E-8</v>
      </c>
      <c r="E32">
        <f>'Transpo perseq'!E32*Pondération!$D$2</f>
        <v>1.5466464000000001E-7</v>
      </c>
      <c r="F32">
        <f>'Transpo perseq'!I32*Pondération!$D$12</f>
        <v>1.9199999999999997E-8</v>
      </c>
      <c r="G32">
        <f>'Transpo perseq'!M32*Pondération!$D$15</f>
        <v>2.9747199999999999E-8</v>
      </c>
      <c r="H32">
        <f>'Transpo perseq'!N32*Pondération!$D$14</f>
        <v>9.4246399999999994E-9</v>
      </c>
      <c r="I32">
        <f>'Transpo perseq'!O32*Pondération!$D$16</f>
        <v>1.24656E-8</v>
      </c>
      <c r="J32">
        <f>'Transpo perseq'!P32*Pondération!$D$4</f>
        <v>2.0209439999999999E-9</v>
      </c>
      <c r="K32">
        <f>'Transpo perseq'!T32*Pondération!$D$5</f>
        <v>3.952896031106001E-9</v>
      </c>
      <c r="L32">
        <f>'Transpo perseq'!X32*Pondération!$D$7</f>
        <v>8.5375882427376011E-9</v>
      </c>
      <c r="M32">
        <f>'Transpo perseq'!Y32*Pondération!$D$13</f>
        <v>4.1488073203860688E-8</v>
      </c>
      <c r="N32">
        <f>'Transpo perseq'!Z32*Pondération!$D$3</f>
        <v>4.6750032191042405E-10</v>
      </c>
      <c r="O32">
        <f>'Transpo perseq'!AA32*Pondération!$D$6</f>
        <v>7.8655058977326464E-8</v>
      </c>
      <c r="P32">
        <f>'Transpo perseq'!AB32*Pondération!$D$8</f>
        <v>2.0507312744221987E-8</v>
      </c>
      <c r="Q32">
        <f>'Transpo perseq'!AC32*Pondération!$D$10</f>
        <v>1.0149171066012719E-7</v>
      </c>
      <c r="R32">
        <f>'Transpo perseq'!AD32*Pondération!$D$9</f>
        <v>4.7968134567303021E-9</v>
      </c>
      <c r="S32">
        <f>'Transpo perseq'!AE32*Pondération!$D$11</f>
        <v>5.763187338557721E-6</v>
      </c>
      <c r="U32">
        <f t="shared" si="0"/>
        <v>6.2853273161957419E-6</v>
      </c>
    </row>
    <row r="33" spans="1:21" x14ac:dyDescent="0.3">
      <c r="A33" t="s">
        <v>2</v>
      </c>
      <c r="B33" t="s">
        <v>19</v>
      </c>
      <c r="C33" t="s">
        <v>56</v>
      </c>
      <c r="D33">
        <f>'Transpo perseq'!D33*Pondération!$D$17</f>
        <v>8.6799999999999996E-5</v>
      </c>
      <c r="E33">
        <f>'Transpo perseq'!E33*Pondération!$D$2</f>
        <v>3.8750400000000005E-4</v>
      </c>
      <c r="F33">
        <f>'Transpo perseq'!I33*Pondération!$D$12</f>
        <v>4.7923199999999995E-5</v>
      </c>
      <c r="G33">
        <f>'Transpo perseq'!M33*Pondération!$D$15</f>
        <v>7.4368000000000004E-5</v>
      </c>
      <c r="H33">
        <f>'Transpo perseq'!N33*Pondération!$D$14</f>
        <v>2.3585280000000001E-5</v>
      </c>
      <c r="I33">
        <f>'Transpo perseq'!O33*Pondération!$D$16</f>
        <v>3.1164000000000002E-5</v>
      </c>
      <c r="J33">
        <f>'Transpo perseq'!P33*Pondération!$D$4</f>
        <v>5.0438400000000001E-6</v>
      </c>
      <c r="K33">
        <f>'Transpo perseq'!T33*Pondération!$D$5</f>
        <v>9.8822400777650152E-6</v>
      </c>
      <c r="L33">
        <f>'Transpo perseq'!X33*Pondération!$D$7</f>
        <v>2.1343970606843964E-5</v>
      </c>
      <c r="M33">
        <f>'Transpo perseq'!Y33*Pondération!$D$13</f>
        <v>1.0372018300965167E-4</v>
      </c>
      <c r="N33">
        <f>'Transpo perseq'!Z33*Pondération!$D$3</f>
        <v>1.16875080477606E-6</v>
      </c>
      <c r="O33">
        <f>'Transpo perseq'!AA33*Pondération!$D$6</f>
        <v>1.9663764744331654E-4</v>
      </c>
      <c r="P33">
        <f>'Transpo perseq'!AB33*Pondération!$D$8</f>
        <v>5.1268281860554974E-5</v>
      </c>
      <c r="Q33">
        <f>'Transpo perseq'!AC33*Pondération!$D$10</f>
        <v>2.537292766503173E-4</v>
      </c>
      <c r="R33">
        <f>'Transpo perseq'!AD33*Pondération!$D$9</f>
        <v>1.1992033641825741E-5</v>
      </c>
      <c r="S33">
        <f>'Transpo perseq'!AE33*Pondération!$D$11</f>
        <v>1.440796834639437E-2</v>
      </c>
      <c r="U33">
        <f t="shared" si="0"/>
        <v>1.571409905048942E-2</v>
      </c>
    </row>
    <row r="34" spans="1:21" x14ac:dyDescent="0.3">
      <c r="A34" t="s">
        <v>2</v>
      </c>
      <c r="B34" t="s">
        <v>19</v>
      </c>
      <c r="C34" t="s">
        <v>63</v>
      </c>
      <c r="D34">
        <f>'Transpo perseq'!D34*Pondération!$D$17</f>
        <v>2.2419199999999997E-2</v>
      </c>
      <c r="E34">
        <f>'Transpo perseq'!E34*Pondération!$D$2</f>
        <v>0.24193728000000003</v>
      </c>
      <c r="F34">
        <f>'Transpo perseq'!I34*Pondération!$D$12</f>
        <v>0.5898239999999999</v>
      </c>
      <c r="G34">
        <f>'Transpo perseq'!M34*Pondération!$D$15</f>
        <v>0.33734400000000003</v>
      </c>
      <c r="H34">
        <f>'Transpo perseq'!N34*Pondération!$D$14</f>
        <v>2.3964160000000002E-2</v>
      </c>
      <c r="I34">
        <f>'Transpo perseq'!O34*Pondération!$D$16</f>
        <v>3.6209600000000002E-2</v>
      </c>
      <c r="J34">
        <f>'Transpo perseq'!P34*Pondération!$D$4</f>
        <v>1.7483039999999998E-2</v>
      </c>
      <c r="K34">
        <f>'Transpo perseq'!T34*Pondération!$D$5</f>
        <v>3.858786247820941E-2</v>
      </c>
      <c r="L34">
        <f>'Transpo perseq'!X34*Pondération!$D$7</f>
        <v>1.4782393318133535E-2</v>
      </c>
      <c r="M34">
        <f>'Transpo perseq'!Y34*Pondération!$D$13</f>
        <v>5.4241107042179628E-3</v>
      </c>
      <c r="N34">
        <f>'Transpo perseq'!Z34*Pondération!$D$3</f>
        <v>1.4026174580696576E-3</v>
      </c>
      <c r="O34">
        <f>'Transpo perseq'!AA34*Pondération!$D$6</f>
        <v>7.1698427589535693E-2</v>
      </c>
      <c r="P34">
        <f>'Transpo perseq'!AB34*Pondération!$D$8</f>
        <v>5.0030137919160077E-2</v>
      </c>
      <c r="Q34">
        <f>'Transpo perseq'!AC34*Pondération!$D$10</f>
        <v>0.15405934820254216</v>
      </c>
      <c r="R34">
        <f>'Transpo perseq'!AD34*Pondération!$D$9</f>
        <v>7.4342276214474463</v>
      </c>
      <c r="S34">
        <f>'Transpo perseq'!AE34*Pondération!$D$11</f>
        <v>3.1234674861426275E-2</v>
      </c>
      <c r="U34">
        <f t="shared" si="0"/>
        <v>9.0706284739787417</v>
      </c>
    </row>
    <row r="35" spans="1:21" x14ac:dyDescent="0.3">
      <c r="A35" t="s">
        <v>2</v>
      </c>
      <c r="B35" t="s">
        <v>19</v>
      </c>
      <c r="C35" t="s">
        <v>57</v>
      </c>
      <c r="D35">
        <f>'Transpo perseq'!D35*Pondération!$D$17</f>
        <v>5.7833600000000001E-6</v>
      </c>
      <c r="E35">
        <f>'Transpo perseq'!E35*Pondération!$D$2</f>
        <v>2.2576320000000001E-5</v>
      </c>
      <c r="F35">
        <f>'Transpo perseq'!I35*Pondération!$D$12</f>
        <v>3.8399999999999997E-6</v>
      </c>
      <c r="G35">
        <f>'Transpo perseq'!M35*Pondération!$D$15</f>
        <v>4.4799999999999997E-8</v>
      </c>
      <c r="H35">
        <f>'Transpo perseq'!N35*Pondération!$D$14</f>
        <v>3.8408960000000007E-6</v>
      </c>
      <c r="I35">
        <f>'Transpo perseq'!O35*Pondération!$D$16</f>
        <v>5.8885119999999999E-6</v>
      </c>
      <c r="J35">
        <f>'Transpo perseq'!P35*Pondération!$D$4</f>
        <v>2.1845279999999999E-7</v>
      </c>
      <c r="K35">
        <f>'Transpo perseq'!T35*Pondération!$D$5</f>
        <v>7.7003825904231291E-7</v>
      </c>
      <c r="L35">
        <f>'Transpo perseq'!X35*Pondération!$D$7</f>
        <v>3.6470705812182231E-8</v>
      </c>
      <c r="M35">
        <f>'Transpo perseq'!Y35*Pondération!$D$13</f>
        <v>3.8425191315635071E-7</v>
      </c>
      <c r="N35">
        <f>'Transpo perseq'!Z35*Pondération!$D$3</f>
        <v>2.0116143667331734E-16</v>
      </c>
      <c r="O35">
        <f>'Transpo perseq'!AA35*Pondération!$D$6</f>
        <v>2.8980421401801029E-6</v>
      </c>
      <c r="P35">
        <f>'Transpo perseq'!AB35*Pondération!$D$8</f>
        <v>5.758481019132641E-6</v>
      </c>
      <c r="Q35">
        <f>'Transpo perseq'!AC35*Pondération!$D$10</f>
        <v>1.4768439936732384E-5</v>
      </c>
      <c r="R35">
        <f>'Transpo perseq'!AD35*Pondération!$D$9</f>
        <v>9.1481404431230767E-8</v>
      </c>
      <c r="S35">
        <f>'Transpo perseq'!AE35*Pondération!$D$11</f>
        <v>5.9649839719089077E-8</v>
      </c>
      <c r="U35">
        <f t="shared" si="0"/>
        <v>6.6959196018407459E-5</v>
      </c>
    </row>
    <row r="36" spans="1:21" x14ac:dyDescent="0.3">
      <c r="A36" t="s">
        <v>3</v>
      </c>
      <c r="B36" t="s">
        <v>3</v>
      </c>
      <c r="C36" t="s">
        <v>64</v>
      </c>
      <c r="D36">
        <f>'Transpo perseq'!D36*Pondération!$D$17</f>
        <v>4.4044800000000002E-4</v>
      </c>
      <c r="E36">
        <f>'Transpo perseq'!E36*Pondération!$D$2</f>
        <v>4.38048E-3</v>
      </c>
      <c r="F36">
        <f>'Transpo perseq'!I36*Pondération!$D$12</f>
        <v>2.9491199999999995E-3</v>
      </c>
      <c r="G36">
        <f>'Transpo perseq'!M36*Pondération!$D$15</f>
        <v>9.9904000000000001E-6</v>
      </c>
      <c r="H36">
        <f>'Transpo perseq'!N36*Pondération!$D$14</f>
        <v>1.771264E-4</v>
      </c>
      <c r="I36">
        <f>'Transpo perseq'!O36*Pondération!$D$16</f>
        <v>2.4515680000000001E-4</v>
      </c>
      <c r="J36">
        <f>'Transpo perseq'!P36*Pondération!$D$4</f>
        <v>8.7926399999999985E-5</v>
      </c>
      <c r="K36">
        <f>'Transpo perseq'!T36*Pondération!$D$5</f>
        <v>2.492202917767316E-4</v>
      </c>
      <c r="L36">
        <f>'Transpo perseq'!X36*Pondération!$D$7</f>
        <v>1.3210074778894331E-2</v>
      </c>
      <c r="M36">
        <f>'Transpo perseq'!Y36*Pondération!$D$13</f>
        <v>1.2117270827647439E-4</v>
      </c>
      <c r="N36">
        <f>'Transpo perseq'!Z36*Pondération!$D$3</f>
        <v>9.0683904159325719E-12</v>
      </c>
      <c r="O36">
        <f>'Transpo perseq'!AA36*Pondération!$D$6</f>
        <v>5.1795795829021084E-4</v>
      </c>
      <c r="P36">
        <f>'Transpo perseq'!AB36*Pondération!$D$8</f>
        <v>3.4997808908669188E-4</v>
      </c>
      <c r="Q36">
        <f>'Transpo perseq'!AC36*Pondération!$D$10</f>
        <v>1.681375866982749E-2</v>
      </c>
      <c r="R36">
        <f>'Transpo perseq'!AD36*Pondération!$D$9</f>
        <v>1.0850107883699643E-4</v>
      </c>
      <c r="S36">
        <f>'Transpo perseq'!AE36*Pondération!$D$11</f>
        <v>3.4100316666147459E-4</v>
      </c>
      <c r="U36">
        <f t="shared" si="0"/>
        <v>4.0001914750718792E-2</v>
      </c>
    </row>
    <row r="37" spans="1:21" x14ac:dyDescent="0.3">
      <c r="A37" t="s">
        <v>3</v>
      </c>
      <c r="B37" t="s">
        <v>3</v>
      </c>
      <c r="C37" t="s">
        <v>65</v>
      </c>
      <c r="D37">
        <f>'Transpo perseq'!D37*Pondération!$D$17</f>
        <v>2.34112E-5</v>
      </c>
      <c r="E37">
        <f>'Transpo perseq'!E37*Pondération!$D$2</f>
        <v>2.3283936000000001E-4</v>
      </c>
      <c r="F37">
        <f>'Transpo perseq'!I37*Pondération!$D$12</f>
        <v>1.5636479999999998E-4</v>
      </c>
      <c r="G37">
        <f>'Transpo perseq'!M37*Pondération!$D$15</f>
        <v>5.2863999999999995E-7</v>
      </c>
      <c r="H37">
        <f>'Transpo perseq'!N37*Pondération!$D$14</f>
        <v>9.3772800000000011E-6</v>
      </c>
      <c r="I37">
        <f>'Transpo perseq'!O37*Pondération!$D$16</f>
        <v>1.299984E-5</v>
      </c>
      <c r="J37">
        <f>'Transpo perseq'!P37*Pondération!$D$4</f>
        <v>4.6689599999999994E-6</v>
      </c>
      <c r="K37">
        <f>'Transpo perseq'!T37*Pondération!$D$5</f>
        <v>1.3222216678380392E-5</v>
      </c>
      <c r="L37">
        <f>'Transpo perseq'!X37*Pondération!$D$7</f>
        <v>7.0085172366553088E-4</v>
      </c>
      <c r="M37">
        <f>'Transpo perseq'!Y37*Pondération!$D$13</f>
        <v>6.4287373749368263E-6</v>
      </c>
      <c r="N37">
        <f>'Transpo perseq'!Z37*Pondération!$D$3</f>
        <v>4.8111741683950399E-13</v>
      </c>
      <c r="O37">
        <f>'Transpo perseq'!AA37*Pondération!$D$6</f>
        <v>2.7479914681024799E-5</v>
      </c>
      <c r="P37">
        <f>'Transpo perseq'!AB37*Pondération!$D$8</f>
        <v>1.8567854541857987E-5</v>
      </c>
      <c r="Q37">
        <f>'Transpo perseq'!AC37*Pondération!$D$10</f>
        <v>8.920427735861138E-4</v>
      </c>
      <c r="R37">
        <f>'Transpo perseq'!AD37*Pondération!$D$9</f>
        <v>5.7564525103198097E-6</v>
      </c>
      <c r="S37">
        <f>'Transpo perseq'!AE37*Pondération!$D$11</f>
        <v>1.8091696007050896E-5</v>
      </c>
      <c r="U37">
        <f t="shared" si="0"/>
        <v>2.1226314495263335E-3</v>
      </c>
    </row>
    <row r="38" spans="1:21" x14ac:dyDescent="0.3">
      <c r="A38" t="s">
        <v>3</v>
      </c>
      <c r="B38" t="s">
        <v>3</v>
      </c>
      <c r="C38" t="s">
        <v>66</v>
      </c>
      <c r="D38">
        <f>'Transpo perseq'!D38*Pondération!$D$17</f>
        <v>1.6467199999999998E-4</v>
      </c>
      <c r="E38">
        <f>'Transpo perseq'!E38*Pondération!$D$2</f>
        <v>5.6946240000000006E-3</v>
      </c>
      <c r="F38">
        <f>'Transpo perseq'!I38*Pondération!$D$12</f>
        <v>1.2042239999999997E-5</v>
      </c>
      <c r="G38">
        <f>'Transpo perseq'!M38*Pondération!$D$15</f>
        <v>1.5456E-7</v>
      </c>
      <c r="H38">
        <f>'Transpo perseq'!N38*Pondération!$D$14</f>
        <v>1.013504E-4</v>
      </c>
      <c r="I38">
        <f>'Transpo perseq'!O38*Pondération!$D$16</f>
        <v>1.5492960000000001E-4</v>
      </c>
      <c r="J38">
        <f>'Transpo perseq'!P38*Pondération!$D$4</f>
        <v>2.7877439999999998E-5</v>
      </c>
      <c r="K38">
        <f>'Transpo perseq'!T38*Pondération!$D$5</f>
        <v>5.302926432933452E-5</v>
      </c>
      <c r="L38">
        <f>'Transpo perseq'!X38*Pondération!$D$7</f>
        <v>6.3516724575394525E-6</v>
      </c>
      <c r="M38">
        <f>'Transpo perseq'!Y38*Pondération!$D$13</f>
        <v>6.0453163167374733E-7</v>
      </c>
      <c r="N38">
        <f>'Transpo perseq'!Z38*Pondération!$D$3</f>
        <v>1.7813846092641995E-14</v>
      </c>
      <c r="O38">
        <f>'Transpo perseq'!AA38*Pondération!$D$6</f>
        <v>2.0780163339177983E-4</v>
      </c>
      <c r="P38">
        <f>'Transpo perseq'!AB38*Pondération!$D$8</f>
        <v>2.2617735810126732E-4</v>
      </c>
      <c r="Q38">
        <f>'Transpo perseq'!AC38*Pondération!$D$10</f>
        <v>4.6816344488137636E-3</v>
      </c>
      <c r="R38">
        <f>'Transpo perseq'!AD38*Pondération!$D$9</f>
        <v>7.4457149361573877E-6</v>
      </c>
      <c r="S38">
        <f>'Transpo perseq'!AE38*Pondération!$D$11</f>
        <v>1.1850044288096035E-6</v>
      </c>
      <c r="U38">
        <f t="shared" si="0"/>
        <v>1.133987986810814E-2</v>
      </c>
    </row>
    <row r="39" spans="1:21" x14ac:dyDescent="0.3">
      <c r="A39" t="s">
        <v>3</v>
      </c>
      <c r="B39" t="s">
        <v>3</v>
      </c>
      <c r="C39" t="s">
        <v>67</v>
      </c>
      <c r="D39">
        <f>'Transpo perseq'!D39*Pondération!$D$17</f>
        <v>1.24E-5</v>
      </c>
      <c r="E39">
        <f>'Transpo perseq'!E39*Pondération!$D$2</f>
        <v>4.3130879999999999E-4</v>
      </c>
      <c r="F39">
        <f>'Transpo perseq'!I39*Pondération!$D$12</f>
        <v>9.0623999999999994E-7</v>
      </c>
      <c r="G39">
        <f>'Transpo perseq'!M39*Pondération!$D$15</f>
        <v>1.1648000000000001E-8</v>
      </c>
      <c r="H39">
        <f>'Transpo perseq'!N39*Pondération!$D$14</f>
        <v>7.6249599999999996E-6</v>
      </c>
      <c r="I39">
        <f>'Transpo perseq'!O39*Pondération!$D$16</f>
        <v>1.1693920000000001E-5</v>
      </c>
      <c r="J39">
        <f>'Transpo perseq'!P39*Pondération!$D$4</f>
        <v>2.1027359999999999E-6</v>
      </c>
      <c r="K39">
        <f>'Transpo perseq'!T39*Pondération!$D$5</f>
        <v>3.9986046765113451E-6</v>
      </c>
      <c r="L39">
        <f>'Transpo perseq'!X39*Pondération!$D$7</f>
        <v>4.7893983659011521E-7</v>
      </c>
      <c r="M39">
        <f>'Transpo perseq'!Y39*Pondération!$D$13</f>
        <v>4.5583943886102962E-8</v>
      </c>
      <c r="N39">
        <f>'Transpo perseq'!Z39*Pondération!$D$3</f>
        <v>1.3432305575713594E-15</v>
      </c>
      <c r="O39">
        <f>'Transpo perseq'!AA39*Pondération!$D$6</f>
        <v>1.5669019617294993E-5</v>
      </c>
      <c r="P39">
        <f>'Transpo perseq'!AB39*Pondération!$D$8</f>
        <v>1.70546179220596E-5</v>
      </c>
      <c r="Q39">
        <f>'Transpo perseq'!AC39*Pondération!$D$10</f>
        <v>3.5301273056484461E-4</v>
      </c>
      <c r="R39">
        <f>'Transpo perseq'!AD39*Pondération!$D$9</f>
        <v>5.6143472741370414E-7</v>
      </c>
      <c r="S39">
        <f>'Transpo perseq'!AE39*Pondération!$D$11</f>
        <v>8.9353761751202631E-8</v>
      </c>
      <c r="U39">
        <f t="shared" si="0"/>
        <v>8.569585890516949E-4</v>
      </c>
    </row>
    <row r="40" spans="1:21" x14ac:dyDescent="0.3">
      <c r="A40" t="s">
        <v>3</v>
      </c>
      <c r="B40" t="s">
        <v>3</v>
      </c>
      <c r="C40" t="s">
        <v>68</v>
      </c>
      <c r="D40">
        <f>'Transpo perseq'!D40*Pondération!$D$17</f>
        <v>2.06336E-7</v>
      </c>
      <c r="E40">
        <f>'Transpo perseq'!E40*Pondération!$D$2</f>
        <v>5.9978880000000009E-7</v>
      </c>
      <c r="F40">
        <f>'Transpo perseq'!I40*Pondération!$D$12</f>
        <v>1.9476479999999997E-7</v>
      </c>
      <c r="G40">
        <f>'Transpo perseq'!M40*Pondération!$D$15</f>
        <v>8.691200000000001E-7</v>
      </c>
      <c r="H40">
        <f>'Transpo perseq'!N40*Pondération!$D$14</f>
        <v>9.99296E-8</v>
      </c>
      <c r="I40">
        <f>'Transpo perseq'!O40*Pondération!$D$16</f>
        <v>1.329664E-7</v>
      </c>
      <c r="J40">
        <f>'Transpo perseq'!P40*Pondération!$D$4</f>
        <v>2.43672E-8</v>
      </c>
      <c r="K40">
        <f>'Transpo perseq'!T40*Pondération!$D$5</f>
        <v>2.843435432978821E-8</v>
      </c>
      <c r="L40">
        <f>'Transpo perseq'!X40*Pondération!$D$7</f>
        <v>5.726758812455791E-8</v>
      </c>
      <c r="M40">
        <f>'Transpo perseq'!Y40*Pondération!$D$13</f>
        <v>4.5313953040903397E-6</v>
      </c>
      <c r="N40">
        <f>'Transpo perseq'!Z40*Pondération!$D$3</f>
        <v>3.1742053150432961E-9</v>
      </c>
      <c r="O40">
        <f>'Transpo perseq'!AA40*Pondération!$D$6</f>
        <v>3.0927697152002275E-7</v>
      </c>
      <c r="P40">
        <f>'Transpo perseq'!AB40*Pondération!$D$8</f>
        <v>2.1171308795862536E-7</v>
      </c>
      <c r="Q40">
        <f>'Transpo perseq'!AC40*Pondération!$D$10</f>
        <v>4.3053677848013544E-7</v>
      </c>
      <c r="R40">
        <f>'Transpo perseq'!AD40*Pondération!$D$9</f>
        <v>2.0410868340142276E-7</v>
      </c>
      <c r="S40">
        <f>'Transpo perseq'!AE40*Pondération!$D$11</f>
        <v>1.1885122892316395E-7</v>
      </c>
      <c r="U40">
        <f t="shared" si="0"/>
        <v>8.0220310021430986E-6</v>
      </c>
    </row>
    <row r="41" spans="1:21" x14ac:dyDescent="0.3">
      <c r="A41" t="s">
        <v>1</v>
      </c>
      <c r="B41" t="s">
        <v>20</v>
      </c>
      <c r="C41" t="s">
        <v>69</v>
      </c>
      <c r="D41">
        <f>'Transpo perseq'!D41*Pondération!$D$17</f>
        <v>3.7795200000000001E-6</v>
      </c>
      <c r="E41">
        <f>'Transpo perseq'!E41*Pondération!$D$2</f>
        <v>3.3325344000000005E-5</v>
      </c>
      <c r="F41">
        <f>'Transpo perseq'!I41*Pondération!$D$12</f>
        <v>9.799679999999999E-7</v>
      </c>
      <c r="G41">
        <f>'Transpo perseq'!M41*Pondération!$D$15</f>
        <v>9.1840000000000014E-9</v>
      </c>
      <c r="H41">
        <f>'Transpo perseq'!N41*Pondération!$D$14</f>
        <v>1.1745280000000001E-6</v>
      </c>
      <c r="I41">
        <f>'Transpo perseq'!O41*Pondération!$D$16</f>
        <v>1.715504E-6</v>
      </c>
      <c r="J41">
        <f>'Transpo perseq'!P41*Pondération!$D$4</f>
        <v>1.3904640000000001E-7</v>
      </c>
      <c r="K41">
        <f>'Transpo perseq'!T41*Pondération!$D$5</f>
        <v>1.0977394130530541E-6</v>
      </c>
      <c r="L41">
        <f>'Transpo perseq'!X41*Pondération!$D$7</f>
        <v>5.0406859642346743E-7</v>
      </c>
      <c r="M41">
        <f>'Transpo perseq'!Y41*Pondération!$D$13</f>
        <v>6.6802680743464028E-8</v>
      </c>
      <c r="N41">
        <f>'Transpo perseq'!Z41*Pondération!$D$3</f>
        <v>1.2652004227477531E-15</v>
      </c>
      <c r="O41">
        <f>'Transpo perseq'!AA41*Pondération!$D$6</f>
        <v>6.2249263390282039E-6</v>
      </c>
      <c r="P41">
        <f>'Transpo perseq'!AB41*Pondération!$D$8</f>
        <v>3.0549882408380765E-6</v>
      </c>
      <c r="Q41">
        <f>'Transpo perseq'!AC41*Pondération!$D$10</f>
        <v>1.7985044851676363E-5</v>
      </c>
      <c r="R41">
        <f>'Transpo perseq'!AD41*Pondération!$D$9</f>
        <v>5.1424894100252856E-7</v>
      </c>
      <c r="S41">
        <f>'Transpo perseq'!AE41*Pondération!$D$11</f>
        <v>3.2147546405109653E-6</v>
      </c>
      <c r="U41">
        <f t="shared" si="0"/>
        <v>7.3785668104541335E-5</v>
      </c>
    </row>
    <row r="42" spans="1:21" x14ac:dyDescent="0.3">
      <c r="A42" t="s">
        <v>1</v>
      </c>
      <c r="B42" t="s">
        <v>20</v>
      </c>
      <c r="C42" t="s">
        <v>70</v>
      </c>
      <c r="D42">
        <f>'Transpo perseq'!D42*Pondération!$D$17</f>
        <v>2.35104E-3</v>
      </c>
      <c r="E42">
        <f>'Transpo perseq'!E42*Pondération!$D$2</f>
        <v>1.1928384000000002E-2</v>
      </c>
      <c r="F42">
        <f>'Transpo perseq'!I42*Pondération!$D$12</f>
        <v>9.4924799999999987E-4</v>
      </c>
      <c r="G42">
        <f>'Transpo perseq'!M42*Pondération!$D$15</f>
        <v>2.9702399999999999E-5</v>
      </c>
      <c r="H42">
        <f>'Transpo perseq'!N42*Pondération!$D$14</f>
        <v>4.8307200000000008E-4</v>
      </c>
      <c r="I42">
        <f>'Transpo perseq'!O42*Pondération!$D$16</f>
        <v>7.3012800000000003E-4</v>
      </c>
      <c r="J42">
        <f>'Transpo perseq'!P42*Pondération!$D$4</f>
        <v>2.7468479999999998E-4</v>
      </c>
      <c r="K42">
        <f>'Transpo perseq'!T42*Pondération!$D$5</f>
        <v>4.1448659174801229E-4</v>
      </c>
      <c r="L42">
        <f>'Transpo perseq'!X42*Pondération!$D$7</f>
        <v>8.5890077734045471E-4</v>
      </c>
      <c r="M42">
        <f>'Transpo perseq'!Y42*Pondération!$D$13</f>
        <v>8.3458819213349202E-5</v>
      </c>
      <c r="N42">
        <f>'Transpo perseq'!Z42*Pondération!$D$3</f>
        <v>5.2755106865030052E-6</v>
      </c>
      <c r="O42">
        <f>'Transpo perseq'!AA42*Pondération!$D$6</f>
        <v>3.346402788866902E-3</v>
      </c>
      <c r="P42">
        <f>'Transpo perseq'!AB42*Pondération!$D$8</f>
        <v>1.1603700576564451E-3</v>
      </c>
      <c r="Q42">
        <f>'Transpo perseq'!AC42*Pondération!$D$10</f>
        <v>7.8462024771912969E-3</v>
      </c>
      <c r="R42">
        <f>'Transpo perseq'!AD42*Pondération!$D$9</f>
        <v>8.5353050699951E-3</v>
      </c>
      <c r="S42">
        <f>'Transpo perseq'!AE42*Pondération!$D$11</f>
        <v>1.1869833147258426E-3</v>
      </c>
      <c r="U42">
        <f t="shared" si="0"/>
        <v>4.0183644607423907E-2</v>
      </c>
    </row>
    <row r="43" spans="1:21" x14ac:dyDescent="0.3">
      <c r="A43" t="s">
        <v>1</v>
      </c>
      <c r="B43" t="s">
        <v>20</v>
      </c>
      <c r="C43" t="s">
        <v>71</v>
      </c>
      <c r="D43">
        <f>'Transpo perseq'!D43*Pondération!$D$17</f>
        <v>1.42848E-4</v>
      </c>
      <c r="E43">
        <f>'Transpo perseq'!E43*Pondération!$D$2</f>
        <v>6.7728960000000007E-4</v>
      </c>
      <c r="F43">
        <f>'Transpo perseq'!I43*Pondération!$D$12</f>
        <v>5.2531199999999996E-5</v>
      </c>
      <c r="G43">
        <f>'Transpo perseq'!M43*Pondération!$D$15</f>
        <v>2.1952E-7</v>
      </c>
      <c r="H43">
        <f>'Transpo perseq'!N43*Pondération!$D$14</f>
        <v>2.595328E-5</v>
      </c>
      <c r="I43">
        <f>'Transpo perseq'!O43*Pondération!$D$16</f>
        <v>3.9118240000000004E-5</v>
      </c>
      <c r="J43">
        <f>'Transpo perseq'!P43*Pondération!$D$4</f>
        <v>1.731264E-5</v>
      </c>
      <c r="K43">
        <f>'Transpo perseq'!T43*Pondération!$D$5</f>
        <v>2.6121507653982754E-5</v>
      </c>
      <c r="L43">
        <f>'Transpo perseq'!X43*Pondération!$D$7</f>
        <v>4.5730630381694358E-5</v>
      </c>
      <c r="M43">
        <f>'Transpo perseq'!Y43*Pondération!$D$13</f>
        <v>3.7336835595393767E-6</v>
      </c>
      <c r="N43">
        <f>'Transpo perseq'!Z43*Pondération!$D$3</f>
        <v>7.2160081511838625E-13</v>
      </c>
      <c r="O43">
        <f>'Transpo perseq'!AA43*Pondération!$D$6</f>
        <v>2.049075018260265E-4</v>
      </c>
      <c r="P43">
        <f>'Transpo perseq'!AB43*Pondération!$D$8</f>
        <v>6.2864512370678057E-5</v>
      </c>
      <c r="Q43">
        <f>'Transpo perseq'!AC43*Pondération!$D$10</f>
        <v>4.2451909456479078E-4</v>
      </c>
      <c r="R43">
        <f>'Transpo perseq'!AD43*Pondération!$D$9</f>
        <v>5.7307782686232033E-4</v>
      </c>
      <c r="S43">
        <f>'Transpo perseq'!AE43*Pondération!$D$11</f>
        <v>3.0746561641302808E-5</v>
      </c>
      <c r="U43">
        <f t="shared" si="0"/>
        <v>2.3269737995819358E-3</v>
      </c>
    </row>
    <row r="44" spans="1:21" x14ac:dyDescent="0.3">
      <c r="A44" t="s">
        <v>1</v>
      </c>
      <c r="B44" t="s">
        <v>20</v>
      </c>
      <c r="C44" t="s">
        <v>72</v>
      </c>
      <c r="D44">
        <f>'Transpo perseq'!D44*Pondération!$D$17</f>
        <v>2.5196799999999998E-4</v>
      </c>
      <c r="E44">
        <f>'Transpo perseq'!E44*Pondération!$D$2</f>
        <v>1.3276224E-3</v>
      </c>
      <c r="F44">
        <f>'Transpo perseq'!I44*Pondération!$D$12</f>
        <v>9.2774400000000004E-5</v>
      </c>
      <c r="G44">
        <f>'Transpo perseq'!M44*Pondération!$D$15</f>
        <v>3.7632000000000002E-7</v>
      </c>
      <c r="H44">
        <f>'Transpo perseq'!N44*Pondération!$D$14</f>
        <v>4.9254400000000001E-5</v>
      </c>
      <c r="I44">
        <f>'Transpo perseq'!O44*Pondération!$D$16</f>
        <v>7.4200000000000001E-5</v>
      </c>
      <c r="J44">
        <f>'Transpo perseq'!P44*Pondération!$D$4</f>
        <v>3.1319519999999999E-5</v>
      </c>
      <c r="K44">
        <f>'Transpo perseq'!T44*Pondération!$D$5</f>
        <v>4.3147364058668017E-5</v>
      </c>
      <c r="L44">
        <f>'Transpo perseq'!X44*Pondération!$D$7</f>
        <v>8.4965088263193314E-5</v>
      </c>
      <c r="M44">
        <f>'Transpo perseq'!Y44*Pondération!$D$13</f>
        <v>4.8914012029263993E-6</v>
      </c>
      <c r="N44">
        <f>'Transpo perseq'!Z44*Pondération!$D$3</f>
        <v>1.8842702727113122E-12</v>
      </c>
      <c r="O44">
        <f>'Transpo perseq'!AA44*Pondération!$D$6</f>
        <v>3.8780305067731617E-4</v>
      </c>
      <c r="P44">
        <f>'Transpo perseq'!AB44*Pondération!$D$8</f>
        <v>1.1786822089131733E-4</v>
      </c>
      <c r="Q44">
        <f>'Transpo perseq'!AC44*Pondération!$D$10</f>
        <v>8.0575181550794303E-4</v>
      </c>
      <c r="R44">
        <f>'Transpo perseq'!AD44*Pondération!$D$9</f>
        <v>9.4201263743828604E-5</v>
      </c>
      <c r="S44">
        <f>'Transpo perseq'!AE44*Pondération!$D$11</f>
        <v>5.6372921752005372E-5</v>
      </c>
      <c r="U44">
        <f t="shared" si="0"/>
        <v>3.4225161679814682E-3</v>
      </c>
    </row>
    <row r="45" spans="1:21" x14ac:dyDescent="0.3">
      <c r="A45" t="s">
        <v>1</v>
      </c>
      <c r="B45" t="s">
        <v>20</v>
      </c>
      <c r="C45" t="s">
        <v>58</v>
      </c>
      <c r="D45">
        <f>'Transpo perseq'!D45*Pondération!$D$17</f>
        <v>9.9199999999999999E-5</v>
      </c>
      <c r="E45">
        <f>'Transpo perseq'!E45*Pondération!$D$2</f>
        <v>8.7609599999999993E-4</v>
      </c>
      <c r="F45">
        <f>'Transpo perseq'!I45*Pondération!$D$12</f>
        <v>2.5743359999999999E-5</v>
      </c>
      <c r="G45">
        <f>'Transpo perseq'!M45*Pondération!$D$15</f>
        <v>2.4192000000000004E-7</v>
      </c>
      <c r="H45">
        <f>'Transpo perseq'!N45*Pondération!$D$14</f>
        <v>3.0878720000000001E-5</v>
      </c>
      <c r="I45">
        <f>'Transpo perseq'!O45*Pondération!$D$16</f>
        <v>4.5054240000000003E-5</v>
      </c>
      <c r="J45">
        <f>'Transpo perseq'!P45*Pondération!$D$4</f>
        <v>3.6465599999999997E-6</v>
      </c>
      <c r="K45">
        <f>'Transpo perseq'!T45*Pondération!$D$5</f>
        <v>2.8866480861765487E-5</v>
      </c>
      <c r="L45">
        <f>'Transpo perseq'!X45*Pondération!$D$7</f>
        <v>1.3255137165209677E-5</v>
      </c>
      <c r="M45">
        <f>'Transpo perseq'!Y45*Pondération!$D$13</f>
        <v>1.7566630862170151E-6</v>
      </c>
      <c r="N45">
        <f>'Transpo perseq'!Z45*Pondération!$D$3</f>
        <v>3.3270085190774376E-14</v>
      </c>
      <c r="O45">
        <f>'Transpo perseq'!AA45*Pondération!$D$6</f>
        <v>1.6369250743370506E-4</v>
      </c>
      <c r="P45">
        <f>'Transpo perseq'!AB45*Pondération!$D$8</f>
        <v>8.0334875962779383E-5</v>
      </c>
      <c r="Q45">
        <f>'Transpo perseq'!AC45*Pondération!$D$10</f>
        <v>4.7294006832185917E-4</v>
      </c>
      <c r="R45">
        <f>'Transpo perseq'!AD45*Pondération!$D$9</f>
        <v>1.352284252265911E-5</v>
      </c>
      <c r="S45">
        <f>'Transpo perseq'!AE45*Pondération!$D$11</f>
        <v>8.4536140546768944E-5</v>
      </c>
      <c r="U45">
        <f t="shared" si="0"/>
        <v>1.9397655159342339E-3</v>
      </c>
    </row>
    <row r="46" spans="1:21" x14ac:dyDescent="0.3">
      <c r="A46" t="s">
        <v>1</v>
      </c>
      <c r="B46" t="s">
        <v>20</v>
      </c>
      <c r="C46" t="s">
        <v>73</v>
      </c>
      <c r="D46">
        <f>'Transpo perseq'!D46*Pondération!$D$17</f>
        <v>9.3770034098150063E-5</v>
      </c>
      <c r="E46">
        <f>'Transpo perseq'!E46*Pondération!$D$2</f>
        <v>4.4332238506828147E-4</v>
      </c>
      <c r="F46">
        <f>'Transpo perseq'!I46*Pondération!$D$12</f>
        <v>3.3960017171988475E-5</v>
      </c>
      <c r="G46">
        <f>'Transpo perseq'!M46*Pondération!$D$15</f>
        <v>1.4243314535251736E-7</v>
      </c>
      <c r="H46">
        <f>'Transpo perseq'!N46*Pondération!$D$14</f>
        <v>1.6963562269904559E-5</v>
      </c>
      <c r="I46">
        <f>'Transpo perseq'!O46*Pondération!$D$16</f>
        <v>2.5578182177138302E-5</v>
      </c>
      <c r="J46">
        <f>'Transpo perseq'!P46*Pondération!$D$4</f>
        <v>1.133933859813582E-5</v>
      </c>
      <c r="K46">
        <f>'Transpo perseq'!T46*Pondération!$D$5</f>
        <v>1.7017270215354273E-5</v>
      </c>
      <c r="L46">
        <f>'Transpo perseq'!X46*Pondération!$D$7</f>
        <v>2.9953952814725668E-5</v>
      </c>
      <c r="M46">
        <f>'Transpo perseq'!Y46*Pondération!$D$13</f>
        <v>2.4428806080210847E-6</v>
      </c>
      <c r="N46">
        <f>'Transpo perseq'!Z46*Pondération!$D$3</f>
        <v>4.7283519894793136E-13</v>
      </c>
      <c r="O46">
        <f>'Transpo perseq'!AA46*Pondération!$D$6</f>
        <v>1.3420615848214163E-4</v>
      </c>
      <c r="P46">
        <f>'Transpo perseq'!AB46*Pondération!$D$8</f>
        <v>4.100279593260548E-5</v>
      </c>
      <c r="Q46">
        <f>'Transpo perseq'!AC46*Pondération!$D$10</f>
        <v>2.7672527199619593E-4</v>
      </c>
      <c r="R46">
        <f>'Transpo perseq'!AD46*Pondération!$D$9</f>
        <v>3.7567832047977543E-4</v>
      </c>
      <c r="S46">
        <f>'Transpo perseq'!AE46*Pondération!$D$11</f>
        <v>2.0112797793164359E-5</v>
      </c>
      <c r="U46">
        <f t="shared" si="0"/>
        <v>1.5222154013237704E-3</v>
      </c>
    </row>
    <row r="47" spans="1:21" x14ac:dyDescent="0.3">
      <c r="A47" t="s">
        <v>1</v>
      </c>
      <c r="B47" t="s">
        <v>20</v>
      </c>
      <c r="C47" t="s">
        <v>74</v>
      </c>
      <c r="D47">
        <f>'Transpo perseq'!D47*Pondération!$D$17</f>
        <v>2.8872076701907215E-6</v>
      </c>
      <c r="E47">
        <f>'Transpo perseq'!E47*Pondération!$D$2</f>
        <v>3.0464520537901955E-5</v>
      </c>
      <c r="F47">
        <f>'Transpo perseq'!I47*Pondération!$D$12</f>
        <v>1.3235503098165225E-5</v>
      </c>
      <c r="G47">
        <f>'Transpo perseq'!M47*Pondération!$D$15</f>
        <v>6.1629582518767871E-7</v>
      </c>
      <c r="H47">
        <f>'Transpo perseq'!N47*Pondération!$D$14</f>
        <v>1.1556510100506566E-6</v>
      </c>
      <c r="I47">
        <f>'Transpo perseq'!O47*Pondération!$D$16</f>
        <v>1.7035700716137936E-6</v>
      </c>
      <c r="J47">
        <f>'Transpo perseq'!P47*Pondération!$D$4</f>
        <v>4.3968799814138714E-7</v>
      </c>
      <c r="K47">
        <f>'Transpo perseq'!T47*Pondération!$D$5</f>
        <v>2.3163530997700141E-6</v>
      </c>
      <c r="L47">
        <f>'Transpo perseq'!X47*Pondération!$D$7</f>
        <v>2.0517066004126905E-6</v>
      </c>
      <c r="M47">
        <f>'Transpo perseq'!Y47*Pondération!$D$13</f>
        <v>1.3665450490532819E-8</v>
      </c>
      <c r="N47">
        <f>'Transpo perseq'!Z47*Pondération!$D$3</f>
        <v>1.7762444953619235E-14</v>
      </c>
      <c r="O47">
        <f>'Transpo perseq'!AA47*Pondération!$D$6</f>
        <v>2.1533198248084274E-6</v>
      </c>
      <c r="P47">
        <f>'Transpo perseq'!AB47*Pondération!$D$8</f>
        <v>2.4351403829584368E-6</v>
      </c>
      <c r="Q47">
        <f>'Transpo perseq'!AC47*Pondération!$D$10</f>
        <v>2.5032121297226034E-5</v>
      </c>
      <c r="R47">
        <f>'Transpo perseq'!AD47*Pondération!$D$9</f>
        <v>-2.6562642459425796E-8</v>
      </c>
      <c r="S47">
        <f>'Transpo perseq'!AE47*Pondération!$D$11</f>
        <v>-4.4477853129116303E-7</v>
      </c>
      <c r="U47">
        <f t="shared" si="0"/>
        <v>8.40334017109294E-5</v>
      </c>
    </row>
    <row r="48" spans="1:21" x14ac:dyDescent="0.3">
      <c r="A48" t="s">
        <v>1</v>
      </c>
      <c r="B48" t="s">
        <v>20</v>
      </c>
      <c r="C48" t="s">
        <v>75</v>
      </c>
      <c r="D48">
        <f>'Transpo perseq'!D48*Pondération!$D$17</f>
        <v>9.2180586524543165E-6</v>
      </c>
      <c r="E48">
        <f>'Transpo perseq'!E48*Pondération!$D$2</f>
        <v>3.2862508787793883E-5</v>
      </c>
      <c r="F48">
        <f>'Transpo perseq'!I48*Pondération!$D$12</f>
        <v>3.5043599720376421E-6</v>
      </c>
      <c r="G48">
        <f>'Transpo perseq'!M48*Pondération!$D$15</f>
        <v>2.9143050469605499E-8</v>
      </c>
      <c r="H48">
        <f>'Transpo perseq'!N48*Pondération!$D$14</f>
        <v>2.1800588809893578E-6</v>
      </c>
      <c r="I48">
        <f>'Transpo perseq'!O48*Pondération!$D$16</f>
        <v>3.2806369062975972E-6</v>
      </c>
      <c r="J48">
        <f>'Transpo perseq'!P48*Pondération!$D$4</f>
        <v>1.1778590693867962E-4</v>
      </c>
      <c r="K48">
        <f>'Transpo perseq'!T48*Pondération!$D$5</f>
        <v>1.6273524624986627E-6</v>
      </c>
      <c r="L48">
        <f>'Transpo perseq'!X48*Pondération!$D$7</f>
        <v>9.1869329438474048E-7</v>
      </c>
      <c r="M48">
        <f>'Transpo perseq'!Y48*Pondération!$D$13</f>
        <v>4.0215411441822504E-7</v>
      </c>
      <c r="N48">
        <f>'Transpo perseq'!Z48*Pondération!$D$3</f>
        <v>5.1684203520503185E-15</v>
      </c>
      <c r="O48">
        <f>'Transpo perseq'!AA48*Pondération!$D$6</f>
        <v>2.1609341142170379E-5</v>
      </c>
      <c r="P48">
        <f>'Transpo perseq'!AB48*Pondération!$D$8</f>
        <v>5.0646670015014528E-6</v>
      </c>
      <c r="Q48">
        <f>'Transpo perseq'!AC48*Pondération!$D$10</f>
        <v>2.0952745523042875E-5</v>
      </c>
      <c r="R48">
        <f>'Transpo perseq'!AD48*Pondération!$D$9</f>
        <v>2.5783904504193617E-5</v>
      </c>
      <c r="S48">
        <f>'Transpo perseq'!AE48*Pondération!$D$11</f>
        <v>7.8032050584948388E-6</v>
      </c>
      <c r="U48">
        <f t="shared" si="0"/>
        <v>2.5302273629459522E-4</v>
      </c>
    </row>
    <row r="49" spans="1:21" x14ac:dyDescent="0.3">
      <c r="A49" t="s">
        <v>1</v>
      </c>
      <c r="B49" t="s">
        <v>20</v>
      </c>
      <c r="C49" t="s">
        <v>56</v>
      </c>
      <c r="D49">
        <f>'Transpo perseq'!D49*Pondération!$D$17</f>
        <v>1.9543326061880824E-6</v>
      </c>
      <c r="E49">
        <f>'Transpo perseq'!E49*Pondération!$D$2</f>
        <v>7.4609469004434966E-6</v>
      </c>
      <c r="F49">
        <f>'Transpo perseq'!I49*Pondération!$D$12</f>
        <v>5.664359895373363E-7</v>
      </c>
      <c r="G49">
        <f>'Transpo perseq'!M49*Pondération!$D$15</f>
        <v>4.45591279628523E-7</v>
      </c>
      <c r="H49">
        <f>'Transpo perseq'!N49*Pondération!$D$14</f>
        <v>9.6395165065070696E-7</v>
      </c>
      <c r="I49">
        <f>'Transpo perseq'!O49*Pondération!$D$16</f>
        <v>1.3423663996473399E-6</v>
      </c>
      <c r="J49">
        <f>'Transpo perseq'!P49*Pondération!$D$4</f>
        <v>1.4897147481603847E-7</v>
      </c>
      <c r="K49">
        <f>'Transpo perseq'!T49*Pondération!$D$5</f>
        <v>6.7751822622981552E-7</v>
      </c>
      <c r="L49">
        <f>'Transpo perseq'!X49*Pondération!$D$7</f>
        <v>-2.7628336616657807E-6</v>
      </c>
      <c r="M49">
        <f>'Transpo perseq'!Y49*Pondération!$D$13</f>
        <v>3.5810967760164802E-5</v>
      </c>
      <c r="N49">
        <f>'Transpo perseq'!Z49*Pondération!$D$3</f>
        <v>5.480141167481753E-9</v>
      </c>
      <c r="O49">
        <f>'Transpo perseq'!AA49*Pondération!$D$6</f>
        <v>3.3372534002545564E-6</v>
      </c>
      <c r="P49">
        <f>'Transpo perseq'!AB49*Pondération!$D$8</f>
        <v>2.1204725769737638E-6</v>
      </c>
      <c r="Q49">
        <f>'Transpo perseq'!AC49*Pondération!$D$10</f>
        <v>-1.4736307869749339E-6</v>
      </c>
      <c r="R49">
        <f>'Transpo perseq'!AD49*Pondération!$D$9</f>
        <v>8.116298651964476E-8</v>
      </c>
      <c r="S49">
        <f>'Transpo perseq'!AE49*Pondération!$D$11</f>
        <v>6.855943801982525E-5</v>
      </c>
      <c r="U49">
        <f t="shared" si="0"/>
        <v>1.1923842496340613E-4</v>
      </c>
    </row>
    <row r="50" spans="1:21" x14ac:dyDescent="0.3">
      <c r="A50" t="s">
        <v>1</v>
      </c>
      <c r="B50" t="s">
        <v>20</v>
      </c>
      <c r="C50" t="s">
        <v>57</v>
      </c>
      <c r="D50">
        <f>'Transpo perseq'!D50*Pondération!$D$17</f>
        <v>3.6059797593951437E-5</v>
      </c>
      <c r="E50">
        <f>'Transpo perseq'!E50*Pondération!$D$2</f>
        <v>1.4064268597363796E-4</v>
      </c>
      <c r="F50">
        <f>'Transpo perseq'!I50*Pondération!$D$12</f>
        <v>2.3997678456049829E-5</v>
      </c>
      <c r="G50">
        <f>'Transpo perseq'!M50*Pondération!$D$15</f>
        <v>2.7941485449012441E-7</v>
      </c>
      <c r="H50">
        <f>'Transpo perseq'!N50*Pondération!$D$14</f>
        <v>2.3917612167304727E-5</v>
      </c>
      <c r="I50">
        <f>'Transpo perseq'!O50*Pondération!$D$16</f>
        <v>3.6685115314425643E-5</v>
      </c>
      <c r="J50">
        <f>'Transpo perseq'!P50*Pondération!$D$4</f>
        <v>1.360433197073107E-6</v>
      </c>
      <c r="K50">
        <f>'Transpo perseq'!T50*Pondération!$D$5</f>
        <v>4.7977080165698923E-6</v>
      </c>
      <c r="L50">
        <f>'Transpo perseq'!X50*Pondération!$D$7</f>
        <v>2.2723000525023828E-7</v>
      </c>
      <c r="M50">
        <f>'Transpo perseq'!Y50*Pondération!$D$13</f>
        <v>2.3940738820241612E-6</v>
      </c>
      <c r="N50">
        <f>'Transpo perseq'!Z50*Pondération!$D$3</f>
        <v>1.2533323195559062E-15</v>
      </c>
      <c r="O50">
        <f>'Transpo perseq'!AA50*Pondération!$D$6</f>
        <v>1.8056193760543374E-5</v>
      </c>
      <c r="P50">
        <f>'Transpo perseq'!AB50*Pondération!$D$8</f>
        <v>3.5878101151906761E-5</v>
      </c>
      <c r="Q50">
        <f>'Transpo perseq'!AC50*Pondération!$D$10</f>
        <v>9.2014470508015013E-5</v>
      </c>
      <c r="R50">
        <f>'Transpo perseq'!AD50*Pondération!$D$9</f>
        <v>5.6997306595213212E-7</v>
      </c>
      <c r="S50">
        <f>'Transpo perseq'!AE50*Pondération!$D$11</f>
        <v>3.7164713681019862E-7</v>
      </c>
      <c r="U50">
        <f t="shared" si="0"/>
        <v>4.1725213508525793E-4</v>
      </c>
    </row>
    <row r="51" spans="1:21" x14ac:dyDescent="0.3">
      <c r="A51" t="s">
        <v>1</v>
      </c>
      <c r="B51" t="s">
        <v>21</v>
      </c>
      <c r="C51" t="s">
        <v>72</v>
      </c>
      <c r="D51">
        <f>'Transpo perseq'!D51*Pondération!$D$17</f>
        <v>1.9244799999999999E-5</v>
      </c>
      <c r="E51">
        <f>'Transpo perseq'!E51*Pondération!$D$2</f>
        <v>1.0108800000000001E-4</v>
      </c>
      <c r="F51">
        <f>'Transpo perseq'!I51*Pondération!$D$12</f>
        <v>7.12704E-6</v>
      </c>
      <c r="G51">
        <f>'Transpo perseq'!M51*Pondération!$D$15</f>
        <v>2.8851199999999999E-8</v>
      </c>
      <c r="H51">
        <f>'Transpo perseq'!N51*Pondération!$D$14</f>
        <v>3.7414400000000006E-6</v>
      </c>
      <c r="I51">
        <f>'Transpo perseq'!O51*Pondération!$D$16</f>
        <v>5.6510720000000001E-6</v>
      </c>
      <c r="J51">
        <f>'Transpo perseq'!P51*Pondération!$D$4</f>
        <v>2.382192E-6</v>
      </c>
      <c r="K51">
        <f>'Transpo perseq'!T51*Pondération!$D$5</f>
        <v>3.2972799999999996E-6</v>
      </c>
      <c r="L51">
        <f>'Transpo perseq'!X51*Pondération!$D$7</f>
        <v>6.4608960000000002E-6</v>
      </c>
      <c r="M51">
        <f>'Transpo perseq'!Y51*Pondération!$D$13</f>
        <v>3.722272E-7</v>
      </c>
      <c r="N51">
        <f>'Transpo perseq'!Z51*Pondération!$D$3</f>
        <v>1.4336320000000001E-13</v>
      </c>
      <c r="O51">
        <f>'Transpo perseq'!AA51*Pondération!$D$6</f>
        <v>2.9532159999999999E-5</v>
      </c>
      <c r="P51">
        <f>'Transpo perseq'!AB51*Pondération!$D$8</f>
        <v>9.0246400000000011E-6</v>
      </c>
      <c r="Q51">
        <f>'Transpo perseq'!AC51*Pondération!$D$10</f>
        <v>6.1501439999999996E-5</v>
      </c>
      <c r="R51">
        <f>'Transpo perseq'!AD51*Pondération!$D$9</f>
        <v>7.1513599999999996E-6</v>
      </c>
      <c r="S51">
        <f>'Transpo perseq'!AE51*Pondération!$D$11</f>
        <v>4.2890399999999993E-6</v>
      </c>
      <c r="U51">
        <f t="shared" si="0"/>
        <v>2.6089243854336323E-4</v>
      </c>
    </row>
    <row r="52" spans="1:21" x14ac:dyDescent="0.3">
      <c r="A52" t="s">
        <v>1</v>
      </c>
      <c r="B52" t="s">
        <v>21</v>
      </c>
      <c r="C52" t="s">
        <v>58</v>
      </c>
      <c r="D52">
        <f>'Transpo perseq'!D52*Pondération!$D$17</f>
        <v>3.3628800000000003E-6</v>
      </c>
      <c r="E52">
        <f>'Transpo perseq'!E52*Pondération!$D$2</f>
        <v>2.9618784000000005E-5</v>
      </c>
      <c r="F52">
        <f>'Transpo perseq'!I52*Pondération!$D$12</f>
        <v>8.6937599999999996E-7</v>
      </c>
      <c r="G52">
        <f>'Transpo perseq'!M52*Pondération!$D$15</f>
        <v>8.1984000000000001E-9</v>
      </c>
      <c r="H52">
        <f>'Transpo perseq'!N52*Pondération!$D$14</f>
        <v>1.0419200000000001E-6</v>
      </c>
      <c r="I52">
        <f>'Transpo perseq'!O52*Pondération!$D$16</f>
        <v>1.525552E-6</v>
      </c>
      <c r="J52">
        <f>'Transpo perseq'!P52*Pondération!$D$4</f>
        <v>1.2371040000000001E-7</v>
      </c>
      <c r="K52">
        <f>'Transpo perseq'!T52*Pondération!$D$5</f>
        <v>9.7446400000000001E-7</v>
      </c>
      <c r="L52">
        <f>'Transpo perseq'!X52*Pondération!$D$7</f>
        <v>4.4809439999999996E-7</v>
      </c>
      <c r="M52">
        <f>'Transpo perseq'!Y52*Pondération!$D$13</f>
        <v>5.9327679999999998E-8</v>
      </c>
      <c r="N52">
        <f>'Transpo perseq'!Z52*Pondération!$D$3</f>
        <v>1.1206560000000001E-15</v>
      </c>
      <c r="O52">
        <f>'Transpo perseq'!AA52*Pondération!$D$6</f>
        <v>5.5336960000000008E-6</v>
      </c>
      <c r="P52">
        <f>'Transpo perseq'!AB52*Pondération!$D$8</f>
        <v>2.7150400000000001E-6</v>
      </c>
      <c r="Q52">
        <f>'Transpo perseq'!AC52*Pondération!$D$10</f>
        <v>1.5974400000000001E-5</v>
      </c>
      <c r="R52">
        <f>'Transpo perseq'!AD52*Pondération!$D$9</f>
        <v>4.5662400000000003E-7</v>
      </c>
      <c r="S52">
        <f>'Transpo perseq'!AE52*Pondération!$D$11</f>
        <v>2.8593599999999994E-6</v>
      </c>
      <c r="U52">
        <f t="shared" si="0"/>
        <v>6.5571426881120661E-5</v>
      </c>
    </row>
    <row r="53" spans="1:21" x14ac:dyDescent="0.3">
      <c r="A53" t="s">
        <v>1</v>
      </c>
      <c r="B53" t="s">
        <v>21</v>
      </c>
      <c r="C53" t="s">
        <v>76</v>
      </c>
      <c r="D53">
        <f>'Transpo perseq'!D53*Pondération!$D$17</f>
        <v>1.64672E-6</v>
      </c>
      <c r="E53">
        <f>'Transpo perseq'!E53*Pondération!$D$2</f>
        <v>4.7511360000000003E-6</v>
      </c>
      <c r="F53">
        <f>'Transpo perseq'!I53*Pondération!$D$12</f>
        <v>1.072128E-4</v>
      </c>
      <c r="G53">
        <f>'Transpo perseq'!M53*Pondération!$D$15</f>
        <v>1.4291200000000001E-8</v>
      </c>
      <c r="H53">
        <f>'Transpo perseq'!N53*Pondération!$D$14</f>
        <v>2.9789440000000006E-7</v>
      </c>
      <c r="I53">
        <f>'Transpo perseq'!O53*Pondération!$D$16</f>
        <v>4.5351040000000001E-7</v>
      </c>
      <c r="J53">
        <f>'Transpo perseq'!P53*Pondération!$D$4</f>
        <v>4.7711999999999999E-4</v>
      </c>
      <c r="K53">
        <f>'Transpo perseq'!T53*Pondération!$D$5</f>
        <v>3.8860800000000001E-3</v>
      </c>
      <c r="L53">
        <f>'Transpo perseq'!X53*Pondération!$D$7</f>
        <v>1.8837599999999999E-7</v>
      </c>
      <c r="M53">
        <f>'Transpo perseq'!Y53*Pondération!$D$13</f>
        <v>1.0557023999999999E-8</v>
      </c>
      <c r="N53">
        <f>'Transpo perseq'!Z53*Pondération!$D$3</f>
        <v>6.0878879999999999E-12</v>
      </c>
      <c r="O53">
        <f>'Transpo perseq'!AA53*Pondération!$D$6</f>
        <v>5.6340479999999994E-6</v>
      </c>
      <c r="P53">
        <f>'Transpo perseq'!AB53*Pondération!$D$8</f>
        <v>7.0973440000000012E-7</v>
      </c>
      <c r="Q53">
        <f>'Transpo perseq'!AC53*Pondération!$D$10</f>
        <v>2.7955199999999995E-6</v>
      </c>
      <c r="R53">
        <f>'Transpo perseq'!AD53*Pondération!$D$9</f>
        <v>8.2627199999999994E-5</v>
      </c>
      <c r="S53">
        <f>'Transpo perseq'!AE53*Pondération!$D$11</f>
        <v>8.8640159999999998E-7</v>
      </c>
      <c r="U53">
        <f t="shared" si="0"/>
        <v>4.5704281951118881E-3</v>
      </c>
    </row>
    <row r="54" spans="1:21" x14ac:dyDescent="0.3">
      <c r="A54" t="s">
        <v>1</v>
      </c>
      <c r="B54" t="s">
        <v>21</v>
      </c>
      <c r="C54" t="s">
        <v>77</v>
      </c>
      <c r="D54">
        <f>'Transpo perseq'!D54*Pondération!$D$17</f>
        <v>2.0137599999999998E-5</v>
      </c>
      <c r="E54">
        <f>'Transpo perseq'!E54*Pondération!$D$2</f>
        <v>2.4598080000000003E-4</v>
      </c>
      <c r="F54">
        <f>'Transpo perseq'!I54*Pondération!$D$12</f>
        <v>5.1916799999999991E-5</v>
      </c>
      <c r="G54">
        <f>'Transpo perseq'!M54*Pondération!$D$15</f>
        <v>2.8940800000000002E-6</v>
      </c>
      <c r="H54">
        <f>'Transpo perseq'!N54*Pondération!$D$14</f>
        <v>7.3881600000000004E-6</v>
      </c>
      <c r="I54">
        <f>'Transpo perseq'!O54*Pondération!$D$16</f>
        <v>1.050672E-5</v>
      </c>
      <c r="J54">
        <f>'Transpo perseq'!P54*Pondération!$D$4</f>
        <v>8.75856E-6</v>
      </c>
      <c r="K54">
        <f>'Transpo perseq'!T54*Pondération!$D$5</f>
        <v>8.7436799999999993E-6</v>
      </c>
      <c r="L54">
        <f>'Transpo perseq'!X54*Pondération!$D$7</f>
        <v>2.6532959999999999E-5</v>
      </c>
      <c r="M54">
        <f>'Transpo perseq'!Y54*Pondération!$D$13</f>
        <v>1.422848E-6</v>
      </c>
      <c r="N54">
        <f>'Transpo perseq'!Z54*Pondération!$D$3</f>
        <v>2.8874560000000002E-7</v>
      </c>
      <c r="O54">
        <f>'Transpo perseq'!AA54*Pondération!$D$6</f>
        <v>2.121728E-5</v>
      </c>
      <c r="P54">
        <f>'Transpo perseq'!AB54*Pondération!$D$8</f>
        <v>1.9578879999999998E-5</v>
      </c>
      <c r="Q54">
        <f>'Transpo perseq'!AC54*Pondération!$D$10</f>
        <v>3.4877440000000002E-4</v>
      </c>
      <c r="R54">
        <f>'Transpo perseq'!AD54*Pondération!$D$9</f>
        <v>5.84672E-6</v>
      </c>
      <c r="S54">
        <f>'Transpo perseq'!AE54*Pondération!$D$11</f>
        <v>1.3752159999999999E-5</v>
      </c>
      <c r="U54">
        <f t="shared" si="0"/>
        <v>7.9374039360000017E-4</v>
      </c>
    </row>
    <row r="55" spans="1:21" x14ac:dyDescent="0.3">
      <c r="A55" t="s">
        <v>1</v>
      </c>
      <c r="B55" t="s">
        <v>21</v>
      </c>
      <c r="C55" t="s">
        <v>56</v>
      </c>
      <c r="D55">
        <f>'Transpo perseq'!D55*Pondération!$D$17</f>
        <v>1.21024E-5</v>
      </c>
      <c r="E55">
        <f>'Transpo perseq'!E55*Pondération!$D$2</f>
        <v>4.8522239999999997E-5</v>
      </c>
      <c r="F55">
        <f>'Transpo perseq'!I55*Pondération!$D$12</f>
        <v>8.8780799999999992E-6</v>
      </c>
      <c r="G55">
        <f>'Transpo perseq'!M55*Pondération!$D$15</f>
        <v>1.5276800000000003E-5</v>
      </c>
      <c r="H55">
        <f>'Transpo perseq'!N55*Pondération!$D$14</f>
        <v>3.7509120000000003E-6</v>
      </c>
      <c r="I55">
        <f>'Transpo perseq'!O55*Pondération!$D$16</f>
        <v>4.8615839999999997E-6</v>
      </c>
      <c r="J55">
        <f>'Transpo perseq'!P55*Pondération!$D$4</f>
        <v>8.9289599999999995E-7</v>
      </c>
      <c r="K55">
        <f>'Transpo perseq'!T55*Pondération!$D$5</f>
        <v>1.7045759999999999E-6</v>
      </c>
      <c r="L55">
        <f>'Transpo perseq'!X55*Pondération!$D$7</f>
        <v>4.8657120000000002E-6</v>
      </c>
      <c r="M55">
        <f>'Transpo perseq'!Y55*Pondération!$D$13</f>
        <v>3.2395199999999998E-5</v>
      </c>
      <c r="N55">
        <f>'Transpo perseq'!Z55*Pondération!$D$3</f>
        <v>2.0494880000000001E-7</v>
      </c>
      <c r="O55">
        <f>'Transpo perseq'!AA55*Pondération!$D$6</f>
        <v>3.0822399999999998E-5</v>
      </c>
      <c r="P55">
        <f>'Transpo perseq'!AB55*Pondération!$D$8</f>
        <v>7.8774399999999996E-6</v>
      </c>
      <c r="Q55">
        <f>'Transpo perseq'!AC55*Pondération!$D$10</f>
        <v>3.0218239999999998E-5</v>
      </c>
      <c r="R55">
        <f>'Transpo perseq'!AD55*Pondération!$D$9</f>
        <v>2.6334399999999999E-6</v>
      </c>
      <c r="S55">
        <f>'Transpo perseq'!AE55*Pondération!$D$11</f>
        <v>2.3964159999999997E-3</v>
      </c>
      <c r="U55">
        <f t="shared" si="0"/>
        <v>2.6014228687999998E-3</v>
      </c>
    </row>
    <row r="56" spans="1:21" x14ac:dyDescent="0.3">
      <c r="A56" t="s">
        <v>1</v>
      </c>
      <c r="B56" t="s">
        <v>21</v>
      </c>
      <c r="C56" t="s">
        <v>57</v>
      </c>
      <c r="D56">
        <f>'Transpo perseq'!D56*Pondération!$D$17</f>
        <v>2.3212799999999999E-5</v>
      </c>
      <c r="E56">
        <f>'Transpo perseq'!E56*Pondération!$D$2</f>
        <v>9.0642240000000007E-5</v>
      </c>
      <c r="F56">
        <f>'Transpo perseq'!I56*Pondération!$D$12</f>
        <v>1.5452159999999998E-5</v>
      </c>
      <c r="G56">
        <f>'Transpo perseq'!M56*Pondération!$D$15</f>
        <v>1.8009600000000003E-7</v>
      </c>
      <c r="H56">
        <f>'Transpo perseq'!N56*Pondération!$D$14</f>
        <v>1.5391999999999998E-5</v>
      </c>
      <c r="I56">
        <f>'Transpo perseq'!O56*Pondération!$D$16</f>
        <v>2.3625280000000001E-5</v>
      </c>
      <c r="J56">
        <f>'Transpo perseq'!P56*Pondération!$D$4</f>
        <v>8.75856E-7</v>
      </c>
      <c r="K56">
        <f>'Transpo perseq'!T56*Pondération!$D$5</f>
        <v>3.0911999999999997E-6</v>
      </c>
      <c r="L56">
        <f>'Transpo perseq'!X56*Pondération!$D$7</f>
        <v>1.4669280000000002E-7</v>
      </c>
      <c r="M56">
        <f>'Transpo perseq'!Y56*Pondération!$D$13</f>
        <v>1.5371840000000001E-6</v>
      </c>
      <c r="N56">
        <f>'Transpo perseq'!Z56*Pondération!$D$3</f>
        <v>8.0667039999999998E-16</v>
      </c>
      <c r="O56">
        <f>'Transpo perseq'!AA56*Pondération!$D$6</f>
        <v>1.1626496E-5</v>
      </c>
      <c r="P56">
        <f>'Transpo perseq'!AB56*Pondération!$D$8</f>
        <v>2.309696E-5</v>
      </c>
      <c r="Q56">
        <f>'Transpo perseq'!AC56*Pondération!$D$10</f>
        <v>5.9238399999999992E-5</v>
      </c>
      <c r="R56">
        <f>'Transpo perseq'!AD56*Pondération!$D$9</f>
        <v>3.6723199999999999E-7</v>
      </c>
      <c r="S56">
        <f>'Transpo perseq'!AE56*Pondération!$D$11</f>
        <v>2.3964159999999997E-7</v>
      </c>
      <c r="U56">
        <f t="shared" si="0"/>
        <v>2.6872423840080672E-4</v>
      </c>
    </row>
    <row r="57" spans="1:21" x14ac:dyDescent="0.3">
      <c r="A57" t="s">
        <v>1</v>
      </c>
      <c r="B57" t="s">
        <v>22</v>
      </c>
      <c r="C57" t="s">
        <v>78</v>
      </c>
      <c r="D57">
        <f>'Transpo perseq'!D57*Pondération!$D$17</f>
        <v>7.7276799999999992E-6</v>
      </c>
      <c r="E57">
        <f>'Transpo perseq'!E57*Pondération!$D$2</f>
        <v>6.8065920000000003E-5</v>
      </c>
      <c r="F57">
        <f>'Transpo perseq'!I57*Pondération!$D$12</f>
        <v>1.4039039999999998E-5</v>
      </c>
      <c r="G57">
        <f>'Transpo perseq'!M57*Pondération!$D$15</f>
        <v>2.2444800000000002E-6</v>
      </c>
      <c r="H57">
        <f>'Transpo perseq'!N57*Pondération!$D$14</f>
        <v>2.4864E-6</v>
      </c>
      <c r="I57">
        <f>'Transpo perseq'!O57*Pondération!$D$16</f>
        <v>3.4488160000000004E-6</v>
      </c>
      <c r="J57">
        <f>'Transpo perseq'!P57*Pondération!$D$4</f>
        <v>1.2541439999999999E-6</v>
      </c>
      <c r="K57">
        <f>'Transpo perseq'!T57*Pondération!$D$5</f>
        <v>3.9974117351435797E-6</v>
      </c>
      <c r="L57">
        <f>'Transpo perseq'!X57*Pondération!$D$7</f>
        <v>1.1432670738175808E-5</v>
      </c>
      <c r="M57">
        <f>'Transpo perseq'!Y57*Pondération!$D$13</f>
        <v>4.044374167047738E-7</v>
      </c>
      <c r="N57">
        <f>'Transpo perseq'!Z57*Pondération!$D$3</f>
        <v>3.7654583906361754E-8</v>
      </c>
      <c r="O57">
        <f>'Transpo perseq'!AA57*Pondération!$D$6</f>
        <v>8.9271755291613211E-6</v>
      </c>
      <c r="P57">
        <f>'Transpo perseq'!AB57*Pondération!$D$8</f>
        <v>7.1350692903176965E-6</v>
      </c>
      <c r="Q57">
        <f>'Transpo perseq'!AC57*Pondération!$D$10</f>
        <v>1.0214801215462019E-4</v>
      </c>
      <c r="R57">
        <f>'Transpo perseq'!AD57*Pondération!$D$9</f>
        <v>2.0206293932322738E-6</v>
      </c>
      <c r="S57">
        <f>'Transpo perseq'!AE57*Pondération!$D$11</f>
        <v>2.7906029682136757E-5</v>
      </c>
      <c r="U57">
        <f t="shared" si="0"/>
        <v>2.632755705233988E-4</v>
      </c>
    </row>
    <row r="58" spans="1:21" x14ac:dyDescent="0.3">
      <c r="A58" t="s">
        <v>1</v>
      </c>
      <c r="B58" t="s">
        <v>22</v>
      </c>
      <c r="C58" t="s">
        <v>56</v>
      </c>
      <c r="D58">
        <f>'Transpo perseq'!D58*Pondération!$D$17</f>
        <v>9.0966399999999997E-6</v>
      </c>
      <c r="E58">
        <f>'Transpo perseq'!E58*Pondération!$D$2</f>
        <v>3.6391680000000005E-5</v>
      </c>
      <c r="F58">
        <f>'Transpo perseq'!I58*Pondération!$D$12</f>
        <v>6.6662399999999992E-6</v>
      </c>
      <c r="G58">
        <f>'Transpo perseq'!M58*Pondération!$D$15</f>
        <v>1.1468799999999999E-5</v>
      </c>
      <c r="H58">
        <f>'Transpo perseq'!N58*Pondération!$D$14</f>
        <v>2.813184E-6</v>
      </c>
      <c r="I58">
        <f>'Transpo perseq'!O58*Pondération!$D$16</f>
        <v>3.6447039999999997E-6</v>
      </c>
      <c r="J58">
        <f>'Transpo perseq'!P58*Pondération!$D$4</f>
        <v>6.6796799999999996E-7</v>
      </c>
      <c r="K58">
        <f>'Transpo perseq'!T58*Pondération!$D$5</f>
        <v>1.2782419028130496E-6</v>
      </c>
      <c r="L58">
        <f>'Transpo perseq'!X58*Pondération!$D$7</f>
        <v>3.6465786380998391E-6</v>
      </c>
      <c r="M58">
        <f>'Transpo perseq'!Y58*Pondération!$D$13</f>
        <v>2.4301588603844094E-5</v>
      </c>
      <c r="N58">
        <f>'Transpo perseq'!Z58*Pondération!$D$3</f>
        <v>1.5402936447031486E-7</v>
      </c>
      <c r="O58">
        <f>'Transpo perseq'!AA58*Pondération!$D$6</f>
        <v>2.3109775729669385E-5</v>
      </c>
      <c r="P58">
        <f>'Transpo perseq'!AB58*Pondération!$D$8</f>
        <v>5.9021607771692163E-6</v>
      </c>
      <c r="Q58">
        <f>'Transpo perseq'!AC58*Pondération!$D$10</f>
        <v>2.2671617082134293E-5</v>
      </c>
      <c r="R58">
        <f>'Transpo perseq'!AD58*Pondération!$D$9</f>
        <v>1.9760764717808986E-6</v>
      </c>
      <c r="S58">
        <f>'Transpo perseq'!AE58*Pondération!$D$11</f>
        <v>1.8012154505110589E-3</v>
      </c>
      <c r="U58">
        <f t="shared" si="0"/>
        <v>1.9550047350810401E-3</v>
      </c>
    </row>
    <row r="59" spans="1:21" x14ac:dyDescent="0.3">
      <c r="A59" t="s">
        <v>1</v>
      </c>
      <c r="B59" t="s">
        <v>22</v>
      </c>
      <c r="C59" t="s">
        <v>57</v>
      </c>
      <c r="D59">
        <f>'Transpo perseq'!D59*Pondération!$D$17</f>
        <v>4.3151999999999999E-7</v>
      </c>
      <c r="E59">
        <f>'Transpo perseq'!E59*Pondération!$D$2</f>
        <v>1.6814304000000001E-6</v>
      </c>
      <c r="F59">
        <f>'Transpo perseq'!I59*Pondération!$D$12</f>
        <v>2.8692479999999997E-7</v>
      </c>
      <c r="G59">
        <f>'Transpo perseq'!M59*Pondération!$D$15</f>
        <v>3.3420800000000001E-9</v>
      </c>
      <c r="H59">
        <f>'Transpo perseq'!N59*Pondération!$D$14</f>
        <v>2.8605439999999997E-7</v>
      </c>
      <c r="I59">
        <f>'Transpo perseq'!O59*Pondération!$D$16</f>
        <v>4.3867040000000002E-7</v>
      </c>
      <c r="J59">
        <f>'Transpo perseq'!P59*Pondération!$D$4</f>
        <v>1.6256159999999998E-8</v>
      </c>
      <c r="K59">
        <f>'Transpo perseq'!T59*Pondération!$D$5</f>
        <v>5.7387725235710342E-8</v>
      </c>
      <c r="L59">
        <f>'Transpo perseq'!X59*Pondération!$D$7</f>
        <v>2.7180089037458265E-9</v>
      </c>
      <c r="M59">
        <f>'Transpo perseq'!Y59*Pondération!$D$13</f>
        <v>2.8636685196574174E-8</v>
      </c>
      <c r="N59">
        <f>'Transpo perseq'!Z59*Pondération!$D$3</f>
        <v>1.4991719074045047E-17</v>
      </c>
      <c r="O59">
        <f>'Transpo perseq'!AA59*Pondération!$D$6</f>
        <v>2.1597893885039717E-7</v>
      </c>
      <c r="P59">
        <f>'Transpo perseq'!AB59*Pondération!$D$8</f>
        <v>4.2915546418698016E-7</v>
      </c>
      <c r="Q59">
        <f>'Transpo perseq'!AC59*Pondération!$D$10</f>
        <v>1.1006299535082196E-6</v>
      </c>
      <c r="R59">
        <f>'Transpo perseq'!AD59*Pondération!$D$9</f>
        <v>6.8177257948268957E-9</v>
      </c>
      <c r="S59">
        <f>'Transpo perseq'!AE59*Pondération!$D$11</f>
        <v>4.4454526407697469E-9</v>
      </c>
      <c r="U59">
        <f t="shared" si="0"/>
        <v>4.9899681943322158E-6</v>
      </c>
    </row>
    <row r="60" spans="1:21" x14ac:dyDescent="0.3">
      <c r="A60" t="s">
        <v>1</v>
      </c>
      <c r="B60" t="s">
        <v>23</v>
      </c>
      <c r="C60" t="s">
        <v>79</v>
      </c>
      <c r="D60">
        <f>'Transpo perseq'!D60*Pondération!$D$17</f>
        <v>1.6467199999999998E-4</v>
      </c>
      <c r="E60">
        <f>'Transpo perseq'!E60*Pondération!$D$2</f>
        <v>1.5365376000000001E-3</v>
      </c>
      <c r="F60">
        <f>'Transpo perseq'!I60*Pondération!$D$12</f>
        <v>6.2361600000000001E-4</v>
      </c>
      <c r="G60">
        <f>'Transpo perseq'!M60*Pondération!$D$15</f>
        <v>6.8992000000000008E-6</v>
      </c>
      <c r="H60">
        <f>'Transpo perseq'!N60*Pondération!$D$14</f>
        <v>5.9200000000000002E-5</v>
      </c>
      <c r="I60">
        <f>'Transpo perseq'!O60*Pondération!$D$16</f>
        <v>8.3103999999999996E-5</v>
      </c>
      <c r="J60">
        <f>'Transpo perseq'!P60*Pondération!$D$4</f>
        <v>2.8865759999999998E-5</v>
      </c>
      <c r="K60">
        <f>'Transpo perseq'!T60*Pondération!$D$5</f>
        <v>1.2551163358955262E-4</v>
      </c>
      <c r="L60">
        <f>'Transpo perseq'!X60*Pondération!$D$7</f>
        <v>3.0253459794724057E-5</v>
      </c>
      <c r="M60">
        <f>'Transpo perseq'!Y60*Pondération!$D$13</f>
        <v>4.9784823335534497E-6</v>
      </c>
      <c r="N60">
        <f>'Transpo perseq'!Z60*Pondération!$D$3</f>
        <v>3.6099127504980567E-7</v>
      </c>
      <c r="O60">
        <f>'Transpo perseq'!AA60*Pondération!$D$6</f>
        <v>2.9444514639347834E-4</v>
      </c>
      <c r="P60">
        <f>'Transpo perseq'!AB60*Pondération!$D$8</f>
        <v>1.4598630914165454E-4</v>
      </c>
      <c r="Q60">
        <f>'Transpo perseq'!AC60*Pondération!$D$10</f>
        <v>1.6971569822599474E-3</v>
      </c>
      <c r="R60">
        <f>'Transpo perseq'!AD60*Pondération!$D$9</f>
        <v>4.2750689733721768E-4</v>
      </c>
      <c r="S60">
        <f>'Transpo perseq'!AE60*Pondération!$D$11</f>
        <v>1.3044091075416892E-4</v>
      </c>
      <c r="U60">
        <f t="shared" si="0"/>
        <v>5.3595353728793475E-3</v>
      </c>
    </row>
    <row r="61" spans="1:21" x14ac:dyDescent="0.3">
      <c r="A61" t="s">
        <v>1</v>
      </c>
      <c r="B61" t="s">
        <v>23</v>
      </c>
      <c r="C61" t="s">
        <v>78</v>
      </c>
      <c r="D61">
        <f>'Transpo perseq'!D61*Pondération!$D$17</f>
        <v>4.14656E-6</v>
      </c>
      <c r="E61">
        <f>'Transpo perseq'!E61*Pondération!$D$2</f>
        <v>3.6391680000000005E-5</v>
      </c>
      <c r="F61">
        <f>'Transpo perseq'!I61*Pondération!$D$12</f>
        <v>7.5263999999999988E-6</v>
      </c>
      <c r="G61">
        <f>'Transpo perseq'!M61*Pondération!$D$15</f>
        <v>1.20064E-6</v>
      </c>
      <c r="H61">
        <f>'Transpo perseq'!N61*Pondération!$D$14</f>
        <v>1.3355520000000001E-6</v>
      </c>
      <c r="I61">
        <f>'Transpo perseq'!O61*Pondération!$D$16</f>
        <v>1.8520320000000003E-6</v>
      </c>
      <c r="J61">
        <f>'Transpo perseq'!P61*Pondération!$D$4</f>
        <v>6.7137600000000002E-7</v>
      </c>
      <c r="K61">
        <f>'Transpo perseq'!T61*Pondération!$D$5</f>
        <v>2.1435396260914879E-6</v>
      </c>
      <c r="L61">
        <f>'Transpo perseq'!X61*Pondération!$D$7</f>
        <v>6.1305625697464608E-6</v>
      </c>
      <c r="M61">
        <f>'Transpo perseq'!Y61*Pondération!$D$13</f>
        <v>2.1687223794314006E-7</v>
      </c>
      <c r="N61">
        <f>'Transpo perseq'!Z61*Pondération!$D$3</f>
        <v>2.0191588471527294E-8</v>
      </c>
      <c r="O61">
        <f>'Transpo perseq'!AA61*Pondération!$D$6</f>
        <v>4.787036153318394E-6</v>
      </c>
      <c r="P61">
        <f>'Transpo perseq'!AB61*Pondération!$D$8</f>
        <v>3.8260516484312258E-6</v>
      </c>
      <c r="Q61">
        <f>'Transpo perseq'!AC61*Pondération!$D$10</f>
        <v>5.4775021010448525E-5</v>
      </c>
      <c r="R61">
        <f>'Transpo perseq'!AD61*Pondération!$D$9</f>
        <v>1.0835259065158562E-6</v>
      </c>
      <c r="S61">
        <f>'Transpo perseq'!AE61*Pondération!$D$11</f>
        <v>1.4964102873029862E-5</v>
      </c>
      <c r="U61">
        <f t="shared" si="0"/>
        <v>1.4107114361399647E-4</v>
      </c>
    </row>
    <row r="62" spans="1:21" x14ac:dyDescent="0.3">
      <c r="A62" t="s">
        <v>1</v>
      </c>
      <c r="B62" t="s">
        <v>23</v>
      </c>
      <c r="C62" t="s">
        <v>56</v>
      </c>
      <c r="D62">
        <f>'Transpo perseq'!D62*Pondération!$D$17</f>
        <v>5.8230399999999997E-5</v>
      </c>
      <c r="E62">
        <f>'Transpo perseq'!E62*Pondération!$D$2</f>
        <v>2.3317632000000003E-4</v>
      </c>
      <c r="F62">
        <f>'Transpo perseq'!I62*Pondération!$D$12</f>
        <v>4.2700799999999996E-5</v>
      </c>
      <c r="G62">
        <f>'Transpo perseq'!M62*Pondération!$D$15</f>
        <v>7.3472000000000004E-5</v>
      </c>
      <c r="H62">
        <f>'Transpo perseq'!N62*Pondération!$D$14</f>
        <v>1.79968E-5</v>
      </c>
      <c r="I62">
        <f>'Transpo perseq'!O62*Pondération!$D$16</f>
        <v>2.3328480000000001E-5</v>
      </c>
      <c r="J62">
        <f>'Transpo perseq'!P62*Pondération!$D$4</f>
        <v>4.2940799999999996E-6</v>
      </c>
      <c r="K62">
        <f>'Transpo perseq'!T62*Pondération!$D$5</f>
        <v>8.1807481780035172E-6</v>
      </c>
      <c r="L62">
        <f>'Transpo perseq'!X62*Pondération!$D$7</f>
        <v>2.3338103283838946E-5</v>
      </c>
      <c r="M62">
        <f>'Transpo perseq'!Y62*Pondération!$D$13</f>
        <v>1.5553016706460236E-4</v>
      </c>
      <c r="N62">
        <f>'Transpo perseq'!Z62*Pondération!$D$3</f>
        <v>9.857879326100164E-7</v>
      </c>
      <c r="O62">
        <f>'Transpo perseq'!AA62*Pondération!$D$6</f>
        <v>1.4790256466988441E-4</v>
      </c>
      <c r="P62">
        <f>'Transpo perseq'!AB62*Pondération!$D$8</f>
        <v>3.7773828973882979E-5</v>
      </c>
      <c r="Q62">
        <f>'Transpo perseq'!AC62*Pondération!$D$10</f>
        <v>1.4509834932566006E-4</v>
      </c>
      <c r="R62">
        <f>'Transpo perseq'!AD62*Pondération!$D$9</f>
        <v>1.2646889419397748E-5</v>
      </c>
      <c r="S62">
        <f>'Transpo perseq'!AE62*Pondération!$D$11</f>
        <v>1.152777888327082E-2</v>
      </c>
      <c r="U62">
        <f t="shared" si="0"/>
        <v>1.25124342021187E-2</v>
      </c>
    </row>
    <row r="63" spans="1:21" x14ac:dyDescent="0.3">
      <c r="A63" t="s">
        <v>1</v>
      </c>
      <c r="B63" t="s">
        <v>23</v>
      </c>
      <c r="C63" t="s">
        <v>80</v>
      </c>
      <c r="D63">
        <f>'Transpo perseq'!D63*Pondération!$D$17</f>
        <v>3.1446400000000002E-3</v>
      </c>
      <c r="E63">
        <f>'Transpo perseq'!E63*Pondération!$D$2</f>
        <v>2.9686176E-3</v>
      </c>
      <c r="F63">
        <f>'Transpo perseq'!I63*Pondération!$D$12</f>
        <v>3.1641600000000003E-4</v>
      </c>
      <c r="G63">
        <f>'Transpo perseq'!M63*Pondération!$D$15</f>
        <v>4.8831999999999999E-4</v>
      </c>
      <c r="H63">
        <f>'Transpo perseq'!N63*Pondération!$D$14</f>
        <v>8.5247999999999997E-4</v>
      </c>
      <c r="I63">
        <f>'Transpo perseq'!O63*Pondération!$D$16</f>
        <v>2.617776E-3</v>
      </c>
      <c r="J63">
        <f>'Transpo perseq'!P63*Pondération!$D$4</f>
        <v>1.673328E-5</v>
      </c>
      <c r="K63">
        <f>'Transpo perseq'!T63*Pondération!$D$5</f>
        <v>5.9675170910500644E-5</v>
      </c>
      <c r="L63">
        <f>'Transpo perseq'!X63*Pondération!$D$7</f>
        <v>2.5745788675782862E-5</v>
      </c>
      <c r="M63">
        <f>'Transpo perseq'!Y63*Pondération!$D$13</f>
        <v>1.2993656987057949E-3</v>
      </c>
      <c r="N63">
        <f>'Transpo perseq'!Z63*Pondération!$D$3</f>
        <v>1.7312745151106598E-6</v>
      </c>
      <c r="O63">
        <f>'Transpo perseq'!AA63*Pondération!$D$6</f>
        <v>2.9543455433894564E-3</v>
      </c>
      <c r="P63">
        <f>'Transpo perseq'!AB63*Pondération!$D$8</f>
        <v>1.3593981627632107E-4</v>
      </c>
      <c r="Q63">
        <f>'Transpo perseq'!AC63*Pondération!$D$10</f>
        <v>2.3977976539237158E-4</v>
      </c>
      <c r="R63">
        <f>'Transpo perseq'!AD63*Pondération!$D$9</f>
        <v>4.9733972072880136E-5</v>
      </c>
      <c r="S63">
        <f>'Transpo perseq'!AE63*Pondération!$D$11</f>
        <v>1.0879667049734686E-2</v>
      </c>
      <c r="U63">
        <f t="shared" si="0"/>
        <v>2.6050966959672905E-2</v>
      </c>
    </row>
    <row r="64" spans="1:21" x14ac:dyDescent="0.3">
      <c r="A64" t="s">
        <v>1</v>
      </c>
      <c r="B64" t="s">
        <v>23</v>
      </c>
      <c r="C64" t="s">
        <v>57</v>
      </c>
      <c r="D64">
        <f>'Transpo perseq'!D64*Pondération!$D$17</f>
        <v>4.4342400000000004E-5</v>
      </c>
      <c r="E64">
        <f>'Transpo perseq'!E64*Pondération!$D$2</f>
        <v>1.7286048E-4</v>
      </c>
      <c r="F64">
        <f>'Transpo perseq'!I64*Pondération!$D$12</f>
        <v>2.9521919999999997E-5</v>
      </c>
      <c r="G64">
        <f>'Transpo perseq'!M64*Pondération!$D$15</f>
        <v>3.43616E-7</v>
      </c>
      <c r="H64">
        <f>'Transpo perseq'!N64*Pondération!$D$14</f>
        <v>2.9410560000000003E-5</v>
      </c>
      <c r="I64">
        <f>'Transpo perseq'!O64*Pondération!$D$16</f>
        <v>4.5113600000000001E-5</v>
      </c>
      <c r="J64">
        <f>'Transpo perseq'!P64*Pondération!$D$4</f>
        <v>1.6733280000000001E-6</v>
      </c>
      <c r="K64">
        <f>'Transpo perseq'!T64*Pondération!$D$5</f>
        <v>5.9007301502027522E-6</v>
      </c>
      <c r="L64">
        <f>'Transpo perseq'!X64*Pondération!$D$7</f>
        <v>2.7947155983231918E-7</v>
      </c>
      <c r="M64">
        <f>'Transpo perseq'!Y64*Pondération!$D$13</f>
        <v>2.9444859688591051E-6</v>
      </c>
      <c r="N64">
        <f>'Transpo perseq'!Z64*Pondération!$D$3</f>
        <v>1.5414810114923388E-15</v>
      </c>
      <c r="O64">
        <f>'Transpo perseq'!AA64*Pondération!$D$6</f>
        <v>2.2207422075867468E-5</v>
      </c>
      <c r="P64">
        <f>'Transpo perseq'!AB64*Pondération!$D$8</f>
        <v>4.4126693927163802E-5</v>
      </c>
      <c r="Q64">
        <f>'Transpo perseq'!AC64*Pondération!$D$10</f>
        <v>1.1316915462683098E-4</v>
      </c>
      <c r="R64">
        <f>'Transpo perseq'!AD64*Pondération!$D$9</f>
        <v>7.0101332624901858E-7</v>
      </c>
      <c r="S64">
        <f>'Transpo perseq'!AE64*Pondération!$D$11</f>
        <v>4.5709106469976856E-7</v>
      </c>
      <c r="U64">
        <f t="shared" si="0"/>
        <v>5.1305196670124666E-4</v>
      </c>
    </row>
    <row r="65" spans="1:21" x14ac:dyDescent="0.3">
      <c r="A65" t="s">
        <v>1</v>
      </c>
      <c r="B65" t="s">
        <v>23</v>
      </c>
      <c r="C65" t="s">
        <v>81</v>
      </c>
      <c r="D65">
        <f>'Transpo perseq'!D65*Pondération!$D$17</f>
        <v>7.8169600000000005E-6</v>
      </c>
      <c r="E65">
        <f>'Transpo perseq'!E65*Pondération!$D$2</f>
        <v>9.2327040000000002E-5</v>
      </c>
      <c r="F65">
        <f>'Transpo perseq'!I65*Pondération!$D$12</f>
        <v>2.0582399999999998E-5</v>
      </c>
      <c r="G65">
        <f>'Transpo perseq'!M65*Pondération!$D$15</f>
        <v>1.7024000000000002E-7</v>
      </c>
      <c r="H65">
        <f>'Transpo perseq'!N65*Pondération!$D$14</f>
        <v>3.5046400000000001E-6</v>
      </c>
      <c r="I65">
        <f>'Transpo perseq'!O65*Pondération!$D$16</f>
        <v>4.932816E-6</v>
      </c>
      <c r="J65">
        <f>'Transpo perseq'!P65*Pondération!$D$4</f>
        <v>1.206432E-6</v>
      </c>
      <c r="K65">
        <f>'Transpo perseq'!T65*Pondération!$D$5</f>
        <v>4.0426594858218394E-6</v>
      </c>
      <c r="L65">
        <f>'Transpo perseq'!X65*Pondération!$D$7</f>
        <v>1.9281825864870352E-6</v>
      </c>
      <c r="M65">
        <f>'Transpo perseq'!Y65*Pondération!$D$13</f>
        <v>2.433173556431307E-7</v>
      </c>
      <c r="N65">
        <f>'Transpo perseq'!Z65*Pondération!$D$3</f>
        <v>6.1063283056422881E-9</v>
      </c>
      <c r="O65">
        <f>'Transpo perseq'!AA65*Pondération!$D$6</f>
        <v>8.8777455745970507E-6</v>
      </c>
      <c r="P65">
        <f>'Transpo perseq'!AB65*Pondération!$D$8</f>
        <v>9.0739373065634371E-6</v>
      </c>
      <c r="Q65">
        <f>'Transpo perseq'!AC65*Pondération!$D$10</f>
        <v>8.7354394609850104E-5</v>
      </c>
      <c r="R65">
        <f>'Transpo perseq'!AD65*Pondération!$D$9</f>
        <v>7.4546214016899157E-6</v>
      </c>
      <c r="S65">
        <f>'Transpo perseq'!AE65*Pondération!$D$11</f>
        <v>4.5759629319626362E-6</v>
      </c>
      <c r="U65">
        <f t="shared" si="0"/>
        <v>2.540974555809207E-4</v>
      </c>
    </row>
    <row r="66" spans="1:21" x14ac:dyDescent="0.3">
      <c r="A66" t="s">
        <v>1</v>
      </c>
      <c r="B66" t="s">
        <v>24</v>
      </c>
      <c r="C66" t="s">
        <v>79</v>
      </c>
      <c r="D66">
        <f>'Transpo perseq'!D66*Pondération!$D$17</f>
        <v>1.9840000000000003E-5</v>
      </c>
      <c r="E66">
        <f>'Transpo perseq'!E66*Pondération!$D$2</f>
        <v>1.8499103999999999E-4</v>
      </c>
      <c r="F66">
        <f>'Transpo perseq'!I66*Pondération!$D$12</f>
        <v>7.526399999999999E-5</v>
      </c>
      <c r="G66">
        <f>'Transpo perseq'!M66*Pondération!$D$15</f>
        <v>8.2880000000000001E-7</v>
      </c>
      <c r="H66">
        <f>'Transpo perseq'!N66*Pondération!$D$14</f>
        <v>7.1513600000000004E-6</v>
      </c>
      <c r="I66">
        <f>'Transpo perseq'!O66*Pondération!$D$16</f>
        <v>9.9724800000000001E-6</v>
      </c>
      <c r="J66">
        <f>'Transpo perseq'!P66*Pondération!$D$4</f>
        <v>3.47616E-6</v>
      </c>
      <c r="K66">
        <f>'Transpo perseq'!T66*Pondération!$D$5</f>
        <v>1.5111350909786924E-5</v>
      </c>
      <c r="L66">
        <f>'Transpo perseq'!X66*Pondération!$D$7</f>
        <v>3.6424563533946392E-6</v>
      </c>
      <c r="M66">
        <f>'Transpo perseq'!Y66*Pondération!$D$13</f>
        <v>5.9939936553230616E-7</v>
      </c>
      <c r="N66">
        <f>'Transpo perseq'!Z66*Pondération!$D$3</f>
        <v>4.3462631125399491E-8</v>
      </c>
      <c r="O66">
        <f>'Transpo perseq'!AA66*Pondération!$D$6</f>
        <v>3.5450609665284424E-5</v>
      </c>
      <c r="P66">
        <f>'Transpo perseq'!AB66*Pondération!$D$8</f>
        <v>1.7576461100637062E-5</v>
      </c>
      <c r="Q66">
        <f>'Transpo perseq'!AC66*Pondération!$D$10</f>
        <v>2.0433432323726754E-4</v>
      </c>
      <c r="R66">
        <f>'Transpo perseq'!AD66*Pondération!$D$9</f>
        <v>5.1470979679406243E-5</v>
      </c>
      <c r="S66">
        <f>'Transpo perseq'!AE66*Pondération!$D$11</f>
        <v>1.5704826070899704E-5</v>
      </c>
      <c r="U66">
        <f t="shared" si="0"/>
        <v>6.4545770901333415E-4</v>
      </c>
    </row>
    <row r="67" spans="1:21" x14ac:dyDescent="0.3">
      <c r="A67" t="s">
        <v>1</v>
      </c>
      <c r="B67" t="s">
        <v>24</v>
      </c>
      <c r="C67" t="s">
        <v>56</v>
      </c>
      <c r="D67">
        <f>'Transpo perseq'!D67*Pondération!$D$17</f>
        <v>1.21024E-5</v>
      </c>
      <c r="E67">
        <f>'Transpo perseq'!E67*Pondération!$D$2</f>
        <v>4.8522239999999997E-5</v>
      </c>
      <c r="F67">
        <f>'Transpo perseq'!I67*Pondération!$D$12</f>
        <v>8.8780799999999992E-6</v>
      </c>
      <c r="G67">
        <f>'Transpo perseq'!M67*Pondération!$D$15</f>
        <v>1.5276800000000003E-5</v>
      </c>
      <c r="H67">
        <f>'Transpo perseq'!N67*Pondération!$D$14</f>
        <v>3.7509120000000003E-6</v>
      </c>
      <c r="I67">
        <f>'Transpo perseq'!O67*Pondération!$D$16</f>
        <v>4.8615839999999997E-6</v>
      </c>
      <c r="J67">
        <f>'Transpo perseq'!P67*Pondération!$D$4</f>
        <v>8.9289599999999995E-7</v>
      </c>
      <c r="K67">
        <f>'Transpo perseq'!T67*Pondération!$D$5</f>
        <v>1.7043225392227015E-6</v>
      </c>
      <c r="L67">
        <f>'Transpo perseq'!X67*Pondération!$D$7</f>
        <v>4.8621048499314954E-6</v>
      </c>
      <c r="M67">
        <f>'Transpo perseq'!Y67*Pondération!$D$13</f>
        <v>3.2402118440531077E-5</v>
      </c>
      <c r="N67">
        <f>'Transpo perseq'!Z67*Pondération!$D$3</f>
        <v>2.0537248617203399E-7</v>
      </c>
      <c r="O67">
        <f>'Transpo perseq'!AA67*Pondération!$D$6</f>
        <v>3.0813034327422054E-5</v>
      </c>
      <c r="P67">
        <f>'Transpo perseq'!AB67*Pondération!$D$8</f>
        <v>7.8695477178924322E-6</v>
      </c>
      <c r="Q67">
        <f>'Transpo perseq'!AC67*Pondération!$D$10</f>
        <v>3.0228822793760478E-5</v>
      </c>
      <c r="R67">
        <f>'Transpo perseq'!AD67*Pondération!$D$9</f>
        <v>2.634768642607288E-6</v>
      </c>
      <c r="S67">
        <f>'Transpo perseq'!AE67*Pondération!$D$11</f>
        <v>2.4016206006917465E-3</v>
      </c>
      <c r="U67">
        <f t="shared" si="0"/>
        <v>2.6066256044892859E-3</v>
      </c>
    </row>
    <row r="68" spans="1:21" x14ac:dyDescent="0.3">
      <c r="A68" t="s">
        <v>1</v>
      </c>
      <c r="B68" t="s">
        <v>24</v>
      </c>
      <c r="C68" t="s">
        <v>80</v>
      </c>
      <c r="D68">
        <f>'Transpo perseq'!D68*Pondération!$D$17</f>
        <v>1.8649599999999999E-3</v>
      </c>
      <c r="E68">
        <f>'Transpo perseq'!E68*Pondération!$D$2</f>
        <v>1.7623008000000001E-3</v>
      </c>
      <c r="F68">
        <f>'Transpo perseq'!I68*Pondération!$D$12</f>
        <v>1.880064E-4</v>
      </c>
      <c r="G68">
        <f>'Transpo perseq'!M68*Pondération!$D$15</f>
        <v>2.9075199999999997E-4</v>
      </c>
      <c r="H68">
        <f>'Transpo perseq'!N68*Pondération!$D$14</f>
        <v>5.0675200000000007E-4</v>
      </c>
      <c r="I68">
        <f>'Transpo perseq'!O68*Pondération!$D$16</f>
        <v>1.5552319999999999E-3</v>
      </c>
      <c r="J68">
        <f>'Transpo perseq'!P68*Pondération!$D$4</f>
        <v>9.9513599999999999E-6</v>
      </c>
      <c r="K68">
        <f>'Transpo perseq'!T68*Pondération!$D$5</f>
        <v>3.5413789950166032E-5</v>
      </c>
      <c r="L68">
        <f>'Transpo perseq'!X68*Pondération!$D$7</f>
        <v>1.5278648361694118E-5</v>
      </c>
      <c r="M68">
        <f>'Transpo perseq'!Y68*Pondération!$D$13</f>
        <v>7.7109898841229267E-4</v>
      </c>
      <c r="N68">
        <f>'Transpo perseq'!Z68*Pondération!$D$3</f>
        <v>1.0274120892951832E-6</v>
      </c>
      <c r="O68">
        <f>'Transpo perseq'!AA68*Pondération!$D$6</f>
        <v>1.7532345683720948E-3</v>
      </c>
      <c r="P68">
        <f>'Transpo perseq'!AB68*Pondération!$D$8</f>
        <v>8.0672481134472273E-5</v>
      </c>
      <c r="Q68">
        <f>'Transpo perseq'!AC68*Pondération!$D$10</f>
        <v>1.4229553290498058E-4</v>
      </c>
      <c r="R68">
        <f>'Transpo perseq'!AD68*Pondération!$D$9</f>
        <v>2.9514258836692869E-5</v>
      </c>
      <c r="S68">
        <f>'Transpo perseq'!AE68*Pondération!$D$11</f>
        <v>6.456458150826158E-3</v>
      </c>
      <c r="U68">
        <f t="shared" ref="U68:U131" si="1">SUM(D68:S68)</f>
        <v>1.5462948390887847E-2</v>
      </c>
    </row>
    <row r="69" spans="1:21" x14ac:dyDescent="0.3">
      <c r="A69" t="s">
        <v>1</v>
      </c>
      <c r="B69" t="s">
        <v>24</v>
      </c>
      <c r="C69" t="s">
        <v>57</v>
      </c>
      <c r="D69">
        <f>'Transpo perseq'!D69*Pondération!$D$17</f>
        <v>7.9855999999999986E-6</v>
      </c>
      <c r="E69">
        <f>'Transpo perseq'!E69*Pondération!$D$2</f>
        <v>3.1135103999999997E-5</v>
      </c>
      <c r="F69">
        <f>'Transpo perseq'!I69*Pondération!$D$12</f>
        <v>5.3145599999999996E-6</v>
      </c>
      <c r="G69">
        <f>'Transpo perseq'!M69*Pondération!$D$15</f>
        <v>6.1823999999999998E-8</v>
      </c>
      <c r="H69">
        <f>'Transpo perseq'!N69*Pondération!$D$14</f>
        <v>5.3043199999999999E-6</v>
      </c>
      <c r="I69">
        <f>'Transpo perseq'!O69*Pondération!$D$16</f>
        <v>8.1323199999999998E-6</v>
      </c>
      <c r="J69">
        <f>'Transpo perseq'!P69*Pondération!$D$4</f>
        <v>3.012672E-7</v>
      </c>
      <c r="K69">
        <f>'Transpo perseq'!T69*Pondération!$D$5</f>
        <v>1.0619687298773204E-6</v>
      </c>
      <c r="L69">
        <f>'Transpo perseq'!X69*Pondération!$D$7</f>
        <v>5.0297175074471782E-8</v>
      </c>
      <c r="M69">
        <f>'Transpo perseq'!Y69*Pondération!$D$13</f>
        <v>5.2992628791598869E-7</v>
      </c>
      <c r="N69">
        <f>'Transpo perseq'!Z69*Pondération!$D$3</f>
        <v>2.7742407977227714E-16</v>
      </c>
      <c r="O69">
        <f>'Transpo perseq'!AA69*Pondération!$D$6</f>
        <v>3.9967236622315804E-6</v>
      </c>
      <c r="P69">
        <f>'Transpo perseq'!AB69*Pondération!$D$8</f>
        <v>7.9415882290271219E-6</v>
      </c>
      <c r="Q69">
        <f>'Transpo perseq'!AC69*Pondération!$D$10</f>
        <v>2.0367327490177873E-5</v>
      </c>
      <c r="R69">
        <f>'Transpo perseq'!AD69*Pondération!$D$9</f>
        <v>1.261630701207653E-7</v>
      </c>
      <c r="S69">
        <f>'Transpo perseq'!AE69*Pondération!$D$11</f>
        <v>8.2263788558576565E-8</v>
      </c>
      <c r="U69">
        <f t="shared" si="1"/>
        <v>9.2391253633261112E-5</v>
      </c>
    </row>
    <row r="70" spans="1:21" x14ac:dyDescent="0.3">
      <c r="A70" t="s">
        <v>1</v>
      </c>
      <c r="B70" t="s">
        <v>24</v>
      </c>
      <c r="C70" t="s">
        <v>82</v>
      </c>
      <c r="D70">
        <f>'Transpo perseq'!D70*Pondération!$D$17</f>
        <v>1.6070399999999999E-6</v>
      </c>
      <c r="E70">
        <f>'Transpo perseq'!E70*Pondération!$D$2</f>
        <v>1.9004544000000001E-5</v>
      </c>
      <c r="F70">
        <f>'Transpo perseq'!I70*Pondération!$D$12</f>
        <v>4.2393599999999993E-6</v>
      </c>
      <c r="G70">
        <f>'Transpo perseq'!M70*Pondération!$D$15</f>
        <v>3.5078400000000007E-8</v>
      </c>
      <c r="H70">
        <f>'Transpo perseq'!N70*Pondération!$D$14</f>
        <v>7.1987200000000006E-7</v>
      </c>
      <c r="I70">
        <f>'Transpo perseq'!O70*Pondération!$D$16</f>
        <v>1.0150560000000001E-6</v>
      </c>
      <c r="J70">
        <f>'Transpo perseq'!P70*Pondération!$D$4</f>
        <v>2.4810239999999998E-7</v>
      </c>
      <c r="K70">
        <f>'Transpo perseq'!T70*Pondération!$D$5</f>
        <v>8.3231224708096578E-7</v>
      </c>
      <c r="L70">
        <f>'Transpo perseq'!X70*Pondération!$D$7</f>
        <v>3.9697876780615469E-7</v>
      </c>
      <c r="M70">
        <f>'Transpo perseq'!Y70*Pondération!$D$13</f>
        <v>5.0094749691232601E-8</v>
      </c>
      <c r="N70">
        <f>'Transpo perseq'!Z70*Pondération!$D$3</f>
        <v>1.257185239396941E-9</v>
      </c>
      <c r="O70">
        <f>'Transpo perseq'!AA70*Pondération!$D$6</f>
        <v>1.8277711477111582E-6</v>
      </c>
      <c r="P70">
        <f>'Transpo perseq'!AB70*Pondération!$D$8</f>
        <v>1.8681635631159959E-6</v>
      </c>
      <c r="Q70">
        <f>'Transpo perseq'!AC70*Pondération!$D$10</f>
        <v>1.7984728302027999E-5</v>
      </c>
      <c r="R70">
        <f>'Transpo perseq'!AD70*Pondération!$D$9</f>
        <v>1.5347749944655662E-6</v>
      </c>
      <c r="S70">
        <f>'Transpo perseq'!AE70*Pondération!$D$11</f>
        <v>9.4211001540413261E-7</v>
      </c>
      <c r="U70">
        <f t="shared" si="1"/>
        <v>5.230724377254259E-5</v>
      </c>
    </row>
    <row r="71" spans="1:21" x14ac:dyDescent="0.3">
      <c r="A71" t="s">
        <v>1</v>
      </c>
      <c r="B71" t="s">
        <v>24</v>
      </c>
      <c r="C71" t="s">
        <v>81</v>
      </c>
      <c r="D71">
        <f>'Transpo perseq'!D71*Pondération!$D$17</f>
        <v>6.9010940561059057E-7</v>
      </c>
      <c r="E71">
        <f>'Transpo perseq'!E71*Pondération!$D$2</f>
        <v>8.1376106205911526E-6</v>
      </c>
      <c r="F71">
        <f>'Transpo perseq'!I71*Pondération!$D$12</f>
        <v>1.8167757386351214E-6</v>
      </c>
      <c r="G71">
        <f>'Transpo perseq'!M71*Pondération!$D$15</f>
        <v>1.5040468683495093E-8</v>
      </c>
      <c r="H71">
        <f>'Transpo perseq'!N71*Pondération!$D$14</f>
        <v>3.0920610314254289E-7</v>
      </c>
      <c r="I71">
        <f>'Transpo perseq'!O71*Pondération!$D$16</f>
        <v>4.352267783788569E-7</v>
      </c>
      <c r="J71">
        <f>'Transpo perseq'!P71*Pondération!$D$4</f>
        <v>1.0638525533875329E-7</v>
      </c>
      <c r="K71">
        <f>'Transpo perseq'!T71*Pondération!$D$5</f>
        <v>3.5670524874898496E-7</v>
      </c>
      <c r="L71">
        <f>'Transpo perseq'!X71*Pondération!$D$7</f>
        <v>1.7013375763120924E-7</v>
      </c>
      <c r="M71">
        <f>'Transpo perseq'!Y71*Pondération!$D$13</f>
        <v>2.1469178439099649E-8</v>
      </c>
      <c r="N71">
        <f>'Transpo perseq'!Z71*Pondération!$D$3</f>
        <v>5.3879367402726092E-10</v>
      </c>
      <c r="O71">
        <f>'Transpo perseq'!AA71*Pondération!$D$6</f>
        <v>7.833304918762101E-7</v>
      </c>
      <c r="P71">
        <f>'Transpo perseq'!AB71*Pondération!$D$8</f>
        <v>8.0064152704971129E-7</v>
      </c>
      <c r="Q71">
        <f>'Transpo perseq'!AC71*Pondération!$D$10</f>
        <v>7.7077407008691284E-6</v>
      </c>
      <c r="R71">
        <f>'Transpo perseq'!AD71*Pondération!$D$9</f>
        <v>6.577607119138168E-7</v>
      </c>
      <c r="S71">
        <f>'Transpo perseq'!AE71*Pondération!$D$11</f>
        <v>4.0376143517320244E-7</v>
      </c>
      <c r="U71">
        <f t="shared" si="1"/>
        <v>2.2412436215755905E-5</v>
      </c>
    </row>
    <row r="72" spans="1:21" x14ac:dyDescent="0.3">
      <c r="A72" t="s">
        <v>1</v>
      </c>
      <c r="B72" t="s">
        <v>25</v>
      </c>
      <c r="C72" t="s">
        <v>79</v>
      </c>
      <c r="D72">
        <f>'Transpo perseq'!D72*Pondération!$D$17</f>
        <v>1.42848E-4</v>
      </c>
      <c r="E72">
        <f>'Transpo perseq'!E72*Pondération!$D$2</f>
        <v>1.330992E-3</v>
      </c>
      <c r="F72">
        <f>'Transpo perseq'!I72*Pondération!$D$12</f>
        <v>5.4067199999999996E-4</v>
      </c>
      <c r="G72">
        <f>'Transpo perseq'!M72*Pondération!$D$15</f>
        <v>5.9584000000000004E-6</v>
      </c>
      <c r="H72">
        <f>'Transpo perseq'!N72*Pondération!$D$14</f>
        <v>5.1148800000000001E-5</v>
      </c>
      <c r="I72">
        <f>'Transpo perseq'!O72*Pondération!$D$16</f>
        <v>7.1825599999999999E-5</v>
      </c>
      <c r="J72">
        <f>'Transpo perseq'!P72*Pondération!$D$4</f>
        <v>2.5014719999999998E-5</v>
      </c>
      <c r="K72">
        <f>'Transpo perseq'!T72*Pondération!$D$5</f>
        <v>1.086336E-4</v>
      </c>
      <c r="L72">
        <f>'Transpo perseq'!X72*Pondération!$D$7</f>
        <v>2.6212320000000001E-5</v>
      </c>
      <c r="M72">
        <f>'Transpo perseq'!Y72*Pondération!$D$13</f>
        <v>4.3193600000000003E-6</v>
      </c>
      <c r="N72">
        <f>'Transpo perseq'!Z72*Pondération!$D$3</f>
        <v>3.1285910504316484E-7</v>
      </c>
      <c r="O72">
        <f>'Transpo perseq'!AA72*Pondération!$D$6</f>
        <v>2.5518579354101513E-4</v>
      </c>
      <c r="P72">
        <f>'Transpo perseq'!AB72*Pondération!$D$8</f>
        <v>1.2652146792276747E-4</v>
      </c>
      <c r="Q72">
        <f>'Transpo perseq'!AC72*Pondération!$D$10</f>
        <v>1.470869384625292E-3</v>
      </c>
      <c r="R72">
        <f>'Transpo perseq'!AD72*Pondération!$D$9</f>
        <v>3.7050597769225504E-4</v>
      </c>
      <c r="S72">
        <f>'Transpo perseq'!AE72*Pondération!$D$11</f>
        <v>1.1304878932028071E-4</v>
      </c>
      <c r="U72">
        <f t="shared" si="1"/>
        <v>4.6440690722066537E-3</v>
      </c>
    </row>
    <row r="73" spans="1:21" x14ac:dyDescent="0.3">
      <c r="A73" t="s">
        <v>1</v>
      </c>
      <c r="B73" t="s">
        <v>25</v>
      </c>
      <c r="C73" t="s">
        <v>56</v>
      </c>
      <c r="D73">
        <f>'Transpo perseq'!D73*Pondération!$D$17</f>
        <v>5.2774400000000001E-5</v>
      </c>
      <c r="E73">
        <f>'Transpo perseq'!E73*Pondération!$D$2</f>
        <v>2.1127392000000003E-4</v>
      </c>
      <c r="F73">
        <f>'Transpo perseq'!I73*Pondération!$D$12</f>
        <v>3.8707199999999994E-5</v>
      </c>
      <c r="G73">
        <f>'Transpo perseq'!M73*Pondération!$D$15</f>
        <v>6.6303999999999994E-5</v>
      </c>
      <c r="H73">
        <f>'Transpo perseq'!N73*Pondération!$D$14</f>
        <v>1.6339200000000001E-5</v>
      </c>
      <c r="I73">
        <f>'Transpo perseq'!O73*Pondération!$D$16</f>
        <v>2.1132159999999998E-5</v>
      </c>
      <c r="J73">
        <f>'Transpo perseq'!P73*Pondération!$D$4</f>
        <v>3.88512E-6</v>
      </c>
      <c r="K73">
        <f>'Transpo perseq'!T73*Pondération!$D$5</f>
        <v>7.4188799999999997E-6</v>
      </c>
      <c r="L73">
        <f>'Transpo perseq'!X73*Pondération!$D$7</f>
        <v>2.1162240000000002E-5</v>
      </c>
      <c r="M73">
        <f>'Transpo perseq'!Y73*Pondération!$D$13</f>
        <v>1.4101439999999999E-4</v>
      </c>
      <c r="N73">
        <f>'Transpo perseq'!Z73*Pondération!$D$3</f>
        <v>8.9337031392782791E-7</v>
      </c>
      <c r="O73">
        <f>'Transpo perseq'!AA73*Pondération!$D$6</f>
        <v>1.3403669923208269E-4</v>
      </c>
      <c r="P73">
        <f>'Transpo perseq'!AB73*Pondération!$D$8</f>
        <v>3.4232532507581406E-5</v>
      </c>
      <c r="Q73">
        <f>'Transpo perseq'!AC73*Pondération!$D$10</f>
        <v>1.3149537907637888E-4</v>
      </c>
      <c r="R73">
        <f>'Transpo perseq'!AD73*Pondération!$D$9</f>
        <v>1.1461243536329216E-5</v>
      </c>
      <c r="S73">
        <f>'Transpo perseq'!AE73*Pondération!$D$11</f>
        <v>1.0447049612964176E-2</v>
      </c>
      <c r="U73">
        <f t="shared" si="1"/>
        <v>1.1339180357630476E-2</v>
      </c>
    </row>
    <row r="74" spans="1:21" x14ac:dyDescent="0.3">
      <c r="A74" t="s">
        <v>1</v>
      </c>
      <c r="B74" t="s">
        <v>25</v>
      </c>
      <c r="C74" t="s">
        <v>80</v>
      </c>
      <c r="D74">
        <f>'Transpo perseq'!D74*Pondération!$D$17</f>
        <v>4.07712E-3</v>
      </c>
      <c r="E74">
        <f>'Transpo perseq'!E74*Pondération!$D$2</f>
        <v>3.841344E-3</v>
      </c>
      <c r="F74">
        <f>'Transpo perseq'!I74*Pondération!$D$12</f>
        <v>4.0857599999999996E-4</v>
      </c>
      <c r="G74">
        <f>'Transpo perseq'!M74*Pondération!$D$15</f>
        <v>6.3615999999999998E-4</v>
      </c>
      <c r="H74">
        <f>'Transpo perseq'!N74*Pondération!$D$14</f>
        <v>1.1034880000000001E-3</v>
      </c>
      <c r="I74">
        <f>'Transpo perseq'!O74*Pondération!$D$16</f>
        <v>3.3953920000000001E-3</v>
      </c>
      <c r="J74">
        <f>'Transpo perseq'!P74*Pondération!$D$4</f>
        <v>2.167488E-5</v>
      </c>
      <c r="K74">
        <f>'Transpo perseq'!T74*Pondération!$D$5</f>
        <v>7.7427200000000003E-5</v>
      </c>
      <c r="L74">
        <f>'Transpo perseq'!X74*Pondération!$D$7</f>
        <v>3.3346560000000001E-5</v>
      </c>
      <c r="M74">
        <f>'Transpo perseq'!Y74*Pondération!$D$13</f>
        <v>1.6769280000000001E-3</v>
      </c>
      <c r="N74">
        <f>'Transpo perseq'!Z74*Pondération!$D$3</f>
        <v>2.2421424048154435E-6</v>
      </c>
      <c r="O74">
        <f>'Transpo perseq'!AA74*Pondération!$D$6</f>
        <v>3.8261196381601174E-3</v>
      </c>
      <c r="P74">
        <f>'Transpo perseq'!AB74*Pondération!$D$8</f>
        <v>1.7605320468572742E-4</v>
      </c>
      <c r="Q74">
        <f>'Transpo perseq'!AC74*Pondération!$D$10</f>
        <v>3.1053445026225088E-4</v>
      </c>
      <c r="R74">
        <f>'Transpo perseq'!AD74*Pondération!$D$9</f>
        <v>6.4409570389467699E-5</v>
      </c>
      <c r="S74">
        <f>'Transpo perseq'!AE74*Pondération!$D$11</f>
        <v>1.4090060605394101E-2</v>
      </c>
      <c r="U74">
        <f t="shared" si="1"/>
        <v>3.374087625129648E-2</v>
      </c>
    </row>
    <row r="75" spans="1:21" x14ac:dyDescent="0.3">
      <c r="A75" t="s">
        <v>1</v>
      </c>
      <c r="B75" t="s">
        <v>25</v>
      </c>
      <c r="C75" t="s">
        <v>57</v>
      </c>
      <c r="D75">
        <f>'Transpo perseq'!D75*Pondération!$D$17</f>
        <v>3.3628799999999999E-5</v>
      </c>
      <c r="E75">
        <f>'Transpo perseq'!E75*Pondération!$D$2</f>
        <v>1.3107743999999998E-4</v>
      </c>
      <c r="F75">
        <f>'Transpo perseq'!I75*Pondération!$D$12</f>
        <v>2.2364159999999996E-5</v>
      </c>
      <c r="G75">
        <f>'Transpo perseq'!M75*Pondération!$D$15</f>
        <v>2.6028800000000001E-7</v>
      </c>
      <c r="H75">
        <f>'Transpo perseq'!N75*Pondération!$D$14</f>
        <v>2.2306560000000001E-5</v>
      </c>
      <c r="I75">
        <f>'Transpo perseq'!O75*Pondération!$D$16</f>
        <v>3.4191359999999996E-5</v>
      </c>
      <c r="J75">
        <f>'Transpo perseq'!P75*Pondération!$D$4</f>
        <v>1.2677759999999999E-6</v>
      </c>
      <c r="K75">
        <f>'Transpo perseq'!T75*Pondération!$D$5</f>
        <v>4.4748799999999996E-6</v>
      </c>
      <c r="L75">
        <f>'Transpo perseq'!X75*Pondération!$D$7</f>
        <v>2.1162239999999998E-7</v>
      </c>
      <c r="M75">
        <f>'Transpo perseq'!Y75*Pondération!$D$13</f>
        <v>2.2359040000000002E-6</v>
      </c>
      <c r="N75">
        <f>'Transpo perseq'!Z75*Pondération!$D$3</f>
        <v>1.1684267649461903E-15</v>
      </c>
      <c r="O75">
        <f>'Transpo perseq'!AA75*Pondération!$D$6</f>
        <v>1.6832997708340245E-5</v>
      </c>
      <c r="P75">
        <f>'Transpo perseq'!AB75*Pondération!$D$8</f>
        <v>3.3447580507768734E-5</v>
      </c>
      <c r="Q75">
        <f>'Transpo perseq'!AC75*Pondération!$D$10</f>
        <v>8.5781056170331391E-5</v>
      </c>
      <c r="R75">
        <f>'Transpo perseq'!AD75*Pondération!$D$9</f>
        <v>5.3136089699888005E-7</v>
      </c>
      <c r="S75">
        <f>'Transpo perseq'!AE75*Pondération!$D$11</f>
        <v>3.4647032952805975E-7</v>
      </c>
      <c r="U75">
        <f t="shared" si="1"/>
        <v>3.8895825601413568E-4</v>
      </c>
    </row>
    <row r="76" spans="1:21" x14ac:dyDescent="0.3">
      <c r="A76" t="s">
        <v>1</v>
      </c>
      <c r="B76" t="s">
        <v>25</v>
      </c>
      <c r="C76" t="s">
        <v>81</v>
      </c>
      <c r="D76">
        <f>'Transpo perseq'!D76*Pondération!$D$17</f>
        <v>5.7536000000000003E-6</v>
      </c>
      <c r="E76">
        <f>'Transpo perseq'!E76*Pondération!$D$2</f>
        <v>6.7728959999999999E-5</v>
      </c>
      <c r="F76">
        <f>'Transpo perseq'!I76*Pondération!$D$12</f>
        <v>1.5144959999999999E-5</v>
      </c>
      <c r="G76">
        <f>'Transpo perseq'!M76*Pondération!$D$15</f>
        <v>1.2544000000000002E-7</v>
      </c>
      <c r="H76">
        <f>'Transpo perseq'!N76*Pondération!$D$14</f>
        <v>2.576384E-6</v>
      </c>
      <c r="I76">
        <f>'Transpo perseq'!O76*Pondération!$D$16</f>
        <v>3.6268960000000003E-6</v>
      </c>
      <c r="J76">
        <f>'Transpo perseq'!P76*Pondération!$D$4</f>
        <v>8.8608000000000006E-7</v>
      </c>
      <c r="K76">
        <f>'Transpo perseq'!T76*Pondération!$D$5</f>
        <v>2.97344E-6</v>
      </c>
      <c r="L76">
        <f>'Transpo perseq'!X76*Pondération!$D$7</f>
        <v>1.4188319999999999E-6</v>
      </c>
      <c r="M76">
        <f>'Transpo perseq'!Y76*Pondération!$D$13</f>
        <v>1.7912640000000001E-7</v>
      </c>
      <c r="N76">
        <f>'Transpo perseq'!Z76*Pondération!$D$3</f>
        <v>4.4899472835605022E-9</v>
      </c>
      <c r="O76">
        <f>'Transpo perseq'!AA76*Pondération!$D$6</f>
        <v>6.5277540989684099E-6</v>
      </c>
      <c r="P76">
        <f>'Transpo perseq'!AB76*Pondération!$D$8</f>
        <v>6.6720127254142789E-6</v>
      </c>
      <c r="Q76">
        <f>'Transpo perseq'!AC76*Pondération!$D$10</f>
        <v>6.4231172507242691E-5</v>
      </c>
      <c r="R76">
        <f>'Transpo perseq'!AD76*Pondération!$D$9</f>
        <v>5.4813392659484702E-6</v>
      </c>
      <c r="S76">
        <f>'Transpo perseq'!AE76*Pondération!$D$11</f>
        <v>3.3646786264434395E-6</v>
      </c>
      <c r="U76">
        <f t="shared" si="1"/>
        <v>1.8669516557130085E-4</v>
      </c>
    </row>
    <row r="77" spans="1:21" x14ac:dyDescent="0.3">
      <c r="A77" t="s">
        <v>1</v>
      </c>
      <c r="B77" t="s">
        <v>26</v>
      </c>
      <c r="C77" t="s">
        <v>79</v>
      </c>
      <c r="D77">
        <f>'Transpo perseq'!D77*Pondération!$D$17</f>
        <v>1.3987200000000001E-4</v>
      </c>
      <c r="E77">
        <f>'Transpo perseq'!E77*Pondération!$D$2</f>
        <v>1.3040351999999999E-3</v>
      </c>
      <c r="F77">
        <f>'Transpo perseq'!I77*Pondération!$D$12</f>
        <v>5.3145599999999992E-4</v>
      </c>
      <c r="G77">
        <f>'Transpo perseq'!M77*Pondération!$D$15</f>
        <v>5.8239999999999996E-6</v>
      </c>
      <c r="H77">
        <f>'Transpo perseq'!N77*Pondération!$D$14</f>
        <v>5.0201600000000004E-5</v>
      </c>
      <c r="I77">
        <f>'Transpo perseq'!O77*Pondération!$D$16</f>
        <v>7.0638400000000011E-5</v>
      </c>
      <c r="J77">
        <f>'Transpo perseq'!P77*Pondération!$D$4</f>
        <v>2.4503519999999998E-5</v>
      </c>
      <c r="K77">
        <f>'Transpo perseq'!T77*Pondération!$D$5</f>
        <v>1.0665366675171926E-4</v>
      </c>
      <c r="L77">
        <f>'Transpo perseq'!X77*Pondération!$D$7</f>
        <v>2.5707915089248151E-5</v>
      </c>
      <c r="M77">
        <f>'Transpo perseq'!Y77*Pondération!$D$13</f>
        <v>4.2304715550792474E-6</v>
      </c>
      <c r="N77">
        <f>'Transpo perseq'!Z77*Pondération!$D$3</f>
        <v>3.0675278496769597E-7</v>
      </c>
      <c r="O77">
        <f>'Transpo perseq'!AA77*Pondération!$D$6</f>
        <v>2.5020512937316413E-4</v>
      </c>
      <c r="P77">
        <f>'Transpo perseq'!AB77*Pondération!$D$8</f>
        <v>1.2405204776813288E-4</v>
      </c>
      <c r="Q77">
        <f>'Transpo perseq'!AC77*Pondération!$D$10</f>
        <v>1.4421612565671568E-3</v>
      </c>
      <c r="R77">
        <f>'Transpo perseq'!AD77*Pondération!$D$9</f>
        <v>3.6327451773729766E-4</v>
      </c>
      <c r="S77">
        <f>'Transpo perseq'!AE77*Pondération!$D$11</f>
        <v>1.1084232615329584E-4</v>
      </c>
      <c r="U77">
        <f t="shared" si="1"/>
        <v>4.5539648037800622E-3</v>
      </c>
    </row>
    <row r="78" spans="1:21" x14ac:dyDescent="0.3">
      <c r="A78" t="s">
        <v>1</v>
      </c>
      <c r="B78" t="s">
        <v>26</v>
      </c>
      <c r="C78" t="s">
        <v>56</v>
      </c>
      <c r="D78">
        <f>'Transpo perseq'!D78*Pondération!$D$17</f>
        <v>5.8230399999999997E-5</v>
      </c>
      <c r="E78">
        <f>'Transpo perseq'!E78*Pondération!$D$2</f>
        <v>2.3317632000000003E-4</v>
      </c>
      <c r="F78">
        <f>'Transpo perseq'!I78*Pondération!$D$12</f>
        <v>4.2700799999999996E-5</v>
      </c>
      <c r="G78">
        <f>'Transpo perseq'!M78*Pondération!$D$15</f>
        <v>7.3472000000000004E-5</v>
      </c>
      <c r="H78">
        <f>'Transpo perseq'!N78*Pondération!$D$14</f>
        <v>1.79968E-5</v>
      </c>
      <c r="I78">
        <f>'Transpo perseq'!O78*Pondération!$D$16</f>
        <v>2.3328480000000001E-5</v>
      </c>
      <c r="J78">
        <f>'Transpo perseq'!P78*Pondération!$D$4</f>
        <v>4.2940799999999996E-6</v>
      </c>
      <c r="K78">
        <f>'Transpo perseq'!T78*Pondération!$D$5</f>
        <v>8.1807481780035172E-6</v>
      </c>
      <c r="L78">
        <f>'Transpo perseq'!X78*Pondération!$D$7</f>
        <v>2.3338103283838946E-5</v>
      </c>
      <c r="M78">
        <f>'Transpo perseq'!Y78*Pondération!$D$13</f>
        <v>1.5553016706460236E-4</v>
      </c>
      <c r="N78">
        <f>'Transpo perseq'!Z78*Pondération!$D$3</f>
        <v>9.857879326100164E-7</v>
      </c>
      <c r="O78">
        <f>'Transpo perseq'!AA78*Pondération!$D$6</f>
        <v>1.4790256466988441E-4</v>
      </c>
      <c r="P78">
        <f>'Transpo perseq'!AB78*Pondération!$D$8</f>
        <v>3.7773828973882979E-5</v>
      </c>
      <c r="Q78">
        <f>'Transpo perseq'!AC78*Pondération!$D$10</f>
        <v>1.4509834932566006E-4</v>
      </c>
      <c r="R78">
        <f>'Transpo perseq'!AD78*Pondération!$D$9</f>
        <v>1.2646889419397748E-5</v>
      </c>
      <c r="S78">
        <f>'Transpo perseq'!AE78*Pondération!$D$11</f>
        <v>1.152777888327082E-2</v>
      </c>
      <c r="U78">
        <f t="shared" si="1"/>
        <v>1.25124342021187E-2</v>
      </c>
    </row>
    <row r="79" spans="1:21" x14ac:dyDescent="0.3">
      <c r="A79" t="s">
        <v>1</v>
      </c>
      <c r="B79" t="s">
        <v>26</v>
      </c>
      <c r="C79" t="s">
        <v>80</v>
      </c>
      <c r="D79">
        <f>'Transpo perseq'!D79*Pondération!$D$17</f>
        <v>7.5788799999999996E-3</v>
      </c>
      <c r="E79">
        <f>'Transpo perseq'!E79*Pondération!$D$2</f>
        <v>7.1435520000000001E-3</v>
      </c>
      <c r="F79">
        <f>'Transpo perseq'!I79*Pondération!$D$12</f>
        <v>7.6185599999999988E-4</v>
      </c>
      <c r="G79">
        <f>'Transpo perseq'!M79*Pondération!$D$15</f>
        <v>1.18272E-3</v>
      </c>
      <c r="H79">
        <f>'Transpo perseq'!N79*Pondération!$D$14</f>
        <v>2.0506879999999997E-3</v>
      </c>
      <c r="I79">
        <f>'Transpo perseq'!O79*Pondération!$D$16</f>
        <v>6.2921600000000006E-3</v>
      </c>
      <c r="J79">
        <f>'Transpo perseq'!P79*Pondération!$D$4</f>
        <v>4.0214399999999999E-5</v>
      </c>
      <c r="K79">
        <f>'Transpo perseq'!T79*Pondération!$D$5</f>
        <v>1.4380737907940315E-4</v>
      </c>
      <c r="L79">
        <f>'Transpo perseq'!X79*Pondération!$D$7</f>
        <v>6.2043130087542344E-5</v>
      </c>
      <c r="M79">
        <f>'Transpo perseq'!Y79*Pondération!$D$13</f>
        <v>3.1312583231106967E-3</v>
      </c>
      <c r="N79">
        <f>'Transpo perseq'!Z79*Pondération!$D$3</f>
        <v>4.1720877659224119E-6</v>
      </c>
      <c r="O79">
        <f>'Transpo perseq'!AA79*Pondération!$D$6</f>
        <v>7.1194884406270463E-3</v>
      </c>
      <c r="P79">
        <f>'Transpo perseq'!AB79*Pondération!$D$8</f>
        <v>3.2759267201015052E-4</v>
      </c>
      <c r="Q79">
        <f>'Transpo perseq'!AC79*Pondération!$D$10</f>
        <v>5.7782992643735356E-4</v>
      </c>
      <c r="R79">
        <f>'Transpo perseq'!AD79*Pondération!$D$9</f>
        <v>1.1985071958546531E-4</v>
      </c>
      <c r="S79">
        <f>'Transpo perseq'!AE79*Pondération!$D$11</f>
        <v>2.621821403788523E-2</v>
      </c>
      <c r="U79">
        <f t="shared" si="1"/>
        <v>6.2754327116588807E-2</v>
      </c>
    </row>
    <row r="80" spans="1:21" x14ac:dyDescent="0.3">
      <c r="A80" t="s">
        <v>1</v>
      </c>
      <c r="B80" t="s">
        <v>26</v>
      </c>
      <c r="C80" t="s">
        <v>57</v>
      </c>
      <c r="D80">
        <f>'Transpo perseq'!D80*Pondération!$D$17</f>
        <v>4.0076800000000002E-5</v>
      </c>
      <c r="E80">
        <f>'Transpo perseq'!E80*Pondération!$D$2</f>
        <v>1.5634944000000002E-4</v>
      </c>
      <c r="F80">
        <f>'Transpo perseq'!I80*Pondération!$D$12</f>
        <v>2.6664959999999997E-5</v>
      </c>
      <c r="G80">
        <f>'Transpo perseq'!M80*Pondération!$D$15</f>
        <v>3.1046399999999999E-7</v>
      </c>
      <c r="H80">
        <f>'Transpo perseq'!N80*Pondération!$D$14</f>
        <v>2.6568960000000003E-5</v>
      </c>
      <c r="I80">
        <f>'Transpo perseq'!O80*Pondération!$D$16</f>
        <v>4.0720960000000003E-5</v>
      </c>
      <c r="J80">
        <f>'Transpo perseq'!P80*Pondération!$D$4</f>
        <v>1.5097439999999999E-6</v>
      </c>
      <c r="K80">
        <f>'Transpo perseq'!T80*Pondération!$D$5</f>
        <v>5.3290714954707199E-6</v>
      </c>
      <c r="L80">
        <f>'Transpo perseq'!X80*Pondération!$D$7</f>
        <v>2.5239654845866557E-7</v>
      </c>
      <c r="M80">
        <f>'Transpo perseq'!Y80*Pondération!$D$13</f>
        <v>2.6592262052385609E-6</v>
      </c>
      <c r="N80">
        <f>'Transpo perseq'!Z80*Pondération!$D$3</f>
        <v>1.3921433975202198E-15</v>
      </c>
      <c r="O80">
        <f>'Transpo perseq'!AA80*Pondération!$D$6</f>
        <v>2.0055982388607833E-5</v>
      </c>
      <c r="P80">
        <f>'Transpo perseq'!AB80*Pondération!$D$8</f>
        <v>3.9851730347053812E-5</v>
      </c>
      <c r="Q80">
        <f>'Transpo perseq'!AC80*Pondération!$D$10</f>
        <v>1.0220540521881738E-4</v>
      </c>
      <c r="R80">
        <f>'Transpo perseq'!AD80*Pondération!$D$9</f>
        <v>6.3309964017426018E-7</v>
      </c>
      <c r="S80">
        <f>'Transpo perseq'!AE80*Pondération!$D$11</f>
        <v>4.1280839857456194E-7</v>
      </c>
      <c r="U80">
        <f t="shared" si="1"/>
        <v>4.636010482437881E-4</v>
      </c>
    </row>
    <row r="81" spans="1:21" x14ac:dyDescent="0.3">
      <c r="A81" t="s">
        <v>1</v>
      </c>
      <c r="B81" t="s">
        <v>26</v>
      </c>
      <c r="C81" t="s">
        <v>82</v>
      </c>
      <c r="D81">
        <f>'Transpo perseq'!D81*Pondération!$D$17</f>
        <v>1.15072E-6</v>
      </c>
      <c r="E81">
        <f>'Transpo perseq'!E81*Pondération!$D$2</f>
        <v>1.3579488000000002E-5</v>
      </c>
      <c r="F81">
        <f>'Transpo perseq'!I81*Pondération!$D$12</f>
        <v>3.0289919999999999E-6</v>
      </c>
      <c r="G81">
        <f>'Transpo perseq'!M81*Pondération!$D$15</f>
        <v>2.5087999999999999E-8</v>
      </c>
      <c r="H81">
        <f>'Transpo perseq'!N81*Pondération!$D$14</f>
        <v>5.1622399999999995E-7</v>
      </c>
      <c r="I81">
        <f>'Transpo perseq'!O81*Pondération!$D$16</f>
        <v>7.2419199999999998E-7</v>
      </c>
      <c r="J81">
        <f>'Transpo perseq'!P81*Pondération!$D$4</f>
        <v>1.7721599999999999E-7</v>
      </c>
      <c r="K81">
        <f>'Transpo perseq'!T81*Pondération!$D$5</f>
        <v>5.945087479149769E-7</v>
      </c>
      <c r="L81">
        <f>'Transpo perseq'!X81*Pondération!$D$7</f>
        <v>2.8355626271868154E-7</v>
      </c>
      <c r="M81">
        <f>'Transpo perseq'!Y81*Pondération!$D$13</f>
        <v>3.578196406516612E-8</v>
      </c>
      <c r="N81">
        <f>'Transpo perseq'!Z81*Pondération!$D$3</f>
        <v>8.9798945671210037E-10</v>
      </c>
      <c r="O81">
        <f>'Transpo perseq'!AA81*Pondération!$D$6</f>
        <v>1.3055508197936835E-6</v>
      </c>
      <c r="P81">
        <f>'Transpo perseq'!AB81*Pondération!$D$8</f>
        <v>1.3344025450828575E-6</v>
      </c>
      <c r="Q81">
        <f>'Transpo perseq'!AC81*Pondération!$D$10</f>
        <v>1.2846234501448537E-5</v>
      </c>
      <c r="R81">
        <f>'Transpo perseq'!AD81*Pondération!$D$9</f>
        <v>1.096267853189694E-6</v>
      </c>
      <c r="S81">
        <f>'Transpo perseq'!AE81*Pondération!$D$11</f>
        <v>6.7293572528866347E-7</v>
      </c>
      <c r="U81">
        <f t="shared" si="1"/>
        <v>3.7372056408958973E-5</v>
      </c>
    </row>
    <row r="82" spans="1:21" x14ac:dyDescent="0.3">
      <c r="A82" t="s">
        <v>1</v>
      </c>
      <c r="B82" t="s">
        <v>26</v>
      </c>
      <c r="C82" t="s">
        <v>81</v>
      </c>
      <c r="D82">
        <f>'Transpo perseq'!D82*Pondération!$D$17</f>
        <v>1.84512E-6</v>
      </c>
      <c r="E82">
        <f>'Transpo perseq'!E82*Pondération!$D$2</f>
        <v>2.1700224000000002E-5</v>
      </c>
      <c r="F82">
        <f>'Transpo perseq'!I82*Pondération!$D$12</f>
        <v>4.8537599999999998E-6</v>
      </c>
      <c r="G82">
        <f>'Transpo perseq'!M82*Pondération!$D$15</f>
        <v>4.0096000000000004E-8</v>
      </c>
      <c r="H82">
        <f>'Transpo perseq'!N82*Pondération!$D$14</f>
        <v>8.2406400000000004E-7</v>
      </c>
      <c r="I82">
        <f>'Transpo perseq'!O82*Pondération!$D$16</f>
        <v>1.163456E-6</v>
      </c>
      <c r="J82">
        <f>'Transpo perseq'!P82*Pondération!$D$4</f>
        <v>2.8354559999999999E-7</v>
      </c>
      <c r="K82">
        <f>'Transpo perseq'!T82*Pondération!$D$5</f>
        <v>9.5121399666396186E-7</v>
      </c>
      <c r="L82">
        <f>'Transpo perseq'!X82*Pondération!$D$7</f>
        <v>4.5369002034989078E-7</v>
      </c>
      <c r="M82">
        <f>'Transpo perseq'!Y82*Pondération!$D$13</f>
        <v>5.7251142504266282E-8</v>
      </c>
      <c r="N82">
        <f>'Transpo perseq'!Z82*Pondération!$D$3</f>
        <v>1.4367831307393582E-9</v>
      </c>
      <c r="O82">
        <f>'Transpo perseq'!AA82*Pondération!$D$6</f>
        <v>2.0888813116698994E-6</v>
      </c>
      <c r="P82">
        <f>'Transpo perseq'!AB82*Pondération!$D$8</f>
        <v>2.1350440721325688E-6</v>
      </c>
      <c r="Q82">
        <f>'Transpo perseq'!AC82*Pondération!$D$10</f>
        <v>2.0553975202317636E-5</v>
      </c>
      <c r="R82">
        <f>'Transpo perseq'!AD82*Pondération!$D$9</f>
        <v>1.754028565103506E-6</v>
      </c>
      <c r="S82">
        <f>'Transpo perseq'!AE82*Pondération!$D$11</f>
        <v>1.0766971604617679E-6</v>
      </c>
      <c r="U82">
        <f t="shared" si="1"/>
        <v>5.9782483854334228E-5</v>
      </c>
    </row>
    <row r="83" spans="1:21" x14ac:dyDescent="0.3">
      <c r="A83" t="s">
        <v>1</v>
      </c>
      <c r="B83" t="s">
        <v>27</v>
      </c>
      <c r="C83" t="s">
        <v>79</v>
      </c>
      <c r="D83">
        <f>'Transpo perseq'!D83*Pondération!$D$17</f>
        <v>1.7888666274652591E-4</v>
      </c>
      <c r="E83">
        <f>'Transpo perseq'!E83*Pondération!$D$2</f>
        <v>1.6669240727317559E-3</v>
      </c>
      <c r="F83">
        <f>'Transpo perseq'!I83*Pondération!$D$12</f>
        <v>6.7834958464233982E-4</v>
      </c>
      <c r="G83">
        <f>'Transpo perseq'!M83*Pondération!$D$15</f>
        <v>7.4668866826185409E-6</v>
      </c>
      <c r="H83">
        <f>'Transpo perseq'!N83*Pondération!$D$14</f>
        <v>6.4340257739046845E-5</v>
      </c>
      <c r="I83">
        <f>'Transpo perseq'!O83*Pondération!$D$16</f>
        <v>9.0119686872159853E-5</v>
      </c>
      <c r="J83">
        <f>'Transpo perseq'!P83*Pondération!$D$4</f>
        <v>3.1323503983132488E-5</v>
      </c>
      <c r="K83">
        <f>'Transpo perseq'!T83*Pondération!$D$5</f>
        <v>1.3625193258328555E-4</v>
      </c>
      <c r="L83">
        <f>'Transpo perseq'!X83*Pondération!$D$7</f>
        <v>3.2842313070690535E-5</v>
      </c>
      <c r="M83">
        <f>'Transpo perseq'!Y83*Pondération!$D$13</f>
        <v>5.4045017173202122E-6</v>
      </c>
      <c r="N83">
        <f>'Transpo perseq'!Z83*Pondération!$D$3</f>
        <v>3.9188207072570975E-7</v>
      </c>
      <c r="O83">
        <f>'Transpo perseq'!AA83*Pondération!$D$6</f>
        <v>3.1964144747789579E-4</v>
      </c>
      <c r="P83">
        <f>'Transpo perseq'!AB83*Pondération!$D$8</f>
        <v>1.5847866992392543E-4</v>
      </c>
      <c r="Q83">
        <f>'Transpo perseq'!AC83*Pondération!$D$10</f>
        <v>1.8423863359657798E-3</v>
      </c>
      <c r="R83">
        <f>'Transpo perseq'!AD83*Pondération!$D$9</f>
        <v>4.640895771093578E-4</v>
      </c>
      <c r="S83">
        <f>'Transpo perseq'!AE83*Pondération!$D$11</f>
        <v>1.4160301854010204E-4</v>
      </c>
      <c r="U83">
        <f t="shared" si="1"/>
        <v>5.8185003338566618E-3</v>
      </c>
    </row>
    <row r="84" spans="1:21" x14ac:dyDescent="0.3">
      <c r="A84" t="s">
        <v>1</v>
      </c>
      <c r="B84" t="s">
        <v>27</v>
      </c>
      <c r="C84" t="s">
        <v>56</v>
      </c>
      <c r="D84">
        <f>'Transpo perseq'!D84*Pondération!$D$17</f>
        <v>5.8230399999999997E-5</v>
      </c>
      <c r="E84">
        <f>'Transpo perseq'!E84*Pondération!$D$2</f>
        <v>2.3317632000000003E-4</v>
      </c>
      <c r="F84">
        <f>'Transpo perseq'!I84*Pondération!$D$12</f>
        <v>4.2700799999999996E-5</v>
      </c>
      <c r="G84">
        <f>'Transpo perseq'!M84*Pondération!$D$15</f>
        <v>7.3472000000000004E-5</v>
      </c>
      <c r="H84">
        <f>'Transpo perseq'!N84*Pondération!$D$14</f>
        <v>1.79968E-5</v>
      </c>
      <c r="I84">
        <f>'Transpo perseq'!O84*Pondération!$D$16</f>
        <v>2.3328480000000001E-5</v>
      </c>
      <c r="J84">
        <f>'Transpo perseq'!P84*Pondération!$D$4</f>
        <v>4.2940799999999996E-6</v>
      </c>
      <c r="K84">
        <f>'Transpo perseq'!T84*Pondération!$D$5</f>
        <v>8.1807481780035172E-6</v>
      </c>
      <c r="L84">
        <f>'Transpo perseq'!X84*Pondération!$D$7</f>
        <v>2.3338103283838946E-5</v>
      </c>
      <c r="M84">
        <f>'Transpo perseq'!Y84*Pondération!$D$13</f>
        <v>1.5553016706460236E-4</v>
      </c>
      <c r="N84">
        <f>'Transpo perseq'!Z84*Pondération!$D$3</f>
        <v>9.857879326100164E-7</v>
      </c>
      <c r="O84">
        <f>'Transpo perseq'!AA84*Pondération!$D$6</f>
        <v>1.4790256466988441E-4</v>
      </c>
      <c r="P84">
        <f>'Transpo perseq'!AB84*Pondération!$D$8</f>
        <v>3.7773828973882979E-5</v>
      </c>
      <c r="Q84">
        <f>'Transpo perseq'!AC84*Pondération!$D$10</f>
        <v>1.4509834932566006E-4</v>
      </c>
      <c r="R84">
        <f>'Transpo perseq'!AD84*Pondération!$D$9</f>
        <v>1.2646889419397748E-5</v>
      </c>
      <c r="S84">
        <f>'Transpo perseq'!AE84*Pondération!$D$11</f>
        <v>1.152777888327082E-2</v>
      </c>
      <c r="U84">
        <f t="shared" si="1"/>
        <v>1.25124342021187E-2</v>
      </c>
    </row>
    <row r="85" spans="1:21" x14ac:dyDescent="0.3">
      <c r="A85" t="s">
        <v>1</v>
      </c>
      <c r="B85" t="s">
        <v>27</v>
      </c>
      <c r="C85" t="s">
        <v>80</v>
      </c>
      <c r="D85">
        <f>'Transpo perseq'!D85*Pondération!$D$17</f>
        <v>7.37056E-3</v>
      </c>
      <c r="E85">
        <f>'Transpo perseq'!E85*Pondération!$D$2</f>
        <v>6.9750719999999997E-3</v>
      </c>
      <c r="F85">
        <f>'Transpo perseq'!I85*Pondération!$D$12</f>
        <v>7.4342399999999991E-4</v>
      </c>
      <c r="G85">
        <f>'Transpo perseq'!M85*Pondération!$D$15</f>
        <v>1.1468800000000001E-3</v>
      </c>
      <c r="H85">
        <f>'Transpo perseq'!N85*Pondération!$D$14</f>
        <v>1.993856E-3</v>
      </c>
      <c r="I85">
        <f>'Transpo perseq'!O85*Pondération!$D$16</f>
        <v>6.11408E-3</v>
      </c>
      <c r="J85">
        <f>'Transpo perseq'!P85*Pondération!$D$4</f>
        <v>3.9192E-5</v>
      </c>
      <c r="K85">
        <f>'Transpo perseq'!T85*Pondération!$D$5</f>
        <v>1.3989425311805868E-4</v>
      </c>
      <c r="L85">
        <f>'Transpo perseq'!X85*Pondération!$D$7</f>
        <v>6.0354881649786121E-5</v>
      </c>
      <c r="M85">
        <f>'Transpo perseq'!Y85*Pondération!$D$13</f>
        <v>3.0460540149988427E-3</v>
      </c>
      <c r="N85">
        <f>'Transpo perseq'!Z85*Pondération!$D$3</f>
        <v>4.0585615682102343E-6</v>
      </c>
      <c r="O85">
        <f>'Transpo perseq'!AA85*Pondération!$D$6</f>
        <v>6.9257608640113438E-3</v>
      </c>
      <c r="P85">
        <f>'Transpo perseq'!AB85*Pondération!$D$8</f>
        <v>3.1867858569694903E-4</v>
      </c>
      <c r="Q85">
        <f>'Transpo perseq'!AC85*Pondération!$D$10</f>
        <v>5.62106663132935E-4</v>
      </c>
      <c r="R85">
        <f>'Transpo perseq'!AD85*Pondération!$D$9</f>
        <v>1.1658947551511251E-4</v>
      </c>
      <c r="S85">
        <f>'Transpo perseq'!AE85*Pondération!$D$11</f>
        <v>2.5504793247738668E-2</v>
      </c>
      <c r="U85">
        <f t="shared" si="1"/>
        <v>6.1061354547429912E-2</v>
      </c>
    </row>
    <row r="86" spans="1:21" x14ac:dyDescent="0.3">
      <c r="A86" t="s">
        <v>1</v>
      </c>
      <c r="B86" t="s">
        <v>27</v>
      </c>
      <c r="C86" t="s">
        <v>57</v>
      </c>
      <c r="D86">
        <f>'Transpo perseq'!D86*Pondération!$D$17</f>
        <v>4.3945600000000002E-5</v>
      </c>
      <c r="E86">
        <f>'Transpo perseq'!E86*Pondération!$D$2</f>
        <v>1.7117568000000002E-4</v>
      </c>
      <c r="F86">
        <f>'Transpo perseq'!I86*Pondération!$D$12</f>
        <v>2.9214719999999995E-5</v>
      </c>
      <c r="G86">
        <f>'Transpo perseq'!M86*Pondération!$D$15</f>
        <v>3.4048000000000004E-7</v>
      </c>
      <c r="H86">
        <f>'Transpo perseq'!N86*Pondération!$D$14</f>
        <v>2.9126400000000003E-5</v>
      </c>
      <c r="I86">
        <f>'Transpo perseq'!O86*Pondération!$D$16</f>
        <v>4.4698080000000004E-5</v>
      </c>
      <c r="J86">
        <f>'Transpo perseq'!P86*Pondération!$D$4</f>
        <v>1.656288E-6</v>
      </c>
      <c r="K86">
        <f>'Transpo perseq'!T86*Pondération!$D$5</f>
        <v>5.843786144492063E-6</v>
      </c>
      <c r="L86">
        <f>'Transpo perseq'!X86*Pondération!$D$7</f>
        <v>2.767745664613338E-7</v>
      </c>
      <c r="M86">
        <f>'Transpo perseq'!Y86*Pondération!$D$13</f>
        <v>2.9160707013315726E-6</v>
      </c>
      <c r="N86">
        <f>'Transpo perseq'!Z86*Pondération!$D$3</f>
        <v>1.5266052077719606E-15</v>
      </c>
      <c r="O86">
        <f>'Transpo perseq'!AA86*Pondération!$D$6</f>
        <v>2.1993113077266044E-5</v>
      </c>
      <c r="P86">
        <f>'Transpo perseq'!AB86*Pondération!$D$8</f>
        <v>4.3700856675328832E-5</v>
      </c>
      <c r="Q86">
        <f>'Transpo perseq'!AC86*Pondération!$D$10</f>
        <v>1.1207703469873651E-4</v>
      </c>
      <c r="R86">
        <f>'Transpo perseq'!AD86*Pondération!$D$9</f>
        <v>6.942483148288934E-7</v>
      </c>
      <c r="S86">
        <f>'Transpo perseq'!AE86*Pondération!$D$11</f>
        <v>4.5267998411547812E-7</v>
      </c>
      <c r="U86">
        <f t="shared" si="1"/>
        <v>5.0811181216408739E-4</v>
      </c>
    </row>
    <row r="87" spans="1:21" x14ac:dyDescent="0.3">
      <c r="A87" t="s">
        <v>1</v>
      </c>
      <c r="B87" t="s">
        <v>27</v>
      </c>
      <c r="C87" t="s">
        <v>82</v>
      </c>
      <c r="D87">
        <f>'Transpo perseq'!D87*Pondération!$D$17</f>
        <v>1.3788799999999999E-6</v>
      </c>
      <c r="E87">
        <f>'Transpo perseq'!E87*Pondération!$D$2</f>
        <v>1.6275168000000002E-5</v>
      </c>
      <c r="F87">
        <f>'Transpo perseq'!I87*Pondération!$D$12</f>
        <v>3.6249599999999998E-6</v>
      </c>
      <c r="G87">
        <f>'Transpo perseq'!M87*Pondération!$D$15</f>
        <v>3.0060800000000003E-8</v>
      </c>
      <c r="H87">
        <f>'Transpo perseq'!N87*Pondération!$D$14</f>
        <v>6.2041600000000004E-7</v>
      </c>
      <c r="I87">
        <f>'Transpo perseq'!O87*Pondération!$D$16</f>
        <v>8.7259200000000001E-7</v>
      </c>
      <c r="J87">
        <f>'Transpo perseq'!P87*Pondération!$D$4</f>
        <v>2.1265919999999998E-7</v>
      </c>
      <c r="K87">
        <f>'Transpo perseq'!T87*Pondération!$D$5</f>
        <v>7.1341049749796991E-7</v>
      </c>
      <c r="L87">
        <f>'Transpo perseq'!X87*Pondération!$D$7</f>
        <v>3.4026751526241848E-7</v>
      </c>
      <c r="M87">
        <f>'Transpo perseq'!Y87*Pondération!$D$13</f>
        <v>4.2938356878199423E-8</v>
      </c>
      <c r="N87">
        <f>'Transpo perseq'!Z87*Pondération!$D$3</f>
        <v>1.0775873480545237E-9</v>
      </c>
      <c r="O87">
        <f>'Transpo perseq'!AA87*Pondération!$D$6</f>
        <v>1.5666609837524172E-6</v>
      </c>
      <c r="P87">
        <f>'Transpo perseq'!AB87*Pondération!$D$8</f>
        <v>1.6012830540994304E-6</v>
      </c>
      <c r="Q87">
        <f>'Transpo perseq'!AC87*Pondération!$D$10</f>
        <v>1.541548140173823E-5</v>
      </c>
      <c r="R87">
        <f>'Transpo perseq'!AD87*Pondération!$D$9</f>
        <v>1.3155214238276385E-6</v>
      </c>
      <c r="S87">
        <f>'Transpo perseq'!AE87*Pondération!$D$11</f>
        <v>8.0752287034640487E-7</v>
      </c>
      <c r="U87">
        <f t="shared" si="1"/>
        <v>4.4818899690750763E-5</v>
      </c>
    </row>
    <row r="88" spans="1:21" x14ac:dyDescent="0.3">
      <c r="A88" t="s">
        <v>1</v>
      </c>
      <c r="B88" t="s">
        <v>27</v>
      </c>
      <c r="C88" t="s">
        <v>81</v>
      </c>
      <c r="D88">
        <f>'Transpo perseq'!D88*Pondération!$D$17</f>
        <v>5.0592000000000006E-6</v>
      </c>
      <c r="E88">
        <f>'Transpo perseq'!E88*Pondération!$D$2</f>
        <v>5.9641920000000004E-5</v>
      </c>
      <c r="F88">
        <f>'Transpo perseq'!I88*Pondération!$D$12</f>
        <v>1.3332479999999998E-5</v>
      </c>
      <c r="G88">
        <f>'Transpo perseq'!M88*Pondération!$D$15</f>
        <v>1.10208E-7</v>
      </c>
      <c r="H88">
        <f>'Transpo perseq'!N88*Pondération!$D$14</f>
        <v>2.2685439999999999E-6</v>
      </c>
      <c r="I88">
        <f>'Transpo perseq'!O88*Pondération!$D$16</f>
        <v>3.1935680000000002E-6</v>
      </c>
      <c r="J88">
        <f>'Transpo perseq'!P88*Pondération!$D$4</f>
        <v>7.8043200000000001E-7</v>
      </c>
      <c r="K88">
        <f>'Transpo perseq'!T88*Pondération!$D$5</f>
        <v>2.6158384908258936E-6</v>
      </c>
      <c r="L88">
        <f>'Transpo perseq'!X88*Pondération!$D$7</f>
        <v>1.2476475559621985E-6</v>
      </c>
      <c r="M88">
        <f>'Transpo perseq'!Y88*Pondération!$D$13</f>
        <v>1.5744064188673058E-7</v>
      </c>
      <c r="N88">
        <f>'Transpo perseq'!Z88*Pondération!$D$3</f>
        <v>3.9511536095332395E-9</v>
      </c>
      <c r="O88">
        <f>'Transpo perseq'!AA88*Pondération!$D$6</f>
        <v>5.7444236070922014E-6</v>
      </c>
      <c r="P88">
        <f>'Transpo perseq'!AB88*Pondération!$D$8</f>
        <v>5.8713711983645682E-6</v>
      </c>
      <c r="Q88">
        <f>'Transpo perseq'!AC88*Pondération!$D$10</f>
        <v>5.6523431806373644E-5</v>
      </c>
      <c r="R88">
        <f>'Transpo perseq'!AD88*Pondération!$D$9</f>
        <v>4.8235785540346502E-6</v>
      </c>
      <c r="S88">
        <f>'Transpo perseq'!AE88*Pondération!$D$11</f>
        <v>2.9609171912698614E-6</v>
      </c>
      <c r="U88">
        <f t="shared" si="1"/>
        <v>1.6433495219941928E-4</v>
      </c>
    </row>
    <row r="89" spans="1:21" x14ac:dyDescent="0.3">
      <c r="A89" t="s">
        <v>1</v>
      </c>
      <c r="B89" t="s">
        <v>28</v>
      </c>
      <c r="C89" t="s">
        <v>83</v>
      </c>
      <c r="D89">
        <f>'Transpo perseq'!D89*Pondération!$D$17</f>
        <v>3.0751999999999998E-6</v>
      </c>
      <c r="E89">
        <f>'Transpo perseq'!E89*Pondération!$D$2</f>
        <v>2.7158976000000003E-5</v>
      </c>
      <c r="F89">
        <f>'Transpo perseq'!I89*Pondération!$D$12</f>
        <v>7.9871999999999999E-7</v>
      </c>
      <c r="G89">
        <f>'Transpo perseq'!M89*Pondération!$D$15</f>
        <v>7.4816000000000003E-9</v>
      </c>
      <c r="H89">
        <f>'Transpo perseq'!N89*Pondération!$D$14</f>
        <v>9.5667200000000016E-7</v>
      </c>
      <c r="I89">
        <f>'Transpo perseq'!O89*Pondération!$D$16</f>
        <v>1.3949599999999999E-6</v>
      </c>
      <c r="J89">
        <f>'Transpo perseq'!P89*Pondération!$D$4</f>
        <v>1.1348639999999998E-7</v>
      </c>
      <c r="K89">
        <f>'Transpo perseq'!T89*Pondération!$D$5</f>
        <v>8.944543365617473E-7</v>
      </c>
      <c r="L89">
        <f>'Transpo perseq'!X89*Pondération!$D$7</f>
        <v>4.1072256004875213E-7</v>
      </c>
      <c r="M89">
        <f>'Transpo perseq'!Y89*Pondération!$D$13</f>
        <v>5.4431813939118806E-8</v>
      </c>
      <c r="N89">
        <f>'Transpo perseq'!Z89*Pondération!$D$3</f>
        <v>1.0309040481648375E-15</v>
      </c>
      <c r="O89">
        <f>'Transpo perseq'!AA89*Pondération!$D$6</f>
        <v>5.0721622021711297E-6</v>
      </c>
      <c r="P89">
        <f>'Transpo perseq'!AB89*Pondération!$D$8</f>
        <v>2.4892496777199119E-6</v>
      </c>
      <c r="Q89">
        <f>'Transpo perseq'!AC89*Pondération!$D$10</f>
        <v>1.4654480990254774E-5</v>
      </c>
      <c r="R89">
        <f>'Transpo perseq'!AD89*Pondération!$D$9</f>
        <v>4.1901765563169003E-7</v>
      </c>
      <c r="S89">
        <f>'Transpo perseq'!AE89*Pondération!$D$11</f>
        <v>2.6194297070829984E-6</v>
      </c>
      <c r="U89">
        <f t="shared" si="1"/>
        <v>6.0119444944441031E-5</v>
      </c>
    </row>
    <row r="90" spans="1:21" x14ac:dyDescent="0.3">
      <c r="A90" t="s">
        <v>1</v>
      </c>
      <c r="B90" t="s">
        <v>28</v>
      </c>
      <c r="C90" t="s">
        <v>70</v>
      </c>
      <c r="D90">
        <f>'Transpo perseq'!D90*Pondération!$D$17</f>
        <v>1.11104E-4</v>
      </c>
      <c r="E90">
        <f>'Transpo perseq'!E90*Pondération!$D$2</f>
        <v>5.8294080000000005E-4</v>
      </c>
      <c r="F90">
        <f>'Transpo perseq'!I90*Pondération!$D$12</f>
        <v>4.577279999999999E-5</v>
      </c>
      <c r="G90">
        <f>'Transpo perseq'!M90*Pondération!$D$15</f>
        <v>1.5097600000000001E-6</v>
      </c>
      <c r="H90">
        <f>'Transpo perseq'!N90*Pondération!$D$14</f>
        <v>2.3869440000000002E-5</v>
      </c>
      <c r="I90">
        <f>'Transpo perseq'!O90*Pondération!$D$16</f>
        <v>3.5972160000000005E-5</v>
      </c>
      <c r="J90">
        <f>'Transpo perseq'!P90*Pondération!$D$4</f>
        <v>1.2677760000000001E-5</v>
      </c>
      <c r="K90">
        <f>'Transpo perseq'!T90*Pondération!$D$5</f>
        <v>1.920569325336238E-5</v>
      </c>
      <c r="L90">
        <f>'Transpo perseq'!X90*Pondération!$D$7</f>
        <v>4.3742803137623114E-5</v>
      </c>
      <c r="M90">
        <f>'Transpo perseq'!Y90*Pondération!$D$13</f>
        <v>4.1235165370359055E-6</v>
      </c>
      <c r="N90">
        <f>'Transpo perseq'!Z90*Pondération!$D$3</f>
        <v>2.6780093315004484E-7</v>
      </c>
      <c r="O90">
        <f>'Transpo perseq'!AA90*Pondération!$D$6</f>
        <v>1.5585872177319342E-4</v>
      </c>
      <c r="P90">
        <f>'Transpo perseq'!AB90*Pondération!$D$8</f>
        <v>5.7085253917749822E-5</v>
      </c>
      <c r="Q90">
        <f>'Transpo perseq'!AC90*Pondération!$D$10</f>
        <v>3.9258448268813498E-4</v>
      </c>
      <c r="R90">
        <f>'Transpo perseq'!AD90*Pondération!$D$9</f>
        <v>3.8609088546095961E-4</v>
      </c>
      <c r="S90">
        <f>'Transpo perseq'!AE90*Pondération!$D$11</f>
        <v>5.794599250813071E-5</v>
      </c>
      <c r="U90">
        <f t="shared" si="1"/>
        <v>1.9307518702093402E-3</v>
      </c>
    </row>
    <row r="91" spans="1:21" x14ac:dyDescent="0.3">
      <c r="A91" t="s">
        <v>1</v>
      </c>
      <c r="B91" t="s">
        <v>28</v>
      </c>
      <c r="C91" t="s">
        <v>72</v>
      </c>
      <c r="D91">
        <f>'Transpo perseq'!D91*Pondération!$D$17</f>
        <v>1.7260800000000001E-4</v>
      </c>
      <c r="E91">
        <f>'Transpo perseq'!E91*Pondération!$D$2</f>
        <v>9.0979200000000009E-4</v>
      </c>
      <c r="F91">
        <f>'Transpo perseq'!I91*Pondération!$D$12</f>
        <v>6.3283199999999997E-5</v>
      </c>
      <c r="G91">
        <f>'Transpo perseq'!M91*Pondération!$D$15</f>
        <v>2.57152E-7</v>
      </c>
      <c r="H91">
        <f>'Transpo perseq'!N91*Pondération!$D$14</f>
        <v>3.3625600000000005E-5</v>
      </c>
      <c r="I91">
        <f>'Transpo perseq'!O91*Pondération!$D$16</f>
        <v>5.0752800000000006E-5</v>
      </c>
      <c r="J91">
        <f>'Transpo perseq'!P91*Pondération!$D$4</f>
        <v>2.1402239999999999E-5</v>
      </c>
      <c r="K91">
        <f>'Transpo perseq'!T91*Pondération!$D$5</f>
        <v>2.9493134926178124E-5</v>
      </c>
      <c r="L91">
        <f>'Transpo perseq'!X91*Pondération!$D$7</f>
        <v>5.807740210395493E-5</v>
      </c>
      <c r="M91">
        <f>'Transpo perseq'!Y91*Pondération!$D$13</f>
        <v>3.3434894298483991E-6</v>
      </c>
      <c r="N91">
        <f>'Transpo perseq'!Z91*Pondération!$D$3</f>
        <v>1.2879822117267214E-12</v>
      </c>
      <c r="O91">
        <f>'Transpo perseq'!AA91*Pondération!$D$6</f>
        <v>2.6508056628576053E-4</v>
      </c>
      <c r="P91">
        <f>'Transpo perseq'!AB91*Pondération!$D$8</f>
        <v>8.0568150989001933E-5</v>
      </c>
      <c r="Q91">
        <f>'Transpo perseq'!AC91*Pondération!$D$10</f>
        <v>5.5076706376492365E-4</v>
      </c>
      <c r="R91">
        <f>'Transpo perseq'!AD91*Pondération!$D$9</f>
        <v>6.4390737242617037E-5</v>
      </c>
      <c r="S91">
        <f>'Transpo perseq'!AE91*Pondération!$D$11</f>
        <v>3.8533389552042518E-5</v>
      </c>
      <c r="U91">
        <f t="shared" si="1"/>
        <v>2.3419749275823093E-3</v>
      </c>
    </row>
    <row r="92" spans="1:21" x14ac:dyDescent="0.3">
      <c r="A92" t="s">
        <v>1</v>
      </c>
      <c r="B92" t="s">
        <v>28</v>
      </c>
      <c r="C92" t="s">
        <v>58</v>
      </c>
      <c r="D92">
        <f>'Transpo perseq'!D92*Pondération!$D$17</f>
        <v>2.1228799999999999E-6</v>
      </c>
      <c r="E92">
        <f>'Transpo perseq'!E92*Pondération!$D$2</f>
        <v>1.8768672000000002E-5</v>
      </c>
      <c r="F92">
        <f>'Transpo perseq'!I92*Pondération!$D$12</f>
        <v>5.4988800000000001E-7</v>
      </c>
      <c r="G92">
        <f>'Transpo perseq'!M92*Pondération!$D$15</f>
        <v>5.1968000000000001E-9</v>
      </c>
      <c r="H92">
        <f>'Transpo perseq'!N92*Pondération!$D$14</f>
        <v>6.6303999999999999E-7</v>
      </c>
      <c r="I92">
        <f>'Transpo perseq'!O92*Pondération!$D$16</f>
        <v>9.6756800000000003E-7</v>
      </c>
      <c r="J92">
        <f>'Transpo perseq'!P92*Pondération!$D$4</f>
        <v>7.8383999999999996E-8</v>
      </c>
      <c r="K92">
        <f>'Transpo perseq'!T92*Pondération!$D$5</f>
        <v>6.1792158130909469E-7</v>
      </c>
      <c r="L92">
        <f>'Transpo perseq'!X92*Pondération!$D$7</f>
        <v>2.8374207984749743E-7</v>
      </c>
      <c r="M92">
        <f>'Transpo perseq'!Y92*Pondération!$D$13</f>
        <v>3.7603476407831901E-8</v>
      </c>
      <c r="N92">
        <f>'Transpo perseq'!Z92*Pondération!$D$3</f>
        <v>7.1218600389220408E-16</v>
      </c>
      <c r="O92">
        <f>'Transpo perseq'!AA92*Pondération!$D$6</f>
        <v>3.5040340915217184E-6</v>
      </c>
      <c r="P92">
        <f>'Transpo perseq'!AB92*Pondération!$D$8</f>
        <v>1.7196641955390131E-6</v>
      </c>
      <c r="Q92">
        <f>'Transpo perseq'!AC92*Pondération!$D$10</f>
        <v>1.0123848358285822E-5</v>
      </c>
      <c r="R92">
        <f>'Transpo perseq'!AD92*Pondération!$D$9</f>
        <v>2.8947263351603082E-7</v>
      </c>
      <c r="S92">
        <f>'Transpo perseq'!AE92*Pondération!$D$11</f>
        <v>1.8095972936422651E-6</v>
      </c>
      <c r="U92">
        <f t="shared" si="1"/>
        <v>4.1541512510781462E-5</v>
      </c>
    </row>
    <row r="93" spans="1:21" x14ac:dyDescent="0.3">
      <c r="A93" t="s">
        <v>1</v>
      </c>
      <c r="B93" t="s">
        <v>28</v>
      </c>
      <c r="C93" t="s">
        <v>84</v>
      </c>
      <c r="D93">
        <f>'Transpo perseq'!D93*Pondération!$D$17</f>
        <v>4.57312E-5</v>
      </c>
      <c r="E93">
        <f>'Transpo perseq'!E93*Pondération!$D$2</f>
        <v>1.482624E-4</v>
      </c>
      <c r="F93">
        <f>'Transpo perseq'!I93*Pondération!$D$12</f>
        <v>1.2165119999999999E-5</v>
      </c>
      <c r="G93">
        <f>'Transpo perseq'!M93*Pondération!$D$15</f>
        <v>1.1020800000000001E-6</v>
      </c>
      <c r="H93">
        <f>'Transpo perseq'!N93*Pondération!$D$14</f>
        <v>8.0038400000000006E-6</v>
      </c>
      <c r="I93">
        <f>'Transpo perseq'!O93*Pondération!$D$16</f>
        <v>1.199072E-5</v>
      </c>
      <c r="J93">
        <f>'Transpo perseq'!P93*Pondération!$D$4</f>
        <v>2.1947519999999999E-3</v>
      </c>
      <c r="K93">
        <f>'Transpo perseq'!T93*Pondération!$D$5</f>
        <v>9.2603899528551487E-6</v>
      </c>
      <c r="L93">
        <f>'Transpo perseq'!X93*Pondération!$D$7</f>
        <v>0</v>
      </c>
      <c r="M93">
        <f>'Transpo perseq'!Y93*Pondération!$D$13</f>
        <v>0</v>
      </c>
      <c r="N93">
        <f>'Transpo perseq'!Z93*Pondération!$D$3</f>
        <v>0</v>
      </c>
      <c r="O93">
        <f>'Transpo perseq'!AA93*Pondération!$D$6</f>
        <v>5.8735758741540102E-5</v>
      </c>
      <c r="P93">
        <f>'Transpo perseq'!AB93*Pondération!$D$8</f>
        <v>1.9081684279047862E-5</v>
      </c>
      <c r="Q93">
        <f>'Transpo perseq'!AC93*Pondération!$D$10</f>
        <v>1.9101985177183466E-4</v>
      </c>
      <c r="R93">
        <f>'Transpo perseq'!AD93*Pondération!$D$9</f>
        <v>7.1529821281634381E-7</v>
      </c>
      <c r="S93">
        <f>'Transpo perseq'!AE93*Pondération!$D$11</f>
        <v>5.431064730921817E-5</v>
      </c>
      <c r="U93">
        <f t="shared" si="1"/>
        <v>2.7551309902673119E-3</v>
      </c>
    </row>
    <row r="94" spans="1:21" x14ac:dyDescent="0.3">
      <c r="A94" t="s">
        <v>1</v>
      </c>
      <c r="B94" t="s">
        <v>28</v>
      </c>
      <c r="C94" t="s">
        <v>74</v>
      </c>
      <c r="D94">
        <f>'Transpo perseq'!D94*Pondération!$D$17</f>
        <v>8.6083190941467366E-7</v>
      </c>
      <c r="E94">
        <f>'Transpo perseq'!E94*Pondération!$D$2</f>
        <v>9.0822201237873454E-6</v>
      </c>
      <c r="F94">
        <f>'Transpo perseq'!I94*Pondération!$D$12</f>
        <v>3.9737304390316644E-6</v>
      </c>
      <c r="G94">
        <f>'Transpo perseq'!M94*Pondération!$D$15</f>
        <v>1.8489835962391046E-7</v>
      </c>
      <c r="H94">
        <f>'Transpo perseq'!N94*Pondération!$D$14</f>
        <v>3.4278113647624956E-7</v>
      </c>
      <c r="I94">
        <f>'Transpo perseq'!O94*Pondération!$D$16</f>
        <v>5.050389379785573E-7</v>
      </c>
      <c r="J94">
        <f>'Transpo perseq'!P94*Pondération!$D$4</f>
        <v>1.3208031278509511E-7</v>
      </c>
      <c r="K94">
        <f>'Transpo perseq'!T94*Pondération!$D$5</f>
        <v>6.9528792106790986E-7</v>
      </c>
      <c r="L94">
        <f>'Transpo perseq'!X94*Pondération!$D$7</f>
        <v>6.2985844345831674E-7</v>
      </c>
      <c r="M94">
        <f>'Transpo perseq'!Y94*Pondération!$D$13</f>
        <v>4.2146442580442958E-9</v>
      </c>
      <c r="N94">
        <f>'Transpo perseq'!Z94*Pondération!$D$3</f>
        <v>5.3380055265222082E-15</v>
      </c>
      <c r="O94">
        <f>'Transpo perseq'!AA94*Pondération!$D$6</f>
        <v>6.4530807155706714E-7</v>
      </c>
      <c r="P94">
        <f>'Transpo perseq'!AB94*Pondération!$D$8</f>
        <v>7.2288762118277646E-7</v>
      </c>
      <c r="Q94">
        <f>'Transpo perseq'!AC94*Pondération!$D$10</f>
        <v>7.5452170318594867E-6</v>
      </c>
      <c r="R94">
        <f>'Transpo perseq'!AD94*Pondération!$D$9</f>
        <v>-7.8347446092544388E-9</v>
      </c>
      <c r="S94">
        <f>'Transpo perseq'!AE94*Pondération!$D$11</f>
        <v>-1.3561079201414762E-7</v>
      </c>
      <c r="U94">
        <f t="shared" si="1"/>
        <v>2.5180909421195701E-5</v>
      </c>
    </row>
    <row r="95" spans="1:21" x14ac:dyDescent="0.3">
      <c r="A95" t="s">
        <v>1</v>
      </c>
      <c r="B95" t="s">
        <v>28</v>
      </c>
      <c r="C95" t="s">
        <v>79</v>
      </c>
      <c r="D95">
        <f>'Transpo perseq'!D95*Pondération!$D$17</f>
        <v>2.6234524325796621E-6</v>
      </c>
      <c r="E95">
        <f>'Transpo perseq'!E95*Pondération!$D$2</f>
        <v>2.4446182551519778E-5</v>
      </c>
      <c r="F95">
        <f>'Transpo perseq'!I95*Pondération!$D$12</f>
        <v>9.9482982165695996E-6</v>
      </c>
      <c r="G95">
        <f>'Transpo perseq'!M95*Pondération!$D$15</f>
        <v>1.0950521257735764E-7</v>
      </c>
      <c r="H95">
        <f>'Transpo perseq'!N95*Pondération!$D$14</f>
        <v>9.4357848196585709E-7</v>
      </c>
      <c r="I95">
        <f>'Transpo perseq'!O95*Pondération!$D$16</f>
        <v>1.3216452703524848E-6</v>
      </c>
      <c r="J95">
        <f>'Transpo perseq'!P95*Pondération!$D$4</f>
        <v>4.593731106600542E-7</v>
      </c>
      <c r="K95">
        <f>'Transpo perseq'!T95*Pondération!$D$5</f>
        <v>1.9981951616247197E-6</v>
      </c>
      <c r="L95">
        <f>'Transpo perseq'!X95*Pondération!$D$7</f>
        <v>4.8164712111003521E-7</v>
      </c>
      <c r="M95">
        <f>'Transpo perseq'!Y95*Pondération!$D$13</f>
        <v>7.9259420235676856E-8</v>
      </c>
      <c r="N95">
        <f>'Transpo perseq'!Z95*Pondération!$D$3</f>
        <v>5.7471247769123272E-9</v>
      </c>
      <c r="O95">
        <f>'Transpo perseq'!AA95*Pondération!$D$6</f>
        <v>4.687683922682235E-6</v>
      </c>
      <c r="P95">
        <f>'Transpo perseq'!AB95*Pondération!$D$8</f>
        <v>2.3241601455387835E-6</v>
      </c>
      <c r="Q95">
        <f>'Transpo perseq'!AC95*Pondération!$D$10</f>
        <v>2.7019414642944522E-5</v>
      </c>
      <c r="R95">
        <f>'Transpo perseq'!AD95*Pondération!$D$9</f>
        <v>6.8060799576074463E-6</v>
      </c>
      <c r="S95">
        <f>'Transpo perseq'!AE95*Pondération!$D$11</f>
        <v>2.0766712159867801E-6</v>
      </c>
      <c r="U95">
        <f t="shared" si="1"/>
        <v>8.5330893988731904E-5</v>
      </c>
    </row>
    <row r="96" spans="1:21" x14ac:dyDescent="0.3">
      <c r="A96" t="s">
        <v>1</v>
      </c>
      <c r="B96" t="s">
        <v>28</v>
      </c>
      <c r="C96" t="s">
        <v>78</v>
      </c>
      <c r="D96">
        <f>'Transpo perseq'!D96*Pondération!$D$17</f>
        <v>1.3002267531448739E-4</v>
      </c>
      <c r="E96">
        <f>'Transpo perseq'!E96*Pondération!$D$2</f>
        <v>1.1453811198223612E-3</v>
      </c>
      <c r="F96">
        <f>'Transpo perseq'!I96*Pondération!$D$12</f>
        <v>2.362077711312098E-4</v>
      </c>
      <c r="G96">
        <f>'Transpo perseq'!M96*Pondération!$D$15</f>
        <v>3.7741626233590093E-5</v>
      </c>
      <c r="H96">
        <f>'Transpo perseq'!N96*Pondération!$D$14</f>
        <v>4.1836733165203357E-5</v>
      </c>
      <c r="I96">
        <f>'Transpo perseq'!O96*Pondération!$D$16</f>
        <v>5.8058284784996121E-5</v>
      </c>
      <c r="J96">
        <f>'Transpo perseq'!P96*Pondération!$D$4</f>
        <v>2.1099850873704826E-5</v>
      </c>
      <c r="K96">
        <f>'Transpo perseq'!T96*Pondération!$D$5</f>
        <v>6.7260797456546262E-5</v>
      </c>
      <c r="L96">
        <f>'Transpo perseq'!X96*Pondération!$D$7</f>
        <v>1.9236711198582806E-4</v>
      </c>
      <c r="M96">
        <f>'Transpo perseq'!Y96*Pondération!$D$13</f>
        <v>6.8050991419455374E-6</v>
      </c>
      <c r="N96">
        <f>'Transpo perseq'!Z96*Pondération!$D$3</f>
        <v>6.3357930312008677E-7</v>
      </c>
      <c r="O96">
        <f>'Transpo perseq'!AA96*Pondération!$D$6</f>
        <v>1.5020943172980184E-4</v>
      </c>
      <c r="P96">
        <f>'Transpo perseq'!AB96*Pondération!$D$8</f>
        <v>1.2005529631969353E-4</v>
      </c>
      <c r="Q96">
        <f>'Transpo perseq'!AC96*Pondération!$D$10</f>
        <v>1.7187513349494826E-3</v>
      </c>
      <c r="R96">
        <f>'Transpo perseq'!AD96*Pondération!$D$9</f>
        <v>3.3999285877429962E-5</v>
      </c>
      <c r="S96">
        <f>'Transpo perseq'!AE96*Pondération!$D$11</f>
        <v>4.695492820429092E-4</v>
      </c>
      <c r="U96">
        <f t="shared" si="1"/>
        <v>4.4299792801323103E-3</v>
      </c>
    </row>
    <row r="97" spans="1:21" x14ac:dyDescent="0.3">
      <c r="A97" t="s">
        <v>1</v>
      </c>
      <c r="B97" t="s">
        <v>28</v>
      </c>
      <c r="C97" t="s">
        <v>59</v>
      </c>
      <c r="D97">
        <f>'Transpo perseq'!D97*Pondération!$D$17</f>
        <v>1.8235555918242663E-6</v>
      </c>
      <c r="E97">
        <f>'Transpo perseq'!E97*Pondération!$D$2</f>
        <v>1.7739413459253499E-5</v>
      </c>
      <c r="F97">
        <f>'Transpo perseq'!I97*Pondération!$D$12</f>
        <v>3.1861578807186735E-5</v>
      </c>
      <c r="G97">
        <f>'Transpo perseq'!M97*Pondération!$D$15</f>
        <v>4.1792711662350699E-7</v>
      </c>
      <c r="H97">
        <f>'Transpo perseq'!N97*Pondération!$D$14</f>
        <v>7.5631877791920714E-7</v>
      </c>
      <c r="I97">
        <f>'Transpo perseq'!O97*Pondération!$D$16</f>
        <v>9.1426765290061779E-7</v>
      </c>
      <c r="J97">
        <f>'Transpo perseq'!P97*Pondération!$D$4</f>
        <v>1.2266258805208021E-6</v>
      </c>
      <c r="K97">
        <f>'Transpo perseq'!T97*Pondération!$D$5</f>
        <v>7.839765281503648E-6</v>
      </c>
      <c r="L97">
        <f>'Transpo perseq'!X97*Pondération!$D$7</f>
        <v>2.1139046382133882E-6</v>
      </c>
      <c r="M97">
        <f>'Transpo perseq'!Y97*Pondération!$D$13</f>
        <v>8.199270294319666E-9</v>
      </c>
      <c r="N97">
        <f>'Transpo perseq'!Z97*Pondération!$D$3</f>
        <v>3.3055866364638243E-14</v>
      </c>
      <c r="O97">
        <f>'Transpo perseq'!AA97*Pondération!$D$6</f>
        <v>1.8853223503295284E-6</v>
      </c>
      <c r="P97">
        <f>'Transpo perseq'!AB97*Pondération!$D$8</f>
        <v>1.6432039074599957E-6</v>
      </c>
      <c r="Q97">
        <f>'Transpo perseq'!AC97*Pondération!$D$10</f>
        <v>1.6183665962342195E-5</v>
      </c>
      <c r="R97">
        <f>'Transpo perseq'!AD97*Pondération!$D$9</f>
        <v>3.98065389519104E-7</v>
      </c>
      <c r="S97">
        <f>'Transpo perseq'!AE97*Pondération!$D$11</f>
        <v>3.6607269377003055E-5</v>
      </c>
      <c r="U97">
        <f t="shared" si="1"/>
        <v>1.2141908349594975E-4</v>
      </c>
    </row>
    <row r="98" spans="1:21" x14ac:dyDescent="0.3">
      <c r="A98" t="s">
        <v>1</v>
      </c>
      <c r="B98" t="s">
        <v>28</v>
      </c>
      <c r="C98" t="s">
        <v>56</v>
      </c>
      <c r="D98">
        <f>'Transpo perseq'!D98*Pondération!$D$17</f>
        <v>1.734995401306507E-6</v>
      </c>
      <c r="E98">
        <f>'Transpo perseq'!E98*Pondération!$D$2</f>
        <v>6.6242922304731384E-6</v>
      </c>
      <c r="F98">
        <f>'Transpo perseq'!I98*Pondération!$D$12</f>
        <v>5.0326073266633422E-7</v>
      </c>
      <c r="G98">
        <f>'Transpo perseq'!M98*Pondération!$D$15</f>
        <v>3.958643724385939E-7</v>
      </c>
      <c r="H98">
        <f>'Transpo perseq'!N98*Pondération!$D$14</f>
        <v>8.5570602938946805E-7</v>
      </c>
      <c r="I98">
        <f>'Transpo perseq'!O98*Pondération!$D$16</f>
        <v>1.1916150156616542E-6</v>
      </c>
      <c r="J98">
        <f>'Transpo perseq'!P98*Pondération!$D$4</f>
        <v>1.3226117915781045E-7</v>
      </c>
      <c r="K98">
        <f>'Transpo perseq'!T98*Pondération!$D$5</f>
        <v>6.0144340371413303E-7</v>
      </c>
      <c r="L98">
        <f>'Transpo perseq'!X98*Pondération!$D$7</f>
        <v>-2.4521339308351104E-6</v>
      </c>
      <c r="M98">
        <f>'Transpo perseq'!Y98*Pondération!$D$13</f>
        <v>3.1785974820701707E-5</v>
      </c>
      <c r="N98">
        <f>'Transpo perseq'!Z98*Pondération!$D$3</f>
        <v>4.8697936932715371E-9</v>
      </c>
      <c r="O98">
        <f>'Transpo perseq'!AA98*Pondération!$D$6</f>
        <v>2.9629658752797714E-6</v>
      </c>
      <c r="P98">
        <f>'Transpo perseq'!AB98*Pondération!$D$8</f>
        <v>1.8823555390017306E-6</v>
      </c>
      <c r="Q98">
        <f>'Transpo perseq'!AC98*Pondération!$D$10</f>
        <v>-1.3065839969956113E-6</v>
      </c>
      <c r="R98">
        <f>'Transpo perseq'!AD98*Pondération!$D$9</f>
        <v>7.2100568574217531E-8</v>
      </c>
      <c r="S98">
        <f>'Transpo perseq'!AE98*Pondération!$D$11</f>
        <v>6.0922546878820953E-5</v>
      </c>
      <c r="U98">
        <f t="shared" si="1"/>
        <v>1.0591153391304856E-4</v>
      </c>
    </row>
    <row r="99" spans="1:21" x14ac:dyDescent="0.3">
      <c r="A99" t="s">
        <v>1</v>
      </c>
      <c r="B99" t="s">
        <v>28</v>
      </c>
      <c r="C99" t="s">
        <v>57</v>
      </c>
      <c r="D99">
        <f>'Transpo perseq'!D99*Pondération!$D$17</f>
        <v>1.3631270269217695E-5</v>
      </c>
      <c r="E99">
        <f>'Transpo perseq'!E99*Pondération!$D$2</f>
        <v>5.3165535910189262E-5</v>
      </c>
      <c r="F99">
        <f>'Transpo perseq'!I99*Pondération!$D$12</f>
        <v>9.071566195453869E-6</v>
      </c>
      <c r="G99">
        <f>'Transpo perseq'!M99*Pondération!$D$15</f>
        <v>1.056239816339931E-7</v>
      </c>
      <c r="H99">
        <f>'Transpo perseq'!N99*Pondération!$D$14</f>
        <v>9.0412996578091427E-6</v>
      </c>
      <c r="I99">
        <f>'Transpo perseq'!O99*Pondération!$D$16</f>
        <v>1.3867651930254673E-5</v>
      </c>
      <c r="J99">
        <f>'Transpo perseq'!P99*Pondération!$D$4</f>
        <v>5.1426890415020081E-7</v>
      </c>
      <c r="K99">
        <f>'Transpo perseq'!T99*Pondération!$D$5</f>
        <v>1.8136223442814486E-6</v>
      </c>
      <c r="L99">
        <f>'Transpo perseq'!X99*Pondération!$D$7</f>
        <v>8.5897143675629286E-8</v>
      </c>
      <c r="M99">
        <f>'Transpo perseq'!Y99*Pondération!$D$13</f>
        <v>9.0500419602523321E-7</v>
      </c>
      <c r="N99">
        <f>'Transpo perseq'!Z99*Pondération!$D$3</f>
        <v>4.7378279205532233E-16</v>
      </c>
      <c r="O99">
        <f>'Transpo perseq'!AA99*Pondération!$D$6</f>
        <v>6.8255751170554144E-6</v>
      </c>
      <c r="P99">
        <f>'Transpo perseq'!AB99*Pondération!$D$8</f>
        <v>1.3562585654391102E-5</v>
      </c>
      <c r="Q99">
        <f>'Transpo perseq'!AC99*Pondération!$D$10</f>
        <v>3.4783171283914924E-5</v>
      </c>
      <c r="R99">
        <f>'Transpo perseq'!AD99*Pondération!$D$9</f>
        <v>2.1546035825424078E-7</v>
      </c>
      <c r="S99">
        <f>'Transpo perseq'!AE99*Pondération!$D$11</f>
        <v>1.404894898104118E-7</v>
      </c>
      <c r="U99">
        <f t="shared" si="1"/>
        <v>1.5772902243659103E-4</v>
      </c>
    </row>
    <row r="100" spans="1:21" x14ac:dyDescent="0.3">
      <c r="A100" t="s">
        <v>1</v>
      </c>
      <c r="B100" t="s">
        <v>29</v>
      </c>
      <c r="C100" t="s">
        <v>58</v>
      </c>
      <c r="D100">
        <f>'Transpo perseq'!D100*Pondération!$D$17</f>
        <v>3.3529599999999998E-5</v>
      </c>
      <c r="E100">
        <f>'Transpo perseq'!E100*Pondération!$D$2</f>
        <v>4.110912E-4</v>
      </c>
      <c r="F100">
        <f>'Transpo perseq'!I100*Pondération!$D$12</f>
        <v>6.6662399999999992E-6</v>
      </c>
      <c r="G100">
        <f>'Transpo perseq'!M100*Pondération!$D$15</f>
        <v>7.0784000000000007E-8</v>
      </c>
      <c r="H100">
        <f>'Transpo perseq'!N100*Pondération!$D$14</f>
        <v>9.140480000000002E-6</v>
      </c>
      <c r="I100">
        <f>'Transpo perseq'!O100*Pondération!$D$16</f>
        <v>1.2940480000000001E-5</v>
      </c>
      <c r="J100">
        <f>'Transpo perseq'!P100*Pondération!$D$4</f>
        <v>9.4060799999999999E-6</v>
      </c>
      <c r="K100">
        <f>'Transpo perseq'!T100*Pondération!$D$5</f>
        <v>1.4988844357756703E-5</v>
      </c>
      <c r="L100">
        <f>'Transpo perseq'!X100*Pondération!$D$7</f>
        <v>2.859039129215542E-6</v>
      </c>
      <c r="M100">
        <f>'Transpo perseq'!Y100*Pondération!$D$13</f>
        <v>-2.3591056235099653E-8</v>
      </c>
      <c r="N100">
        <f>'Transpo perseq'!Z100*Pondération!$D$3</f>
        <v>4.3017965724747412E-14</v>
      </c>
      <c r="O100">
        <f>'Transpo perseq'!AA100*Pondération!$D$6</f>
        <v>7.946969712064022E-5</v>
      </c>
      <c r="P100">
        <f>'Transpo perseq'!AB100*Pondération!$D$8</f>
        <v>2.980182644911896E-5</v>
      </c>
      <c r="Q100">
        <f>'Transpo perseq'!AC100*Pondération!$D$10</f>
        <v>2.0608739535444201E-4</v>
      </c>
      <c r="R100">
        <f>'Transpo perseq'!AD100*Pondération!$D$9</f>
        <v>4.0274950252538089E-5</v>
      </c>
      <c r="S100">
        <f>'Transpo perseq'!AE100*Pondération!$D$11</f>
        <v>2.7586008223060249E-4</v>
      </c>
      <c r="U100">
        <f t="shared" si="1"/>
        <v>1.1321631078810967E-3</v>
      </c>
    </row>
    <row r="101" spans="1:21" x14ac:dyDescent="0.3">
      <c r="A101" t="s">
        <v>1</v>
      </c>
      <c r="B101" t="s">
        <v>29</v>
      </c>
      <c r="C101" t="s">
        <v>85</v>
      </c>
      <c r="D101">
        <f>'Transpo perseq'!D101*Pondération!$D$17</f>
        <v>1.02176E-3</v>
      </c>
      <c r="E101">
        <f>'Transpo perseq'!E101*Pondération!$D$2</f>
        <v>9.1316160000000004E-3</v>
      </c>
      <c r="F101">
        <f>'Transpo perseq'!I101*Pondération!$D$12</f>
        <v>4.5465599999999998E-3</v>
      </c>
      <c r="G101">
        <f>'Transpo perseq'!M101*Pondération!$D$15</f>
        <v>4.03648E-4</v>
      </c>
      <c r="H101">
        <f>'Transpo perseq'!N101*Pondération!$D$14</f>
        <v>4.0540159999999999E-4</v>
      </c>
      <c r="I101">
        <f>'Transpo perseq'!O101*Pondération!$D$16</f>
        <v>5.4255039999999996E-4</v>
      </c>
      <c r="J101">
        <f>'Transpo perseq'!P101*Pondération!$D$4</f>
        <v>1.6256159999999999E-4</v>
      </c>
      <c r="K101">
        <f>'Transpo perseq'!T101*Pondération!$D$5</f>
        <v>8.7413080303314398E-4</v>
      </c>
      <c r="L101">
        <f>'Transpo perseq'!X101*Pondération!$D$7</f>
        <v>1.2405457704846605E-3</v>
      </c>
      <c r="M101">
        <f>'Transpo perseq'!Y101*Pondération!$D$13</f>
        <v>1.8683766663477497E-3</v>
      </c>
      <c r="N101">
        <f>'Transpo perseq'!Z101*Pondération!$D$3</f>
        <v>1.0516762939622427E-5</v>
      </c>
      <c r="O101">
        <f>'Transpo perseq'!AA101*Pondération!$D$6</f>
        <v>1.7851828153377504E-3</v>
      </c>
      <c r="P101">
        <f>'Transpo perseq'!AB101*Pondération!$D$8</f>
        <v>9.7046825905246225E-4</v>
      </c>
      <c r="Q101">
        <f>'Transpo perseq'!AC101*Pondération!$D$10</f>
        <v>9.3253162080739471E-3</v>
      </c>
      <c r="R101">
        <f>'Transpo perseq'!AD101*Pondération!$D$9</f>
        <v>1.4558849126732856E-4</v>
      </c>
      <c r="S101">
        <f>'Transpo perseq'!AE101*Pondération!$D$11</f>
        <v>1.676541440352319E-3</v>
      </c>
      <c r="U101">
        <f t="shared" si="1"/>
        <v>3.4110764816888989E-2</v>
      </c>
    </row>
    <row r="102" spans="1:21" x14ac:dyDescent="0.3">
      <c r="A102" t="s">
        <v>1</v>
      </c>
      <c r="B102" t="s">
        <v>29</v>
      </c>
      <c r="C102" t="s">
        <v>56</v>
      </c>
      <c r="D102">
        <f>'Transpo perseq'!D102*Pondération!$D$17</f>
        <v>3.9382399999999998E-4</v>
      </c>
      <c r="E102">
        <f>'Transpo perseq'!E102*Pondération!$D$2</f>
        <v>2.5002432000000002E-3</v>
      </c>
      <c r="F102">
        <f>'Transpo perseq'!I102*Pondération!$D$12</f>
        <v>3.6863999999999994E-4</v>
      </c>
      <c r="G102">
        <f>'Transpo perseq'!M102*Pondération!$D$15</f>
        <v>9.0048000000000005E-4</v>
      </c>
      <c r="H102">
        <f>'Transpo perseq'!N102*Pondération!$D$14</f>
        <v>4.6554880000000002E-5</v>
      </c>
      <c r="I102">
        <f>'Transpo perseq'!O102*Pondération!$D$16</f>
        <v>8.0136000000000007E-5</v>
      </c>
      <c r="J102">
        <f>'Transpo perseq'!P102*Pondération!$D$4</f>
        <v>1.7278559999999999E-4</v>
      </c>
      <c r="K102">
        <f>'Transpo perseq'!T102*Pondération!$D$5</f>
        <v>3.1043304932996111E-5</v>
      </c>
      <c r="L102">
        <f>'Transpo perseq'!X102*Pondération!$D$7</f>
        <v>-6.3349180252221234E-4</v>
      </c>
      <c r="M102">
        <f>'Transpo perseq'!Y102*Pondération!$D$13</f>
        <v>-9.749257294937478E-3</v>
      </c>
      <c r="N102">
        <f>'Transpo perseq'!Z102*Pondération!$D$3</f>
        <v>1.3557662254348664E-5</v>
      </c>
      <c r="O102">
        <f>'Transpo perseq'!AA102*Pondération!$D$6</f>
        <v>1.2123059881008742E-3</v>
      </c>
      <c r="P102">
        <f>'Transpo perseq'!AB102*Pondération!$D$8</f>
        <v>5.3457705432285747E-4</v>
      </c>
      <c r="Q102">
        <f>'Transpo perseq'!AC102*Pondération!$D$10</f>
        <v>-2.9794867603724954E-4</v>
      </c>
      <c r="R102">
        <f>'Transpo perseq'!AD102*Pondération!$D$9</f>
        <v>3.0896280400344219E-4</v>
      </c>
      <c r="S102">
        <f>'Transpo perseq'!AE102*Pondération!$D$11</f>
        <v>0.15333211670565669</v>
      </c>
      <c r="U102">
        <f t="shared" si="1"/>
        <v>0.14921452942577426</v>
      </c>
    </row>
    <row r="103" spans="1:21" x14ac:dyDescent="0.3">
      <c r="A103" t="s">
        <v>1</v>
      </c>
      <c r="B103" t="s">
        <v>29</v>
      </c>
      <c r="C103" t="s">
        <v>86</v>
      </c>
      <c r="D103">
        <f>'Transpo perseq'!D103*Pondération!$D$17</f>
        <v>2.31136E-4</v>
      </c>
      <c r="E103">
        <f>'Transpo perseq'!E103*Pondération!$D$2</f>
        <v>2.0049120000000002E-3</v>
      </c>
      <c r="F103">
        <f>'Transpo perseq'!I103*Pondération!$D$12</f>
        <v>1.1182079999999999E-3</v>
      </c>
      <c r="G103">
        <f>'Transpo perseq'!M103*Pondération!$D$15</f>
        <v>2.5177599999999998E-5</v>
      </c>
      <c r="H103">
        <f>'Transpo perseq'!N103*Pondération!$D$14</f>
        <v>6.4883199999999996E-5</v>
      </c>
      <c r="I103">
        <f>'Transpo perseq'!O103*Pondération!$D$16</f>
        <v>9.7943999999999996E-5</v>
      </c>
      <c r="J103">
        <f>'Transpo perseq'!P103*Pondération!$D$4</f>
        <v>5.0779199999999998E-6</v>
      </c>
      <c r="K103">
        <f>'Transpo perseq'!T103*Pondération!$D$5</f>
        <v>1.0872829987866534E-4</v>
      </c>
      <c r="L103">
        <f>'Transpo perseq'!X103*Pondération!$D$7</f>
        <v>7.474118032097455E-5</v>
      </c>
      <c r="M103">
        <f>'Transpo perseq'!Y103*Pondération!$D$13</f>
        <v>6.8558213264186508E-7</v>
      </c>
      <c r="N103">
        <f>'Transpo perseq'!Z103*Pondération!$D$3</f>
        <v>5.130797627134575E-14</v>
      </c>
      <c r="O103">
        <f>'Transpo perseq'!AA103*Pondération!$D$6</f>
        <v>7.1783380087313015E-4</v>
      </c>
      <c r="P103">
        <f>'Transpo perseq'!AB103*Pondération!$D$8</f>
        <v>1.5131973660361815E-4</v>
      </c>
      <c r="Q103">
        <f>'Transpo perseq'!AC103*Pondération!$D$10</f>
        <v>1.4215084380685126E-3</v>
      </c>
      <c r="R103">
        <f>'Transpo perseq'!AD103*Pondération!$D$9</f>
        <v>1.2712398586254364E-5</v>
      </c>
      <c r="S103">
        <f>'Transpo perseq'!AE103*Pondération!$D$11</f>
        <v>9.0083485162961751E-4</v>
      </c>
      <c r="U103">
        <f t="shared" si="1"/>
        <v>6.9357030081447224E-3</v>
      </c>
    </row>
    <row r="104" spans="1:21" x14ac:dyDescent="0.3">
      <c r="A104" t="s">
        <v>1</v>
      </c>
      <c r="B104" t="s">
        <v>29</v>
      </c>
      <c r="C104" t="s">
        <v>57</v>
      </c>
      <c r="D104">
        <f>'Transpo perseq'!D104*Pondération!$D$17</f>
        <v>8.0649599999999994E-5</v>
      </c>
      <c r="E104">
        <f>'Transpo perseq'!E104*Pondération!$D$2</f>
        <v>3.1472063999999999E-4</v>
      </c>
      <c r="F104">
        <f>'Transpo perseq'!I104*Pondération!$D$12</f>
        <v>5.3759999999999994E-5</v>
      </c>
      <c r="G104">
        <f>'Transpo perseq'!M104*Pondération!$D$15</f>
        <v>6.272E-7</v>
      </c>
      <c r="H104">
        <f>'Transpo perseq'!N104*Pondération!$D$14</f>
        <v>5.3516800000000002E-5</v>
      </c>
      <c r="I104">
        <f>'Transpo perseq'!O104*Pondération!$D$16</f>
        <v>8.1916799999999995E-5</v>
      </c>
      <c r="J104">
        <f>'Transpo perseq'!P104*Pondération!$D$4</f>
        <v>3.0433439999999997E-6</v>
      </c>
      <c r="K104">
        <f>'Transpo perseq'!T104*Pondération!$D$5</f>
        <v>1.0731504619077836E-5</v>
      </c>
      <c r="L104">
        <f>'Transpo perseq'!X104*Pondération!$D$7</f>
        <v>5.0826766500046935E-7</v>
      </c>
      <c r="M104">
        <f>'Transpo perseq'!Y104*Pondération!$D$13</f>
        <v>5.3550601317594016E-6</v>
      </c>
      <c r="N104">
        <f>'Transpo perseq'!Z104*Pondération!$D$3</f>
        <v>2.8034514668464216E-15</v>
      </c>
      <c r="O104">
        <f>'Transpo perseq'!AA104*Pondération!$D$6</f>
        <v>4.0388061565024339E-5</v>
      </c>
      <c r="P104">
        <f>'Transpo perseq'!AB104*Pondération!$D$8</f>
        <v>8.0252071802965161E-5</v>
      </c>
      <c r="Q104">
        <f>'Transpo perseq'!AC104*Pondération!$D$10</f>
        <v>2.0581780130603694E-4</v>
      </c>
      <c r="R104">
        <f>'Transpo perseq'!AD104*Pondération!$D$9</f>
        <v>1.2749147236326246E-6</v>
      </c>
      <c r="S104">
        <f>'Transpo perseq'!AE104*Pondération!$D$11</f>
        <v>8.3129964382399933E-7</v>
      </c>
      <c r="U104">
        <f t="shared" si="1"/>
        <v>9.3339336546012443E-4</v>
      </c>
    </row>
    <row r="105" spans="1:21" x14ac:dyDescent="0.3">
      <c r="A105" t="s">
        <v>1</v>
      </c>
      <c r="B105" t="s">
        <v>30</v>
      </c>
      <c r="C105" t="s">
        <v>72</v>
      </c>
      <c r="D105">
        <f>'Transpo perseq'!D105*Pondération!$D$17</f>
        <v>2.9065599999999999E-3</v>
      </c>
      <c r="E105">
        <f>'Transpo perseq'!E105*Pondération!$D$2</f>
        <v>1.5331680000000002E-2</v>
      </c>
      <c r="F105">
        <f>'Transpo perseq'!I105*Pondération!$D$12</f>
        <v>1.0813439999999999E-3</v>
      </c>
      <c r="G105">
        <f>'Transpo perseq'!M105*Pondération!$D$15</f>
        <v>4.3724800000000004E-6</v>
      </c>
      <c r="H105">
        <f>'Transpo perseq'!N105*Pondération!$D$14</f>
        <v>5.6831999999999998E-4</v>
      </c>
      <c r="I105">
        <f>'Transpo perseq'!O105*Pondération!$D$16</f>
        <v>8.5478400000000003E-4</v>
      </c>
      <c r="J105">
        <f>'Transpo perseq'!P105*Pondération!$D$4</f>
        <v>3.6124799999999999E-4</v>
      </c>
      <c r="K105">
        <f>'Transpo perseq'!T105*Pondération!$D$5</f>
        <v>4.9976021599087972E-4</v>
      </c>
      <c r="L105">
        <f>'Transpo perseq'!X105*Pondération!$D$7</f>
        <v>9.7840839108311777E-4</v>
      </c>
      <c r="M105">
        <f>'Transpo perseq'!Y105*Pondération!$D$13</f>
        <v>5.6428707739670372E-5</v>
      </c>
      <c r="N105">
        <f>'Transpo perseq'!Z105*Pondération!$D$3</f>
        <v>2.1687663532290349E-11</v>
      </c>
      <c r="O105">
        <f>'Transpo perseq'!AA105*Pondération!$D$6</f>
        <v>4.4659575342701815E-3</v>
      </c>
      <c r="P105">
        <f>'Transpo perseq'!AB105*Pondération!$D$8</f>
        <v>1.36265339710066E-3</v>
      </c>
      <c r="Q105">
        <f>'Transpo perseq'!AC105*Pondération!$D$10</f>
        <v>9.3196529382922836E-3</v>
      </c>
      <c r="R105">
        <f>'Transpo perseq'!AD105*Pondération!$D$9</f>
        <v>1.0840980630025731E-3</v>
      </c>
      <c r="S105">
        <f>'Transpo perseq'!AE105*Pondération!$D$11</f>
        <v>6.4997990431304412E-4</v>
      </c>
      <c r="U105">
        <f t="shared" si="1"/>
        <v>3.9525247653480082E-2</v>
      </c>
    </row>
    <row r="106" spans="1:21" x14ac:dyDescent="0.3">
      <c r="A106" t="s">
        <v>1</v>
      </c>
      <c r="B106" t="s">
        <v>30</v>
      </c>
      <c r="C106" t="s">
        <v>58</v>
      </c>
      <c r="D106">
        <f>'Transpo perseq'!D106*Pondération!$D$17</f>
        <v>1.3987200000000001E-5</v>
      </c>
      <c r="E106">
        <f>'Transpo perseq'!E106*Pondération!$D$2</f>
        <v>1.2299040000000001E-4</v>
      </c>
      <c r="F106">
        <f>'Transpo perseq'!I106*Pondération!$D$12</f>
        <v>3.6249599999999998E-6</v>
      </c>
      <c r="G106">
        <f>'Transpo perseq'!M106*Pondération!$D$15</f>
        <v>3.3958400000000001E-8</v>
      </c>
      <c r="H106">
        <f>'Transpo perseq'!N106*Pondération!$D$14</f>
        <v>4.3334400000000001E-6</v>
      </c>
      <c r="I106">
        <f>'Transpo perseq'!O106*Pondération!$D$16</f>
        <v>6.3515199999999998E-6</v>
      </c>
      <c r="J106">
        <f>'Transpo perseq'!P106*Pondération!$D$4</f>
        <v>5.1460799999999992E-7</v>
      </c>
      <c r="K106">
        <f>'Transpo perseq'!T106*Pondération!$D$5</f>
        <v>4.0512642236937047E-6</v>
      </c>
      <c r="L106">
        <f>'Transpo perseq'!X106*Pondération!$D$7</f>
        <v>1.8602912919909911E-6</v>
      </c>
      <c r="M106">
        <f>'Transpo perseq'!Y106*Pondération!$D$13</f>
        <v>2.4653875712645908E-7</v>
      </c>
      <c r="N106">
        <f>'Transpo perseq'!Z106*Pondération!$D$3</f>
        <v>4.6692877631354848E-15</v>
      </c>
      <c r="O106">
        <f>'Transpo perseq'!AA106*Pondération!$D$6</f>
        <v>2.2973413428141858E-5</v>
      </c>
      <c r="P106">
        <f>'Transpo perseq'!AB106*Pondération!$D$8</f>
        <v>1.1274592509610573E-5</v>
      </c>
      <c r="Q106">
        <f>'Transpo perseq'!AC106*Pondération!$D$10</f>
        <v>6.6374740582992689E-5</v>
      </c>
      <c r="R106">
        <f>'Transpo perseq'!AD106*Pondération!$D$9</f>
        <v>1.8978623815297353E-6</v>
      </c>
      <c r="S106">
        <f>'Transpo perseq'!AE106*Pondération!$D$11</f>
        <v>1.1864218691786988E-5</v>
      </c>
      <c r="U106">
        <f t="shared" si="1"/>
        <v>2.7237900827154231E-4</v>
      </c>
    </row>
    <row r="107" spans="1:21" x14ac:dyDescent="0.3">
      <c r="A107" t="s">
        <v>1</v>
      </c>
      <c r="B107" t="s">
        <v>30</v>
      </c>
      <c r="C107" t="s">
        <v>74</v>
      </c>
      <c r="D107">
        <f>'Transpo perseq'!D107*Pondération!$D$17</f>
        <v>4.9996800000000003E-8</v>
      </c>
      <c r="E107">
        <f>'Transpo perseq'!E107*Pondération!$D$2</f>
        <v>5.2565760000000004E-7</v>
      </c>
      <c r="F107">
        <f>'Transpo perseq'!I107*Pondération!$D$12</f>
        <v>2.2886399999999998E-7</v>
      </c>
      <c r="G107">
        <f>'Transpo perseq'!M107*Pondération!$D$15</f>
        <v>1.0662400000000002E-8</v>
      </c>
      <c r="H107">
        <f>'Transpo perseq'!N107*Pondération!$D$14</f>
        <v>1.9985920000000002E-8</v>
      </c>
      <c r="I107">
        <f>'Transpo perseq'!O107*Pondération!$D$16</f>
        <v>2.944256E-8</v>
      </c>
      <c r="J107">
        <f>'Transpo perseq'!P107*Pondération!$D$4</f>
        <v>7.5998400000000005E-9</v>
      </c>
      <c r="K107">
        <f>'Transpo perseq'!T107*Pondération!$D$5</f>
        <v>4.0072908626021274E-8</v>
      </c>
      <c r="L107">
        <f>'Transpo perseq'!X107*Pondération!$D$7</f>
        <v>3.5494524187139504E-8</v>
      </c>
      <c r="M107">
        <f>'Transpo perseq'!Y107*Pondération!$D$13</f>
        <v>2.3641229348621947E-10</v>
      </c>
      <c r="N107">
        <f>'Transpo perseq'!Z107*Pondération!$D$3</f>
        <v>3.0729029769761292E-16</v>
      </c>
      <c r="O107">
        <f>'Transpo perseq'!AA107*Pondération!$D$6</f>
        <v>3.7252432969185852E-8</v>
      </c>
      <c r="P107">
        <f>'Transpo perseq'!AB107*Pondération!$D$8</f>
        <v>4.2127928625181031E-8</v>
      </c>
      <c r="Q107">
        <f>'Transpo perseq'!AC107*Pondération!$D$10</f>
        <v>4.3305569844201128E-7</v>
      </c>
      <c r="R107">
        <f>'Transpo perseq'!AD107*Pondération!$D$9</f>
        <v>-4.5953371454806586E-10</v>
      </c>
      <c r="S107">
        <f>'Transpo perseq'!AE107*Pondération!$D$11</f>
        <v>-7.6946685913369662E-9</v>
      </c>
      <c r="U107">
        <f t="shared" si="1"/>
        <v>1.4522948231444308E-6</v>
      </c>
    </row>
    <row r="108" spans="1:21" x14ac:dyDescent="0.3">
      <c r="A108" t="s">
        <v>1</v>
      </c>
      <c r="B108" t="s">
        <v>30</v>
      </c>
      <c r="C108" t="s">
        <v>59</v>
      </c>
      <c r="D108">
        <f>'Transpo perseq'!D108*Pondération!$D$17</f>
        <v>7.8367999999999999E-7</v>
      </c>
      <c r="E108">
        <f>'Transpo perseq'!E108*Pondération!$D$2</f>
        <v>7.6152960000000005E-6</v>
      </c>
      <c r="F108">
        <f>'Transpo perseq'!I108*Pondération!$D$12</f>
        <v>1.3701119999999998E-5</v>
      </c>
      <c r="G108">
        <f>'Transpo perseq'!M108*Pondération!$D$15</f>
        <v>1.79648E-7</v>
      </c>
      <c r="H108">
        <f>'Transpo perseq'!N108*Pondération!$D$14</f>
        <v>3.2488960000000002E-7</v>
      </c>
      <c r="I108">
        <f>'Transpo perseq'!O108*Pondération!$D$16</f>
        <v>3.9296320000000001E-7</v>
      </c>
      <c r="J108">
        <f>'Transpo perseq'!P108*Pondération!$D$4</f>
        <v>5.2824000000000002E-7</v>
      </c>
      <c r="K108">
        <f>'Transpo perseq'!T108*Pondération!$D$5</f>
        <v>3.3683551531980609E-6</v>
      </c>
      <c r="L108">
        <f>'Transpo perseq'!X108*Pondération!$D$7</f>
        <v>9.0823912780837965E-7</v>
      </c>
      <c r="M108">
        <f>'Transpo perseq'!Y108*Pondération!$D$13</f>
        <v>3.5228164819544653E-9</v>
      </c>
      <c r="N108">
        <f>'Transpo perseq'!Z108*Pondération!$D$3</f>
        <v>1.4202452983566791E-14</v>
      </c>
      <c r="O108">
        <f>'Transpo perseq'!AA108*Pondération!$D$6</f>
        <v>8.1002874781908315E-7</v>
      </c>
      <c r="P108">
        <f>'Transpo perseq'!AB108*Pondération!$D$8</f>
        <v>7.0600255884018835E-7</v>
      </c>
      <c r="Q108">
        <f>'Transpo perseq'!AC108*Pondération!$D$10</f>
        <v>6.9533120807203123E-6</v>
      </c>
      <c r="R108">
        <f>'Transpo perseq'!AD108*Pondération!$D$9</f>
        <v>1.7102879460688384E-7</v>
      </c>
      <c r="S108">
        <f>'Transpo perseq'!AE108*Pondération!$D$11</f>
        <v>1.572831328782934E-5</v>
      </c>
      <c r="U108">
        <f t="shared" si="1"/>
        <v>5.2174639381506648E-5</v>
      </c>
    </row>
    <row r="109" spans="1:21" x14ac:dyDescent="0.3">
      <c r="A109" t="s">
        <v>1</v>
      </c>
      <c r="B109" t="s">
        <v>30</v>
      </c>
      <c r="C109" t="s">
        <v>56</v>
      </c>
      <c r="D109">
        <f>'Transpo perseq'!D109*Pondération!$D$17</f>
        <v>4.2060799999999999E-10</v>
      </c>
      <c r="E109">
        <f>'Transpo perseq'!E109*Pondération!$D$2</f>
        <v>1.6072992000000002E-9</v>
      </c>
      <c r="F109">
        <f>'Transpo perseq'!I109*Pondération!$D$12</f>
        <v>1.2257279999999998E-10</v>
      </c>
      <c r="G109">
        <f>'Transpo perseq'!M109*Pondération!$D$15</f>
        <v>9.632000000000001E-11</v>
      </c>
      <c r="H109">
        <f>'Transpo perseq'!N109*Pondération!$D$14</f>
        <v>2.074368E-10</v>
      </c>
      <c r="I109">
        <f>'Transpo perseq'!O109*Pondération!$D$16</f>
        <v>2.8908319999999998E-10</v>
      </c>
      <c r="J109">
        <f>'Transpo perseq'!P109*Pondération!$D$4</f>
        <v>3.2103359999999999E-11</v>
      </c>
      <c r="K109">
        <f>'Transpo perseq'!T109*Pondération!$D$5</f>
        <v>1.4587517661909263E-10</v>
      </c>
      <c r="L109">
        <f>'Transpo perseq'!X109*Pondération!$D$7</f>
        <v>-5.9411299369749807E-10</v>
      </c>
      <c r="M109">
        <f>'Transpo perseq'!Y109*Pondération!$D$13</f>
        <v>7.7043707305872082E-9</v>
      </c>
      <c r="N109">
        <f>'Transpo perseq'!Z109*Pondération!$D$3</f>
        <v>1.1882296636162024E-12</v>
      </c>
      <c r="O109">
        <f>'Transpo perseq'!AA109*Pondération!$D$6</f>
        <v>7.1930839024012881E-10</v>
      </c>
      <c r="P109">
        <f>'Transpo perseq'!AB109*Pondération!$D$8</f>
        <v>4.5654264089688571E-10</v>
      </c>
      <c r="Q109">
        <f>'Transpo perseq'!AC109*Pondération!$D$10</f>
        <v>-3.1484253799032718E-10</v>
      </c>
      <c r="R109">
        <f>'Transpo perseq'!AD109*Pondération!$D$9</f>
        <v>1.7559202370080932E-11</v>
      </c>
      <c r="S109">
        <f>'Transpo perseq'!AE109*Pondération!$D$11</f>
        <v>1.4863542194658521E-8</v>
      </c>
      <c r="U109">
        <f t="shared" si="1"/>
        <v>2.5774854393347708E-8</v>
      </c>
    </row>
    <row r="110" spans="1:21" x14ac:dyDescent="0.3">
      <c r="A110" t="s">
        <v>1</v>
      </c>
      <c r="B110" t="s">
        <v>30</v>
      </c>
      <c r="C110" t="s">
        <v>57</v>
      </c>
      <c r="D110">
        <f>'Transpo perseq'!D110*Pondération!$D$17</f>
        <v>8.8369939534192098E-5</v>
      </c>
      <c r="E110">
        <f>'Transpo perseq'!E110*Pondération!$D$2</f>
        <v>3.446659849666341E-4</v>
      </c>
      <c r="F110">
        <f>'Transpo perseq'!I110*Pondération!$D$12</f>
        <v>5.88099084193923E-5</v>
      </c>
      <c r="G110">
        <f>'Transpo perseq'!M110*Pondération!$D$15</f>
        <v>6.847479865053139E-7</v>
      </c>
      <c r="H110">
        <f>'Transpo perseq'!N110*Pondération!$D$14</f>
        <v>5.8613693976516053E-5</v>
      </c>
      <c r="I110">
        <f>'Transpo perseq'!O110*Pondération!$D$16</f>
        <v>8.9902374346228977E-5</v>
      </c>
      <c r="J110">
        <f>'Transpo perseq'!P110*Pondération!$D$4</f>
        <v>3.3339454846475285E-6</v>
      </c>
      <c r="K110">
        <f>'Transpo perseq'!T110*Pondération!$D$5</f>
        <v>1.1757502693196119E-5</v>
      </c>
      <c r="L110">
        <f>'Transpo perseq'!X110*Pondération!$D$7</f>
        <v>5.5686119069303839E-7</v>
      </c>
      <c r="M110">
        <f>'Transpo perseq'!Y110*Pondération!$D$13</f>
        <v>5.8670369306329596E-6</v>
      </c>
      <c r="N110">
        <f>'Transpo perseq'!Z110*Pondération!$D$3</f>
        <v>3.0714787293753999E-15</v>
      </c>
      <c r="O110">
        <f>'Transpo perseq'!AA110*Pondération!$D$6</f>
        <v>4.4249409517055164E-5</v>
      </c>
      <c r="P110">
        <f>'Transpo perseq'!AB110*Pondération!$D$8</f>
        <v>8.7924665165826154E-5</v>
      </c>
      <c r="Q110">
        <f>'Transpo perseq'!AC110*Pondération!$D$10</f>
        <v>2.2549525337402151E-4</v>
      </c>
      <c r="R110">
        <f>'Transpo perseq'!AD110*Pondération!$D$9</f>
        <v>1.3968044397109067E-6</v>
      </c>
      <c r="S110">
        <f>'Transpo perseq'!AE110*Pondération!$D$11</f>
        <v>9.1077702037579792E-7</v>
      </c>
      <c r="U110">
        <f t="shared" si="1"/>
        <v>1.0225389050486993E-3</v>
      </c>
    </row>
    <row r="111" spans="1:21" x14ac:dyDescent="0.3">
      <c r="A111" t="s">
        <v>1</v>
      </c>
      <c r="B111" t="s">
        <v>30</v>
      </c>
      <c r="C111" t="s">
        <v>81</v>
      </c>
      <c r="D111">
        <f>'Transpo perseq'!D111*Pondération!$D$17</f>
        <v>1.8402917482949107E-6</v>
      </c>
      <c r="E111">
        <f>'Transpo perseq'!E111*Pondération!$D$2</f>
        <v>2.170029498824304E-5</v>
      </c>
      <c r="F111">
        <f>'Transpo perseq'!I111*Pondération!$D$12</f>
        <v>4.8447353030270053E-6</v>
      </c>
      <c r="G111">
        <f>'Transpo perseq'!M111*Pondération!$D$15</f>
        <v>4.010791648932029E-8</v>
      </c>
      <c r="H111">
        <f>'Transpo perseq'!N111*Pondération!$D$14</f>
        <v>8.2454960838011627E-7</v>
      </c>
      <c r="I111">
        <f>'Transpo perseq'!O111*Pondération!$D$16</f>
        <v>1.1606047423436188E-6</v>
      </c>
      <c r="J111">
        <f>'Transpo perseq'!P111*Pondération!$D$4</f>
        <v>2.8369401423667575E-7</v>
      </c>
      <c r="K111">
        <f>'Transpo perseq'!T111*Pondération!$D$5</f>
        <v>9.5121399666396186E-7</v>
      </c>
      <c r="L111">
        <f>'Transpo perseq'!X111*Pondération!$D$7</f>
        <v>4.5369002034989078E-7</v>
      </c>
      <c r="M111">
        <f>'Transpo perseq'!Y111*Pondération!$D$13</f>
        <v>5.7251142504266282E-8</v>
      </c>
      <c r="N111">
        <f>'Transpo perseq'!Z111*Pondération!$D$3</f>
        <v>1.4367831307393582E-9</v>
      </c>
      <c r="O111">
        <f>'Transpo perseq'!AA111*Pondération!$D$6</f>
        <v>2.0888813116698994E-6</v>
      </c>
      <c r="P111">
        <f>'Transpo perseq'!AB111*Pondération!$D$8</f>
        <v>2.1350440721325688E-6</v>
      </c>
      <c r="Q111">
        <f>'Transpo perseq'!AC111*Pondération!$D$10</f>
        <v>2.0553975202317636E-5</v>
      </c>
      <c r="R111">
        <f>'Transpo perseq'!AD111*Pondération!$D$9</f>
        <v>1.754028565103506E-6</v>
      </c>
      <c r="S111">
        <f>'Transpo perseq'!AE111*Pondération!$D$11</f>
        <v>1.0766971604617679E-6</v>
      </c>
      <c r="U111">
        <f t="shared" si="1"/>
        <v>5.9766496575348919E-5</v>
      </c>
    </row>
    <row r="112" spans="1:21" x14ac:dyDescent="0.3">
      <c r="A112" t="s">
        <v>1</v>
      </c>
      <c r="B112" t="s">
        <v>31</v>
      </c>
      <c r="C112" t="s">
        <v>87</v>
      </c>
      <c r="D112">
        <f>'Transpo perseq'!D112*Pondération!$D$17</f>
        <v>7.9756799999999992E-6</v>
      </c>
      <c r="E112">
        <f>'Transpo perseq'!E112*Pondération!$D$2</f>
        <v>7.0424640000000006E-5</v>
      </c>
      <c r="F112">
        <f>'Transpo perseq'!I112*Pondération!$D$12</f>
        <v>2.0674559999999997E-6</v>
      </c>
      <c r="G112">
        <f>'Transpo perseq'!M112*Pondération!$D$15</f>
        <v>1.9443199999999998E-8</v>
      </c>
      <c r="H112">
        <f>'Transpo perseq'!N112*Pondération!$D$14</f>
        <v>2.4816640000000002E-6</v>
      </c>
      <c r="I112">
        <f>'Transpo perseq'!O112*Pondération!$D$16</f>
        <v>3.6209600000000003E-6</v>
      </c>
      <c r="J112">
        <f>'Transpo perseq'!P112*Pondération!$D$4</f>
        <v>2.9376959999999999E-7</v>
      </c>
      <c r="K112">
        <f>'Transpo perseq'!T112*Pondération!$D$5</f>
        <v>2.3174498720008925E-6</v>
      </c>
      <c r="L112">
        <f>'Transpo perseq'!X112*Pondération!$D$7</f>
        <v>1.064144814671763E-6</v>
      </c>
      <c r="M112">
        <f>'Transpo perseq'!Y112*Pondération!$D$13</f>
        <v>1.4102788156953439E-7</v>
      </c>
      <c r="N112">
        <f>'Transpo perseq'!Z112*Pondération!$D$3</f>
        <v>2.6709786702452676E-15</v>
      </c>
      <c r="O112">
        <f>'Transpo perseq'!AA112*Pondération!$D$6</f>
        <v>1.314151116017066E-5</v>
      </c>
      <c r="P112">
        <f>'Transpo perseq'!AB112*Pondération!$D$8</f>
        <v>6.449419619547056E-6</v>
      </c>
      <c r="Q112">
        <f>'Transpo perseq'!AC112*Pondération!$D$10</f>
        <v>3.7968428020205629E-5</v>
      </c>
      <c r="R112">
        <f>'Transpo perseq'!AD112*Pondération!$D$9</f>
        <v>1.0856366532275606E-6</v>
      </c>
      <c r="S112">
        <f>'Transpo perseq'!AE112*Pondération!$D$11</f>
        <v>6.7867042410786286E-6</v>
      </c>
      <c r="U112">
        <f t="shared" si="1"/>
        <v>1.5583793506514267E-4</v>
      </c>
    </row>
    <row r="113" spans="1:21" x14ac:dyDescent="0.3">
      <c r="A113" t="s">
        <v>1</v>
      </c>
      <c r="B113" t="s">
        <v>31</v>
      </c>
      <c r="C113" t="s">
        <v>70</v>
      </c>
      <c r="D113">
        <f>'Transpo perseq'!D113*Pondération!$D$17</f>
        <v>1.26976E-2</v>
      </c>
      <c r="E113">
        <f>'Transpo perseq'!E113*Pondération!$D$2</f>
        <v>6.6044160000000005E-2</v>
      </c>
      <c r="F113">
        <f>'Transpo perseq'!I113*Pondération!$D$12</f>
        <v>5.1916799999999989E-3</v>
      </c>
      <c r="G113">
        <f>'Transpo perseq'!M113*Pondération!$D$15</f>
        <v>1.6441599999999999E-4</v>
      </c>
      <c r="H113">
        <f>'Transpo perseq'!N113*Pondération!$D$14</f>
        <v>2.690048E-3</v>
      </c>
      <c r="I113">
        <f>'Transpo perseq'!O113*Pondération!$D$16</f>
        <v>4.0602240000000003E-3</v>
      </c>
      <c r="J113">
        <f>'Transpo perseq'!P113*Pondération!$D$4</f>
        <v>1.4654399999999999E-3</v>
      </c>
      <c r="K113">
        <f>'Transpo perseq'!T113*Pondération!$D$5</f>
        <v>2.2173445161681659E-3</v>
      </c>
      <c r="L113">
        <f>'Transpo perseq'!X113*Pondération!$D$7</f>
        <v>4.8930016131286374E-3</v>
      </c>
      <c r="M113">
        <f>'Transpo perseq'!Y113*Pondération!$D$13</f>
        <v>4.625487460714516E-4</v>
      </c>
      <c r="N113">
        <f>'Transpo perseq'!Z113*Pondération!$D$3</f>
        <v>2.9029403660256946E-5</v>
      </c>
      <c r="O113">
        <f>'Transpo perseq'!AA113*Pondération!$D$6</f>
        <v>1.7951499891143311E-2</v>
      </c>
      <c r="P113">
        <f>'Transpo perseq'!AB113*Pondération!$D$8</f>
        <v>6.4471508846429115E-3</v>
      </c>
      <c r="Q113">
        <f>'Transpo perseq'!AC113*Pondération!$D$10</f>
        <v>4.4135341538533941E-2</v>
      </c>
      <c r="R113">
        <f>'Transpo perseq'!AD113*Pondération!$D$9</f>
        <v>4.5015026495306421E-2</v>
      </c>
      <c r="S113">
        <f>'Transpo perseq'!AE113*Pondération!$D$11</f>
        <v>6.4450248488731599E-3</v>
      </c>
      <c r="U113">
        <f t="shared" si="1"/>
        <v>0.21990953593752827</v>
      </c>
    </row>
    <row r="114" spans="1:21" x14ac:dyDescent="0.3">
      <c r="A114" t="s">
        <v>1</v>
      </c>
      <c r="B114" t="s">
        <v>31</v>
      </c>
      <c r="C114" t="s">
        <v>58</v>
      </c>
      <c r="D114">
        <f>'Transpo perseq'!D114*Pondération!$D$17</f>
        <v>8.1145599999999998E-5</v>
      </c>
      <c r="E114">
        <f>'Transpo perseq'!E114*Pondération!$D$2</f>
        <v>7.1435520000000003E-4</v>
      </c>
      <c r="F114">
        <f>'Transpo perseq'!I114*Pondération!$D$12</f>
        <v>2.1043199999999999E-5</v>
      </c>
      <c r="G114">
        <f>'Transpo perseq'!M114*Pondération!$D$15</f>
        <v>1.9756800000000001E-7</v>
      </c>
      <c r="H114">
        <f>'Transpo perseq'!N114*Pondération!$D$14</f>
        <v>2.524288E-5</v>
      </c>
      <c r="I114">
        <f>'Transpo perseq'!O114*Pondération!$D$16</f>
        <v>3.68032E-5</v>
      </c>
      <c r="J114">
        <f>'Transpo perseq'!P114*Pondération!$D$4</f>
        <v>2.9888160000000001E-6</v>
      </c>
      <c r="K114">
        <f>'Transpo perseq'!T114*Pondération!$D$5</f>
        <v>2.3581068872991538E-5</v>
      </c>
      <c r="L114">
        <f>'Transpo perseq'!X114*Pondération!$D$7</f>
        <v>1.0828140219467073E-5</v>
      </c>
      <c r="M114">
        <f>'Transpo perseq'!Y114*Pondération!$D$13</f>
        <v>1.4350205493040422E-6</v>
      </c>
      <c r="N114">
        <f>'Transpo perseq'!Z114*Pondération!$D$3</f>
        <v>2.717837945161845E-14</v>
      </c>
      <c r="O114">
        <f>'Transpo perseq'!AA114*Pondération!$D$6</f>
        <v>1.3372063987542062E-4</v>
      </c>
      <c r="P114">
        <f>'Transpo perseq'!AB114*Pondération!$D$8</f>
        <v>6.562567332170683E-5</v>
      </c>
      <c r="Q114">
        <f>'Transpo perseq'!AC114*Pondération!$D$10</f>
        <v>3.8634540792489836E-4</v>
      </c>
      <c r="R114">
        <f>'Transpo perseq'!AD114*Pondération!$D$9</f>
        <v>1.104682910301728E-5</v>
      </c>
      <c r="S114">
        <f>'Transpo perseq'!AE114*Pondération!$D$11</f>
        <v>6.9057692277642627E-5</v>
      </c>
      <c r="U114">
        <f t="shared" si="1"/>
        <v>1.583416936171627E-3</v>
      </c>
    </row>
    <row r="115" spans="1:21" x14ac:dyDescent="0.3">
      <c r="A115" t="s">
        <v>1</v>
      </c>
      <c r="B115" t="s">
        <v>31</v>
      </c>
      <c r="C115" t="s">
        <v>73</v>
      </c>
      <c r="D115">
        <f>'Transpo perseq'!D115*Pondération!$D$17</f>
        <v>1.71616E-4</v>
      </c>
      <c r="E115">
        <f>'Transpo perseq'!E115*Pondération!$D$2</f>
        <v>9.1653120000000001E-4</v>
      </c>
      <c r="F115">
        <f>'Transpo perseq'!I115*Pondération!$D$12</f>
        <v>6.2975999999999988E-5</v>
      </c>
      <c r="G115">
        <f>'Transpo perseq'!M115*Pondération!$D$15</f>
        <v>2.54912E-7</v>
      </c>
      <c r="H115">
        <f>'Transpo perseq'!N115*Pondération!$D$14</f>
        <v>3.3720319999999998E-5</v>
      </c>
      <c r="I115">
        <f>'Transpo perseq'!O115*Pondération!$D$16</f>
        <v>5.0990240000000001E-5</v>
      </c>
      <c r="J115">
        <f>'Transpo perseq'!P115*Pondération!$D$4</f>
        <v>2.136816E-5</v>
      </c>
      <c r="K115">
        <f>'Transpo perseq'!T115*Pondération!$D$5</f>
        <v>2.9040551448758964E-5</v>
      </c>
      <c r="L115">
        <f>'Transpo perseq'!X115*Pondération!$D$7</f>
        <v>5.7910570900851549E-5</v>
      </c>
      <c r="M115">
        <f>'Transpo perseq'!Y115*Pondération!$D$13</f>
        <v>3.1500007939185375E-6</v>
      </c>
      <c r="N115">
        <f>'Transpo perseq'!Z115*Pondération!$D$3</f>
        <v>1.2806440150167214E-12</v>
      </c>
      <c r="O115">
        <f>'Transpo perseq'!AA115*Pondération!$D$6</f>
        <v>2.6613121638642957E-4</v>
      </c>
      <c r="P115">
        <f>'Transpo perseq'!AB115*Pondération!$D$8</f>
        <v>8.080880456031948E-5</v>
      </c>
      <c r="Q115">
        <f>'Transpo perseq'!AC115*Pondération!$D$10</f>
        <v>5.5308733969150633E-4</v>
      </c>
      <c r="R115">
        <f>'Transpo perseq'!AD115*Pondération!$D$9</f>
        <v>-2.8492740150159177E-5</v>
      </c>
      <c r="S115">
        <f>'Transpo perseq'!AE115*Pondération!$D$11</f>
        <v>3.8519019797827001E-5</v>
      </c>
      <c r="U115">
        <f t="shared" si="1"/>
        <v>2.2576115967100959E-3</v>
      </c>
    </row>
    <row r="116" spans="1:21" x14ac:dyDescent="0.3">
      <c r="A116" t="s">
        <v>1</v>
      </c>
      <c r="B116" t="s">
        <v>31</v>
      </c>
      <c r="C116" t="s">
        <v>75</v>
      </c>
      <c r="D116">
        <f>'Transpo perseq'!D116*Pondération!$D$17</f>
        <v>1.21024E-5</v>
      </c>
      <c r="E116">
        <f>'Transpo perseq'!E116*Pondération!$D$2</f>
        <v>4.3130880000000003E-5</v>
      </c>
      <c r="F116">
        <f>'Transpo perseq'!I116*Pondération!$D$12</f>
        <v>4.6079999999999998E-6</v>
      </c>
      <c r="G116">
        <f>'Transpo perseq'!M116*Pondération!$D$15</f>
        <v>3.8214400000000002E-8</v>
      </c>
      <c r="H116">
        <f>'Transpo perseq'!N116*Pondération!$D$14</f>
        <v>2.8605439999999999E-6</v>
      </c>
      <c r="I116">
        <f>'Transpo perseq'!O116*Pondération!$D$16</f>
        <v>4.3035999999999998E-6</v>
      </c>
      <c r="J116">
        <f>'Transpo perseq'!P116*Pondération!$D$4</f>
        <v>1.543824E-4</v>
      </c>
      <c r="K116">
        <f>'Transpo perseq'!T116*Pondération!$D$5</f>
        <v>2.1347088130997671E-6</v>
      </c>
      <c r="L116">
        <f>'Transpo perseq'!X116*Pondération!$D$7</f>
        <v>1.2051124247832514E-6</v>
      </c>
      <c r="M116">
        <f>'Transpo perseq'!Y116*Pondération!$D$13</f>
        <v>5.2753288058739446E-7</v>
      </c>
      <c r="N116">
        <f>'Transpo perseq'!Z116*Pondération!$D$3</f>
        <v>6.7797681999298794E-15</v>
      </c>
      <c r="O116">
        <f>'Transpo perseq'!AA116*Pondération!$D$6</f>
        <v>2.8346441256273527E-5</v>
      </c>
      <c r="P116">
        <f>'Transpo perseq'!AB116*Pondération!$D$8</f>
        <v>6.6436678793728686E-6</v>
      </c>
      <c r="Q116">
        <f>'Transpo perseq'!AC116*Pondération!$D$10</f>
        <v>2.7485140163182671E-5</v>
      </c>
      <c r="R116">
        <f>'Transpo perseq'!AD116*Pondération!$D$9</f>
        <v>3.3822499704036981E-5</v>
      </c>
      <c r="S116">
        <f>'Transpo perseq'!AE116*Pondération!$D$11</f>
        <v>1.0235994348278306E-5</v>
      </c>
      <c r="U116">
        <f t="shared" si="1"/>
        <v>3.3182713587639448E-4</v>
      </c>
    </row>
    <row r="117" spans="1:21" x14ac:dyDescent="0.3">
      <c r="A117" t="s">
        <v>1</v>
      </c>
      <c r="B117" t="s">
        <v>31</v>
      </c>
      <c r="C117" t="s">
        <v>59</v>
      </c>
      <c r="D117">
        <f>'Transpo perseq'!D117*Pondération!$D$17</f>
        <v>1.22016E-5</v>
      </c>
      <c r="E117">
        <f>'Transpo perseq'!E117*Pondération!$D$2</f>
        <v>1.1827296000000001E-4</v>
      </c>
      <c r="F117">
        <f>'Transpo perseq'!I117*Pondération!$D$12</f>
        <v>2.1227519999999998E-4</v>
      </c>
      <c r="G117">
        <f>'Transpo perseq'!M117*Pondération!$D$15</f>
        <v>2.7865599999999999E-6</v>
      </c>
      <c r="H117">
        <f>'Transpo perseq'!N117*Pondération!$D$14</f>
        <v>5.0201600000000004E-6</v>
      </c>
      <c r="I117">
        <f>'Transpo perseq'!O117*Pondération!$D$16</f>
        <v>6.1140799999999999E-6</v>
      </c>
      <c r="J117">
        <f>'Transpo perseq'!P117*Pondération!$D$4</f>
        <v>8.1791999999999995E-6</v>
      </c>
      <c r="K117">
        <f>'Transpo perseq'!T117*Pondération!$D$5</f>
        <v>5.2265101876691086E-5</v>
      </c>
      <c r="L117">
        <f>'Transpo perseq'!X117*Pondération!$D$7</f>
        <v>1.4092697588089253E-5</v>
      </c>
      <c r="M117">
        <f>'Transpo perseq'!Y117*Pondération!$D$13</f>
        <v>5.4661801962131274E-8</v>
      </c>
      <c r="N117">
        <f>'Transpo perseq'!Z117*Pondération!$D$3</f>
        <v>2.2037244243092159E-13</v>
      </c>
      <c r="O117">
        <f>'Transpo perseq'!AA117*Pondération!$D$6</f>
        <v>1.2568815668863556E-5</v>
      </c>
      <c r="P117">
        <f>'Transpo perseq'!AB117*Pondération!$D$8</f>
        <v>1.0954692716399972E-5</v>
      </c>
      <c r="Q117">
        <f>'Transpo perseq'!AC117*Pondération!$D$10</f>
        <v>1.0789110641561453E-4</v>
      </c>
      <c r="R117">
        <f>'Transpo perseq'!AD117*Pondération!$D$9</f>
        <v>2.6537692634606977E-6</v>
      </c>
      <c r="S117">
        <f>'Transpo perseq'!AE117*Pondération!$D$11</f>
        <v>2.4404846251335373E-4</v>
      </c>
      <c r="U117">
        <f t="shared" si="1"/>
        <v>8.0937906806480731E-4</v>
      </c>
    </row>
    <row r="118" spans="1:21" x14ac:dyDescent="0.3">
      <c r="A118" t="s">
        <v>1</v>
      </c>
      <c r="B118" t="s">
        <v>31</v>
      </c>
      <c r="C118" t="s">
        <v>56</v>
      </c>
      <c r="D118">
        <f>'Transpo perseq'!D118*Pondération!$D$17</f>
        <v>9.1207286614532044E-6</v>
      </c>
      <c r="E118">
        <f>'Transpo perseq'!E118*Pondération!$D$2</f>
        <v>3.4819811331042219E-5</v>
      </c>
      <c r="F118">
        <f>'Transpo perseq'!I118*Pondération!$D$12</f>
        <v>2.6437354865947509E-6</v>
      </c>
      <c r="G118">
        <f>'Transpo perseq'!M118*Pondération!$D$15</f>
        <v>2.0799766100194098E-6</v>
      </c>
      <c r="H118">
        <f>'Transpo perseq'!N118*Pondération!$D$14</f>
        <v>4.4985937260387542E-6</v>
      </c>
      <c r="I118">
        <f>'Transpo perseq'!O118*Pondération!$D$16</f>
        <v>6.264573759511244E-6</v>
      </c>
      <c r="J118">
        <f>'Transpo perseq'!P118*Pondération!$D$4</f>
        <v>6.9523649098867819E-7</v>
      </c>
      <c r="K118">
        <f>'Transpo perseq'!T118*Pondération!$D$5</f>
        <v>3.1618238258622159E-6</v>
      </c>
      <c r="L118">
        <f>'Transpo perseq'!X118*Pondération!$D$7</f>
        <v>-1.2893011044416707E-5</v>
      </c>
      <c r="M118">
        <f>'Transpo perseq'!Y118*Pondération!$D$13</f>
        <v>1.6711868327788843E-4</v>
      </c>
      <c r="N118">
        <f>'Transpo perseq'!Z118*Pondération!$D$3</f>
        <v>2.5582649528321523E-8</v>
      </c>
      <c r="O118">
        <f>'Transpo perseq'!AA118*Pondération!$D$6</f>
        <v>1.5575176181599213E-5</v>
      </c>
      <c r="P118">
        <f>'Transpo perseq'!AB118*Pondération!$D$8</f>
        <v>9.8958585923786035E-6</v>
      </c>
      <c r="Q118">
        <f>'Transpo perseq'!AC118*Pondération!$D$10</f>
        <v>-6.8756442303672383E-6</v>
      </c>
      <c r="R118">
        <f>'Transpo perseq'!AD118*Pondération!$D$9</f>
        <v>3.7884759992739277E-7</v>
      </c>
      <c r="S118">
        <f>'Transpo perseq'!AE118*Pondération!$D$11</f>
        <v>3.2005076181687889E-4</v>
      </c>
      <c r="U118">
        <f t="shared" si="1"/>
        <v>5.5656073473492741E-4</v>
      </c>
    </row>
    <row r="119" spans="1:21" x14ac:dyDescent="0.3">
      <c r="A119" t="s">
        <v>1</v>
      </c>
      <c r="B119" t="s">
        <v>31</v>
      </c>
      <c r="C119" t="s">
        <v>88</v>
      </c>
      <c r="D119">
        <f>'Transpo perseq'!D119*Pondération!$D$17</f>
        <v>4.1408639071168286E-7</v>
      </c>
      <c r="E119">
        <f>'Transpo perseq'!E119*Pondération!$D$2</f>
        <v>5.9414331007894785E-6</v>
      </c>
      <c r="F119">
        <f>'Transpo perseq'!I119*Pondération!$D$12</f>
        <v>1.546984297713537E-6</v>
      </c>
      <c r="G119">
        <f>'Transpo perseq'!M119*Pondération!$D$15</f>
        <v>6.3928263604867202E-9</v>
      </c>
      <c r="H119">
        <f>'Transpo perseq'!N119*Pondération!$D$14</f>
        <v>1.6733543670231266E-7</v>
      </c>
      <c r="I119">
        <f>'Transpo perseq'!O119*Pondération!$D$16</f>
        <v>2.5189961012150559E-7</v>
      </c>
      <c r="J119">
        <f>'Transpo perseq'!P119*Pondération!$D$4</f>
        <v>9.5060108584300043E-8</v>
      </c>
      <c r="K119">
        <f>'Transpo perseq'!T119*Pondération!$D$5</f>
        <v>2.8800374840492593E-7</v>
      </c>
      <c r="L119">
        <f>'Transpo perseq'!X119*Pondération!$D$7</f>
        <v>8.9121958410416539E-7</v>
      </c>
      <c r="M119">
        <f>'Transpo perseq'!Y119*Pondération!$D$13</f>
        <v>3.0387003585102868E-8</v>
      </c>
      <c r="N119">
        <f>'Transpo perseq'!Z119*Pondération!$D$3</f>
        <v>1.5045029334080747E-15</v>
      </c>
      <c r="O119">
        <f>'Transpo perseq'!AA119*Pondération!$D$6</f>
        <v>4.8214617700049638E-7</v>
      </c>
      <c r="P119">
        <f>'Transpo perseq'!AB119*Pondération!$D$8</f>
        <v>4.5029442666435526E-7</v>
      </c>
      <c r="Q119">
        <f>'Transpo perseq'!AC119*Pondération!$D$10</f>
        <v>9.0548378675359079E-6</v>
      </c>
      <c r="R119">
        <f>'Transpo perseq'!AD119*Pondération!$D$9</f>
        <v>1.4758742986331107E-7</v>
      </c>
      <c r="S119">
        <f>'Transpo perseq'!AE119*Pondération!$D$11</f>
        <v>1.872635285429755E-7</v>
      </c>
      <c r="U119">
        <f t="shared" si="1"/>
        <v>1.9954931538189047E-5</v>
      </c>
    </row>
    <row r="120" spans="1:21" x14ac:dyDescent="0.3">
      <c r="A120" t="s">
        <v>1</v>
      </c>
      <c r="B120" t="s">
        <v>31</v>
      </c>
      <c r="C120" t="s">
        <v>57</v>
      </c>
      <c r="D120">
        <f>'Transpo perseq'!D120*Pondération!$D$17</f>
        <v>1.4655001774526634E-4</v>
      </c>
      <c r="E120">
        <f>'Transpo perseq'!E120*Pondération!$D$2</f>
        <v>5.7158357784669765E-4</v>
      </c>
      <c r="F120">
        <f>'Transpo perseq'!I120*Pondération!$D$12</f>
        <v>9.7528561950919058E-5</v>
      </c>
      <c r="G120">
        <f>'Transpo perseq'!M120*Pondération!$D$15</f>
        <v>1.1355652171127891E-6</v>
      </c>
      <c r="H120">
        <f>'Transpo perseq'!N120*Pondération!$D$14</f>
        <v>9.7203165891614421E-5</v>
      </c>
      <c r="I120">
        <f>'Transpo perseq'!O120*Pondération!$D$16</f>
        <v>1.4909136099027902E-4</v>
      </c>
      <c r="J120">
        <f>'Transpo perseq'!P120*Pondération!$D$4</f>
        <v>5.5289137065415726E-6</v>
      </c>
      <c r="K120">
        <f>'Transpo perseq'!T120*Pondération!$D$5</f>
        <v>1.9498284568376521E-5</v>
      </c>
      <c r="L120">
        <f>'Transpo perseq'!X120*Pondération!$D$7</f>
        <v>9.2348164780783539E-7</v>
      </c>
      <c r="M120">
        <f>'Transpo perseq'!Y120*Pondération!$D$13</f>
        <v>9.7297154533382341E-6</v>
      </c>
      <c r="N120">
        <f>'Transpo perseq'!Z120*Pondération!$D$3</f>
        <v>5.0936468290782232E-15</v>
      </c>
      <c r="O120">
        <f>'Transpo perseq'!AA120*Pondération!$D$6</f>
        <v>7.338187379242109E-5</v>
      </c>
      <c r="P120">
        <f>'Transpo perseq'!AB120*Pondération!$D$8</f>
        <v>1.4581158828690577E-4</v>
      </c>
      <c r="Q120">
        <f>'Transpo perseq'!AC120*Pondération!$D$10</f>
        <v>3.7395446412690728E-4</v>
      </c>
      <c r="R120">
        <f>'Transpo perseq'!AD120*Pondération!$D$9</f>
        <v>2.3164179641324339E-6</v>
      </c>
      <c r="S120">
        <f>'Transpo perseq'!AE120*Pondération!$D$11</f>
        <v>1.5104048865667933E-6</v>
      </c>
      <c r="U120">
        <f t="shared" si="1"/>
        <v>1.6957473940799801E-3</v>
      </c>
    </row>
    <row r="121" spans="1:21" x14ac:dyDescent="0.3">
      <c r="A121" t="s">
        <v>1</v>
      </c>
      <c r="B121" t="s">
        <v>32</v>
      </c>
      <c r="C121" t="s">
        <v>58</v>
      </c>
      <c r="D121">
        <f>'Transpo perseq'!D121*Pondération!$D$17</f>
        <v>6.0313600000000001E-6</v>
      </c>
      <c r="E121">
        <f>'Transpo perseq'!E121*Pondération!$D$2</f>
        <v>5.3239680000000003E-5</v>
      </c>
      <c r="F121">
        <f>'Transpo perseq'!I121*Pondération!$D$12</f>
        <v>1.5605759999999997E-6</v>
      </c>
      <c r="G121">
        <f>'Transpo perseq'!M121*Pondération!$D$15</f>
        <v>1.4694400000000001E-8</v>
      </c>
      <c r="H121">
        <f>'Transpo perseq'!N121*Pondération!$D$14</f>
        <v>1.8754560000000001E-6</v>
      </c>
      <c r="I121">
        <f>'Transpo perseq'!O121*Pondération!$D$16</f>
        <v>2.7364959999999999E-6</v>
      </c>
      <c r="J121">
        <f>'Transpo perseq'!P121*Pondération!$D$4</f>
        <v>2.2186079999999999E-7</v>
      </c>
      <c r="K121">
        <f>'Transpo perseq'!T121*Pondération!$D$5</f>
        <v>1.7513456566894335E-6</v>
      </c>
      <c r="L121">
        <f>'Transpo perseq'!X121*Pondération!$D$7</f>
        <v>8.0419663949618211E-7</v>
      </c>
      <c r="M121">
        <f>'Transpo perseq'!Y121*Pondération!$D$13</f>
        <v>1.0657773911013054E-7</v>
      </c>
      <c r="N121">
        <f>'Transpo perseq'!Z121*Pondération!$D$3</f>
        <v>2.0185148122342474E-15</v>
      </c>
      <c r="O121">
        <f>'Transpo perseq'!AA121*Pondération!$D$6</f>
        <v>9.9313166471338084E-6</v>
      </c>
      <c r="P121">
        <f>'Transpo perseq'!AB121*Pondération!$D$8</f>
        <v>4.8739621837468586E-6</v>
      </c>
      <c r="Q121">
        <f>'Transpo perseq'!AC121*Pondération!$D$10</f>
        <v>2.869354039019613E-5</v>
      </c>
      <c r="R121">
        <f>'Transpo perseq'!AD121*Pondération!$D$9</f>
        <v>8.2043847435255664E-7</v>
      </c>
      <c r="S121">
        <f>'Transpo perseq'!AE121*Pondération!$D$11</f>
        <v>5.1288552729671885E-6</v>
      </c>
      <c r="U121">
        <f t="shared" si="1"/>
        <v>1.177903562057108E-4</v>
      </c>
    </row>
    <row r="122" spans="1:21" x14ac:dyDescent="0.3">
      <c r="A122" t="s">
        <v>1</v>
      </c>
      <c r="B122" t="s">
        <v>32</v>
      </c>
      <c r="C122" t="s">
        <v>89</v>
      </c>
      <c r="D122">
        <f>'Transpo perseq'!D122*Pondération!$D$17</f>
        <v>4.3945600000000002E-5</v>
      </c>
      <c r="E122">
        <f>'Transpo perseq'!E122*Pondération!$D$2</f>
        <v>3.8750400000000005E-4</v>
      </c>
      <c r="F122">
        <f>'Transpo perseq'!I122*Pondération!$D$12</f>
        <v>7.9871999999999983E-5</v>
      </c>
      <c r="G122">
        <f>'Transpo perseq'!M122*Pondération!$D$15</f>
        <v>1.27232E-5</v>
      </c>
      <c r="H122">
        <f>'Transpo perseq'!N122*Pondération!$D$14</f>
        <v>1.4113279999999999E-5</v>
      </c>
      <c r="I122">
        <f>'Transpo perseq'!O122*Pondération!$D$16</f>
        <v>1.9588800000000001E-5</v>
      </c>
      <c r="J122">
        <f>'Transpo perseq'!P122*Pondération!$D$4</f>
        <v>7.1227200000000001E-6</v>
      </c>
      <c r="K122">
        <f>'Transpo perseq'!T122*Pondération!$D$5</f>
        <v>2.2709933335888179E-5</v>
      </c>
      <c r="L122">
        <f>'Transpo perseq'!X122*Pondération!$D$7</f>
        <v>6.495082506325988E-5</v>
      </c>
      <c r="M122">
        <f>'Transpo perseq'!Y122*Pondération!$D$13</f>
        <v>2.2976734398300245E-6</v>
      </c>
      <c r="N122">
        <f>'Transpo perseq'!Z122*Pondération!$D$3</f>
        <v>2.1392169407672155E-7</v>
      </c>
      <c r="O122">
        <f>'Transpo perseq'!AA122*Pondération!$D$6</f>
        <v>5.0716707354075894E-5</v>
      </c>
      <c r="P122">
        <f>'Transpo perseq'!AB122*Pondération!$D$8</f>
        <v>4.0535466113109268E-5</v>
      </c>
      <c r="Q122">
        <f>'Transpo perseq'!AC122*Pondération!$D$10</f>
        <v>5.8031914151610345E-4</v>
      </c>
      <c r="R122">
        <f>'Transpo perseq'!AD122*Pondération!$D$9</f>
        <v>1.1479517712276096E-5</v>
      </c>
      <c r="S122">
        <f>'Transpo perseq'!AE122*Pondération!$D$11</f>
        <v>1.5853860341155971E-4</v>
      </c>
      <c r="U122">
        <f t="shared" si="1"/>
        <v>1.4966313896401795E-3</v>
      </c>
    </row>
    <row r="123" spans="1:21" x14ac:dyDescent="0.3">
      <c r="A123" t="s">
        <v>1</v>
      </c>
      <c r="B123" t="s">
        <v>32</v>
      </c>
      <c r="C123" t="s">
        <v>73</v>
      </c>
      <c r="D123">
        <f>'Transpo perseq'!D123*Pondération!$D$17</f>
        <v>5.59488E-3</v>
      </c>
      <c r="E123">
        <f>'Transpo perseq'!E123*Pondération!$D$2</f>
        <v>2.6619840000000002E-2</v>
      </c>
      <c r="F123">
        <f>'Transpo perseq'!I123*Pondération!$D$12</f>
        <v>2.1411839999999995E-3</v>
      </c>
      <c r="G123">
        <f>'Transpo perseq'!M123*Pondération!$D$15</f>
        <v>4.7488000000000003E-5</v>
      </c>
      <c r="H123">
        <f>'Transpo perseq'!N123*Pondération!$D$14</f>
        <v>1.0466560000000002E-3</v>
      </c>
      <c r="I123">
        <f>'Transpo perseq'!O123*Pondération!$D$16</f>
        <v>1.5730400000000002E-3</v>
      </c>
      <c r="J123">
        <f>'Transpo perseq'!P123*Pondération!$D$4</f>
        <v>6.8159999999999998E-4</v>
      </c>
      <c r="K123">
        <f>'Transpo perseq'!T123*Pondération!$D$5</f>
        <v>1.020430454658508E-3</v>
      </c>
      <c r="L123">
        <f>'Transpo perseq'!X123*Pondération!$D$7</f>
        <v>1.773339977188383E-3</v>
      </c>
      <c r="M123">
        <f>'Transpo perseq'!Y123*Pondération!$D$13</f>
        <v>1.7317346223836612E-4</v>
      </c>
      <c r="N123">
        <f>'Transpo perseq'!Z123*Pondération!$D$3</f>
        <v>8.033225400027733E-6</v>
      </c>
      <c r="O123">
        <f>'Transpo perseq'!AA123*Pondération!$D$6</f>
        <v>8.1359874753614489E-3</v>
      </c>
      <c r="P123">
        <f>'Transpo perseq'!AB123*Pondération!$D$8</f>
        <v>2.5353013546755014E-3</v>
      </c>
      <c r="Q123">
        <f>'Transpo perseq'!AC123*Pondération!$D$10</f>
        <v>1.6705766007025571E-2</v>
      </c>
      <c r="R123">
        <f>'Transpo perseq'!AD123*Pondération!$D$9</f>
        <v>2.2026052907566429E-2</v>
      </c>
      <c r="S123">
        <f>'Transpo perseq'!AE123*Pondération!$D$11</f>
        <v>2.2766875669547708E-3</v>
      </c>
      <c r="U123">
        <f t="shared" si="1"/>
        <v>9.2359460431069004E-2</v>
      </c>
    </row>
    <row r="124" spans="1:21" x14ac:dyDescent="0.3">
      <c r="A124" t="s">
        <v>1</v>
      </c>
      <c r="B124" t="s">
        <v>32</v>
      </c>
      <c r="C124" t="s">
        <v>74</v>
      </c>
      <c r="D124">
        <f>'Transpo perseq'!D124*Pondération!$D$17</f>
        <v>5.7436800000000002E-7</v>
      </c>
      <c r="E124">
        <f>'Transpo perseq'!E124*Pondération!$D$2</f>
        <v>6.0652799999999996E-6</v>
      </c>
      <c r="F124">
        <f>'Transpo perseq'!I124*Pondération!$D$12</f>
        <v>2.648064E-6</v>
      </c>
      <c r="G124">
        <f>'Transpo perseq'!M124*Pondération!$D$15</f>
        <v>1.2320000000000002E-7</v>
      </c>
      <c r="H124">
        <f>'Transpo perseq'!N124*Pondération!$D$14</f>
        <v>2.2874879999999999E-7</v>
      </c>
      <c r="I124">
        <f>'Transpo perseq'!O124*Pondération!$D$16</f>
        <v>3.3657120000000001E-7</v>
      </c>
      <c r="J124">
        <f>'Transpo perseq'!P124*Pondération!$D$4</f>
        <v>8.7926399999999998E-8</v>
      </c>
      <c r="K124">
        <f>'Transpo perseq'!T124*Pondération!$D$5</f>
        <v>4.6352528071193897E-7</v>
      </c>
      <c r="L124">
        <f>'Transpo perseq'!X124*Pondération!$D$7</f>
        <v>4.1990562897221084E-7</v>
      </c>
      <c r="M124">
        <f>'Transpo perseq'!Y124*Pondération!$D$13</f>
        <v>2.8097628386961382E-9</v>
      </c>
      <c r="N124">
        <f>'Transpo perseq'!Z124*Pondération!$D$3</f>
        <v>3.5586703510148055E-15</v>
      </c>
      <c r="O124">
        <f>'Transpo perseq'!AA124*Pondération!$D$6</f>
        <v>4.3020538103804481E-7</v>
      </c>
      <c r="P124">
        <f>'Transpo perseq'!AB124*Pondération!$D$8</f>
        <v>4.819250807885176E-7</v>
      </c>
      <c r="Q124">
        <f>'Transpo perseq'!AC124*Pondération!$D$10</f>
        <v>5.0301446879063247E-6</v>
      </c>
      <c r="R124">
        <f>'Transpo perseq'!AD124*Pondération!$D$9</f>
        <v>-5.2231630728362801E-9</v>
      </c>
      <c r="S124">
        <f>'Transpo perseq'!AE124*Pondération!$D$11</f>
        <v>-9.0407194676102545E-8</v>
      </c>
      <c r="U124">
        <f t="shared" si="1"/>
        <v>1.6797043868065463E-5</v>
      </c>
    </row>
    <row r="125" spans="1:21" x14ac:dyDescent="0.3">
      <c r="A125" t="s">
        <v>1</v>
      </c>
      <c r="B125" t="s">
        <v>32</v>
      </c>
      <c r="C125" t="s">
        <v>75</v>
      </c>
      <c r="D125">
        <f>'Transpo perseq'!D125*Pondération!$D$17</f>
        <v>2.4204799999999998E-6</v>
      </c>
      <c r="E125">
        <f>'Transpo perseq'!E125*Pondération!$D$2</f>
        <v>8.6261759999999999E-6</v>
      </c>
      <c r="F125">
        <f>'Transpo perseq'!I125*Pondération!$D$12</f>
        <v>9.2159999999999999E-7</v>
      </c>
      <c r="G125">
        <f>'Transpo perseq'!M125*Pondération!$D$15</f>
        <v>7.6608000000000007E-9</v>
      </c>
      <c r="H125">
        <f>'Transpo perseq'!N125*Pondération!$D$14</f>
        <v>5.7305600000000002E-7</v>
      </c>
      <c r="I125">
        <f>'Transpo perseq'!O125*Pondération!$D$16</f>
        <v>8.607200000000001E-7</v>
      </c>
      <c r="J125">
        <f>'Transpo perseq'!P125*Pondération!$D$4</f>
        <v>3.0978719999999997E-5</v>
      </c>
      <c r="K125">
        <f>'Transpo perseq'!T125*Pondération!$D$5</f>
        <v>4.2789479776373603E-7</v>
      </c>
      <c r="L125">
        <f>'Transpo perseq'!X125*Pondération!$D$7</f>
        <v>2.4156050423402507E-7</v>
      </c>
      <c r="M125">
        <f>'Transpo perseq'!Y125*Pondération!$D$13</f>
        <v>1.0574209178669612E-7</v>
      </c>
      <c r="N125">
        <f>'Transpo perseq'!Z125*Pondération!$D$3</f>
        <v>1.3589804496949147E-15</v>
      </c>
      <c r="O125">
        <f>'Transpo perseq'!AA125*Pondération!$D$6</f>
        <v>5.6819434455147645E-6</v>
      </c>
      <c r="P125">
        <f>'Transpo perseq'!AB125*Pondération!$D$8</f>
        <v>1.3316996239528006E-6</v>
      </c>
      <c r="Q125">
        <f>'Transpo perseq'!AC125*Pondération!$D$10</f>
        <v>5.5092987012853774E-6</v>
      </c>
      <c r="R125">
        <f>'Transpo perseq'!AD125*Pondération!$D$9</f>
        <v>6.7795999069811375E-6</v>
      </c>
      <c r="S125">
        <f>'Transpo perseq'!AE125*Pondération!$D$11</f>
        <v>2.0517687024523869E-6</v>
      </c>
      <c r="U125">
        <f t="shared" si="1"/>
        <v>6.6517920575329887E-5</v>
      </c>
    </row>
    <row r="126" spans="1:21" x14ac:dyDescent="0.3">
      <c r="A126" t="s">
        <v>1</v>
      </c>
      <c r="B126" t="s">
        <v>32</v>
      </c>
      <c r="C126" t="s">
        <v>78</v>
      </c>
      <c r="D126">
        <f>'Transpo perseq'!D126*Pondération!$D$17</f>
        <v>1.5499688426808824E-4</v>
      </c>
      <c r="E126">
        <f>'Transpo perseq'!E126*Pondération!$D$2</f>
        <v>1.3653811109682556E-3</v>
      </c>
      <c r="F126">
        <f>'Transpo perseq'!I126*Pondération!$D$12</f>
        <v>2.8157756696433651E-4</v>
      </c>
      <c r="G126">
        <f>'Transpo perseq'!M126*Pondération!$D$15</f>
        <v>4.4990879162177989E-5</v>
      </c>
      <c r="H126">
        <f>'Transpo perseq'!N126*Pondération!$D$14</f>
        <v>4.9872557020362899E-5</v>
      </c>
      <c r="I126">
        <f>'Transpo perseq'!O126*Pondération!$D$16</f>
        <v>6.9209876091674773E-5</v>
      </c>
      <c r="J126">
        <f>'Transpo perseq'!P126*Pondération!$D$4</f>
        <v>2.5152621541091688E-5</v>
      </c>
      <c r="K126">
        <f>'Transpo perseq'!T126*Pondération!$D$5</f>
        <v>8.0179968716503151E-5</v>
      </c>
      <c r="L126">
        <f>'Transpo perseq'!X126*Pondération!$D$7</f>
        <v>2.2931617828457092E-4</v>
      </c>
      <c r="M126">
        <f>'Transpo perseq'!Y126*Pondération!$D$13</f>
        <v>8.1121939814406749E-6</v>
      </c>
      <c r="N126">
        <f>'Transpo perseq'!Z126*Pondération!$D$3</f>
        <v>7.5527455255658927E-7</v>
      </c>
      <c r="O126">
        <f>'Transpo perseq'!AA126*Pondération!$D$6</f>
        <v>1.7906102800520704E-4</v>
      </c>
      <c r="P126">
        <f>'Transpo perseq'!AB126*Pondération!$D$8</f>
        <v>1.4311501301158956E-4</v>
      </c>
      <c r="Q126">
        <f>'Transpo perseq'!AC126*Pondération!$D$10</f>
        <v>2.0488818669854281E-3</v>
      </c>
      <c r="R126">
        <f>'Transpo perseq'!AD126*Pondération!$D$9</f>
        <v>4.0529725800485018E-5</v>
      </c>
      <c r="S126">
        <f>'Transpo perseq'!AE126*Pondération!$D$11</f>
        <v>5.5973833449387254E-4</v>
      </c>
      <c r="U126">
        <f t="shared" si="1"/>
        <v>5.2808710798476401E-3</v>
      </c>
    </row>
    <row r="127" spans="1:21" x14ac:dyDescent="0.3">
      <c r="A127" t="s">
        <v>1</v>
      </c>
      <c r="B127" t="s">
        <v>32</v>
      </c>
      <c r="C127" t="s">
        <v>59</v>
      </c>
      <c r="D127">
        <f>'Transpo perseq'!D127*Pondération!$D$17</f>
        <v>3.1608296924953868E-6</v>
      </c>
      <c r="E127">
        <f>'Transpo perseq'!E127*Pondération!$D$2</f>
        <v>3.0748316662706058E-5</v>
      </c>
      <c r="F127">
        <f>'Transpo perseq'!I127*Pondération!$D$12</f>
        <v>5.522673659912355E-5</v>
      </c>
      <c r="G127">
        <f>'Transpo perseq'!M127*Pondération!$D$15</f>
        <v>7.2440700214741379E-7</v>
      </c>
      <c r="H127">
        <f>'Transpo perseq'!N127*Pondération!$D$14</f>
        <v>1.3109525483932885E-6</v>
      </c>
      <c r="I127">
        <f>'Transpo perseq'!O127*Pondération!$D$16</f>
        <v>1.5847305983610729E-6</v>
      </c>
      <c r="J127">
        <f>'Transpo perseq'!P127*Pondération!$D$4</f>
        <v>2.1261515262360539E-6</v>
      </c>
      <c r="K127">
        <f>'Transpo perseq'!T127*Pondération!$D$5</f>
        <v>1.3588926487939676E-5</v>
      </c>
      <c r="L127">
        <f>'Transpo perseq'!X127*Pondération!$D$7</f>
        <v>3.6641013729032011E-6</v>
      </c>
      <c r="M127">
        <f>'Transpo perseq'!Y127*Pondération!$D$13</f>
        <v>1.4212068510154111E-8</v>
      </c>
      <c r="N127">
        <f>'Transpo perseq'!Z127*Pondération!$D$3</f>
        <v>5.7296835032039669E-14</v>
      </c>
      <c r="O127">
        <f>'Transpo perseq'!AA127*Pondération!$D$6</f>
        <v>3.2678920739045249E-6</v>
      </c>
      <c r="P127">
        <f>'Transpo perseq'!AB127*Pondération!$D$8</f>
        <v>2.8482201062639943E-6</v>
      </c>
      <c r="Q127">
        <f>'Transpo perseq'!AC127*Pondération!$D$10</f>
        <v>2.8051687668059757E-5</v>
      </c>
      <c r="R127">
        <f>'Transpo perseq'!AD127*Pondération!$D$9</f>
        <v>6.8998000849978064E-7</v>
      </c>
      <c r="S127">
        <f>'Transpo perseq'!AE127*Pondération!$D$11</f>
        <v>6.3452600253471916E-5</v>
      </c>
      <c r="U127">
        <f t="shared" si="1"/>
        <v>2.1045974472631265E-4</v>
      </c>
    </row>
    <row r="128" spans="1:21" x14ac:dyDescent="0.3">
      <c r="A128" t="s">
        <v>1</v>
      </c>
      <c r="B128" t="s">
        <v>32</v>
      </c>
      <c r="C128" t="s">
        <v>56</v>
      </c>
      <c r="D128">
        <f>'Transpo perseq'!D128*Pondération!$D$17</f>
        <v>9.1207286614532044E-6</v>
      </c>
      <c r="E128">
        <f>'Transpo perseq'!E128*Pondération!$D$2</f>
        <v>3.4819811331042219E-5</v>
      </c>
      <c r="F128">
        <f>'Transpo perseq'!I128*Pondération!$D$12</f>
        <v>2.6437354865947509E-6</v>
      </c>
      <c r="G128">
        <f>'Transpo perseq'!M128*Pondération!$D$15</f>
        <v>2.0799766100194098E-6</v>
      </c>
      <c r="H128">
        <f>'Transpo perseq'!N128*Pondération!$D$14</f>
        <v>4.4985937260387542E-6</v>
      </c>
      <c r="I128">
        <f>'Transpo perseq'!O128*Pondération!$D$16</f>
        <v>6.264573759511244E-6</v>
      </c>
      <c r="J128">
        <f>'Transpo perseq'!P128*Pondération!$D$4</f>
        <v>6.9523649098867819E-7</v>
      </c>
      <c r="K128">
        <f>'Transpo perseq'!T128*Pondération!$D$5</f>
        <v>3.1618238258622159E-6</v>
      </c>
      <c r="L128">
        <f>'Transpo perseq'!X128*Pondération!$D$7</f>
        <v>-1.2893011044416707E-5</v>
      </c>
      <c r="M128">
        <f>'Transpo perseq'!Y128*Pondération!$D$13</f>
        <v>1.6711868327788843E-4</v>
      </c>
      <c r="N128">
        <f>'Transpo perseq'!Z128*Pondération!$D$3</f>
        <v>2.5582649528321523E-8</v>
      </c>
      <c r="O128">
        <f>'Transpo perseq'!AA128*Pondération!$D$6</f>
        <v>1.5575176181599213E-5</v>
      </c>
      <c r="P128">
        <f>'Transpo perseq'!AB128*Pondération!$D$8</f>
        <v>9.8958585923786035E-6</v>
      </c>
      <c r="Q128">
        <f>'Transpo perseq'!AC128*Pondération!$D$10</f>
        <v>-6.8756442303672383E-6</v>
      </c>
      <c r="R128">
        <f>'Transpo perseq'!AD128*Pondération!$D$9</f>
        <v>3.7884759992739277E-7</v>
      </c>
      <c r="S128">
        <f>'Transpo perseq'!AE128*Pondération!$D$11</f>
        <v>3.2005076181687889E-4</v>
      </c>
      <c r="U128">
        <f t="shared" si="1"/>
        <v>5.5656073473492741E-4</v>
      </c>
    </row>
    <row r="129" spans="1:21" x14ac:dyDescent="0.3">
      <c r="A129" t="s">
        <v>1</v>
      </c>
      <c r="B129" t="s">
        <v>32</v>
      </c>
      <c r="C129" t="s">
        <v>57</v>
      </c>
      <c r="D129">
        <f>'Transpo perseq'!D129*Pondération!$D$17</f>
        <v>7.1623462079989982E-5</v>
      </c>
      <c r="E129">
        <f>'Transpo perseq'!E129*Pondération!$D$2</f>
        <v>2.7935032245856195E-4</v>
      </c>
      <c r="F129">
        <f>'Transpo perseq'!I129*Pondération!$D$12</f>
        <v>4.7665181936378572E-5</v>
      </c>
      <c r="G129">
        <f>'Transpo perseq'!M129*Pondération!$D$15</f>
        <v>5.5498534574459646E-7</v>
      </c>
      <c r="H129">
        <f>'Transpo perseq'!N129*Pondération!$D$14</f>
        <v>4.7506150960653079E-5</v>
      </c>
      <c r="I129">
        <f>'Transpo perseq'!O129*Pondération!$D$16</f>
        <v>7.2865494011080295E-5</v>
      </c>
      <c r="J129">
        <f>'Transpo perseq'!P129*Pondération!$D$4</f>
        <v>2.7021487086569046E-6</v>
      </c>
      <c r="K129">
        <f>'Transpo perseq'!T129*Pondération!$D$5</f>
        <v>9.5294061842792381E-6</v>
      </c>
      <c r="L129">
        <f>'Transpo perseq'!X129*Pondération!$D$7</f>
        <v>4.5133363885565243E-7</v>
      </c>
      <c r="M129">
        <f>'Transpo perseq'!Y129*Pondération!$D$13</f>
        <v>4.7552086075661562E-6</v>
      </c>
      <c r="N129">
        <f>'Transpo perseq'!Z129*Pondération!$D$3</f>
        <v>2.4894205140628889E-15</v>
      </c>
      <c r="O129">
        <f>'Transpo perseq'!AA129*Pondération!$D$6</f>
        <v>3.5863959184678196E-5</v>
      </c>
      <c r="P129">
        <f>'Transpo perseq'!AB129*Pondération!$D$8</f>
        <v>7.1262569088481956E-5</v>
      </c>
      <c r="Q129">
        <f>'Transpo perseq'!AC129*Pondération!$D$10</f>
        <v>1.8276294874008505E-4</v>
      </c>
      <c r="R129">
        <f>'Transpo perseq'!AD129*Pondération!$D$9</f>
        <v>1.132104088201699E-6</v>
      </c>
      <c r="S129">
        <f>'Transpo perseq'!AE129*Pondération!$D$11</f>
        <v>7.3818092131848811E-7</v>
      </c>
      <c r="U129">
        <f t="shared" si="1"/>
        <v>8.2876345595702132E-4</v>
      </c>
    </row>
    <row r="130" spans="1:21" x14ac:dyDescent="0.3">
      <c r="A130" t="s">
        <v>1</v>
      </c>
      <c r="B130" t="s">
        <v>33</v>
      </c>
      <c r="C130" t="s">
        <v>87</v>
      </c>
      <c r="D130">
        <f>'Transpo perseq'!D130*Pondération!$D$17</f>
        <v>2.19232E-4</v>
      </c>
      <c r="E130">
        <f>'Transpo perseq'!E130*Pondération!$D$2</f>
        <v>1.8330624E-3</v>
      </c>
      <c r="F130">
        <f>'Transpo perseq'!I130*Pondération!$D$12</f>
        <v>5.3452799999999998E-5</v>
      </c>
      <c r="G130">
        <f>'Transpo perseq'!M130*Pondération!$D$15</f>
        <v>1.67104E-6</v>
      </c>
      <c r="H130">
        <f>'Transpo perseq'!N130*Pondération!$D$14</f>
        <v>5.6832000000000001E-5</v>
      </c>
      <c r="I130">
        <f>'Transpo perseq'!O130*Pondération!$D$16</f>
        <v>8.369760000000001E-5</v>
      </c>
      <c r="J130">
        <f>'Transpo perseq'!P130*Pondération!$D$4</f>
        <v>2.3583359999999999E-5</v>
      </c>
      <c r="K130">
        <f>'Transpo perseq'!T130*Pondération!$D$5</f>
        <v>6.0977091346723238E-5</v>
      </c>
      <c r="L130">
        <f>'Transpo perseq'!X130*Pondération!$D$7</f>
        <v>-1.6481169500478098E-7</v>
      </c>
      <c r="M130">
        <f>'Transpo perseq'!Y130*Pondération!$D$13</f>
        <v>6.2892115769782539E-6</v>
      </c>
      <c r="N130">
        <f>'Transpo perseq'!Z130*Pondération!$D$3</f>
        <v>6.676380465668338E-14</v>
      </c>
      <c r="O130">
        <f>'Transpo perseq'!AA130*Pondération!$D$6</f>
        <v>1.2983679363721358E-3</v>
      </c>
      <c r="P130">
        <f>'Transpo perseq'!AB130*Pondération!$D$8</f>
        <v>1.5685038548686456E-4</v>
      </c>
      <c r="Q130">
        <f>'Transpo perseq'!AC130*Pondération!$D$10</f>
        <v>1.0337226231709391E-3</v>
      </c>
      <c r="R130">
        <f>'Transpo perseq'!AD130*Pondération!$D$9</f>
        <v>1.7348398709382952E-4</v>
      </c>
      <c r="S130">
        <f>'Transpo perseq'!AE130*Pondération!$D$11</f>
        <v>3.6083363411889566E-3</v>
      </c>
      <c r="U130">
        <f t="shared" si="1"/>
        <v>8.6093939646081884E-3</v>
      </c>
    </row>
    <row r="131" spans="1:21" x14ac:dyDescent="0.3">
      <c r="A131" t="s">
        <v>1</v>
      </c>
      <c r="B131" t="s">
        <v>33</v>
      </c>
      <c r="C131">
        <v>4140</v>
      </c>
      <c r="D131">
        <f>'Transpo perseq'!D131*Pondération!$D$17</f>
        <v>3.1049600000000003E-7</v>
      </c>
      <c r="E131">
        <f>'Transpo perseq'!E131*Pondération!$D$2</f>
        <v>2.5878528000000001E-6</v>
      </c>
      <c r="F131">
        <f>'Transpo perseq'!I131*Pondération!$D$12</f>
        <v>7.5263999999999992E-8</v>
      </c>
      <c r="G131">
        <f>'Transpo perseq'!M131*Pondération!$D$15</f>
        <v>2.3609600000000001E-9</v>
      </c>
      <c r="H131">
        <f>'Transpo perseq'!N131*Pondération!$D$14</f>
        <v>8.0512E-8</v>
      </c>
      <c r="I131">
        <f>'Transpo perseq'!O131*Pondération!$D$16</f>
        <v>1.1871999999999999E-7</v>
      </c>
      <c r="J131">
        <f>'Transpo perseq'!P131*Pondération!$D$4</f>
        <v>3.3296160000000001E-8</v>
      </c>
      <c r="K131">
        <f>'Transpo perseq'!T131*Pondération!$D$5</f>
        <v>8.6065054829531586E-8</v>
      </c>
      <c r="L131">
        <f>'Transpo perseq'!X131*Pondération!$D$7</f>
        <v>-2.3262059986560202E-10</v>
      </c>
      <c r="M131">
        <f>'Transpo perseq'!Y131*Pondération!$D$13</f>
        <v>8.876798273787223E-9</v>
      </c>
      <c r="N131">
        <f>'Transpo perseq'!Z131*Pondération!$D$3</f>
        <v>9.4232610665749242E-17</v>
      </c>
      <c r="O131">
        <f>'Transpo perseq'!AA131*Pondération!$D$6</f>
        <v>1.8325588375047761E-6</v>
      </c>
      <c r="P131">
        <f>'Transpo perseq'!AB131*Pondération!$D$8</f>
        <v>2.213837480407403E-7</v>
      </c>
      <c r="Q131">
        <f>'Transpo perseq'!AC131*Pondération!$D$10</f>
        <v>1.4590298139321682E-6</v>
      </c>
      <c r="R131">
        <f>'Transpo perseq'!AD131*Pondération!$D$9</f>
        <v>2.4486095567230679E-7</v>
      </c>
      <c r="S131">
        <f>'Transpo perseq'!AE131*Pondération!$D$11</f>
        <v>5.0929235584882799E-6</v>
      </c>
      <c r="U131">
        <f t="shared" si="1"/>
        <v>1.2153968066235955E-5</v>
      </c>
    </row>
    <row r="132" spans="1:21" x14ac:dyDescent="0.3">
      <c r="A132" t="s">
        <v>1</v>
      </c>
      <c r="B132" t="s">
        <v>33</v>
      </c>
      <c r="C132" t="s">
        <v>70</v>
      </c>
      <c r="D132">
        <f>'Transpo perseq'!D132*Pondération!$D$17</f>
        <v>1.3888000000000001E-2</v>
      </c>
      <c r="E132">
        <f>'Transpo perseq'!E132*Pondération!$D$2</f>
        <v>6.705504000000001E-2</v>
      </c>
      <c r="F132">
        <f>'Transpo perseq'!I132*Pondération!$D$12</f>
        <v>5.0380800000000003E-3</v>
      </c>
      <c r="G132">
        <f>'Transpo perseq'!M132*Pondération!$D$15</f>
        <v>1.3753600000000001E-4</v>
      </c>
      <c r="H132">
        <f>'Transpo perseq'!N132*Pondération!$D$14</f>
        <v>2.8084480000000003E-3</v>
      </c>
      <c r="I132">
        <f>'Transpo perseq'!O132*Pondération!$D$16</f>
        <v>4.2442399999999998E-3</v>
      </c>
      <c r="J132">
        <f>'Transpo perseq'!P132*Pondération!$D$4</f>
        <v>1.506336E-3</v>
      </c>
      <c r="K132">
        <f>'Transpo perseq'!T132*Pondération!$D$5</f>
        <v>2.3176277853145951E-3</v>
      </c>
      <c r="L132">
        <f>'Transpo perseq'!X132*Pondération!$D$7</f>
        <v>3.9709949791843953E-3</v>
      </c>
      <c r="M132">
        <f>'Transpo perseq'!Y132*Pondération!$D$13</f>
        <v>5.6012479166651387E-4</v>
      </c>
      <c r="N132">
        <f>'Transpo perseq'!Z132*Pondération!$D$3</f>
        <v>2.2093528418216407E-5</v>
      </c>
      <c r="O132">
        <f>'Transpo perseq'!AA132*Pondération!$D$6</f>
        <v>1.9577728050861425E-2</v>
      </c>
      <c r="P132">
        <f>'Transpo perseq'!AB132*Pondération!$D$8</f>
        <v>6.7319266643850106E-3</v>
      </c>
      <c r="Q132">
        <f>'Transpo perseq'!AC132*Pondération!$D$10</f>
        <v>4.3222252708714791E-2</v>
      </c>
      <c r="R132">
        <f>'Transpo perseq'!AD132*Pondération!$D$9</f>
        <v>4.6193820148201607E-2</v>
      </c>
      <c r="S132">
        <f>'Transpo perseq'!AE132*Pondération!$D$11</f>
        <v>5.5995298941519155E-3</v>
      </c>
      <c r="U132">
        <f t="shared" ref="U132:U195" si="2">SUM(D132:S132)</f>
        <v>0.22287377855089849</v>
      </c>
    </row>
    <row r="133" spans="1:21" x14ac:dyDescent="0.3">
      <c r="A133" t="s">
        <v>1</v>
      </c>
      <c r="B133" t="s">
        <v>33</v>
      </c>
      <c r="C133" t="s">
        <v>71</v>
      </c>
      <c r="D133">
        <f>'Transpo perseq'!D133*Pondération!$D$17</f>
        <v>5.6841599999999997E-3</v>
      </c>
      <c r="E133">
        <f>'Transpo perseq'!E133*Pondération!$D$2</f>
        <v>2.7192672000000005E-2</v>
      </c>
      <c r="F133">
        <f>'Transpo perseq'!I133*Pondération!$D$12</f>
        <v>2.1534719999999996E-3</v>
      </c>
      <c r="G133">
        <f>'Transpo perseq'!M133*Pondération!$D$15</f>
        <v>7.8848000000000001E-5</v>
      </c>
      <c r="H133">
        <f>'Transpo perseq'!N133*Pondération!$D$14</f>
        <v>1.1413759999999999E-3</v>
      </c>
      <c r="I133">
        <f>'Transpo perseq'!O133*Pondération!$D$16</f>
        <v>1.7214399999999999E-3</v>
      </c>
      <c r="J133">
        <f>'Transpo perseq'!P133*Pondération!$D$4</f>
        <v>6.3729599999999998E-4</v>
      </c>
      <c r="K133">
        <f>'Transpo perseq'!T133*Pondération!$D$5</f>
        <v>9.7090919486158059E-4</v>
      </c>
      <c r="L133">
        <f>'Transpo perseq'!X133*Pondération!$D$7</f>
        <v>1.6314868307773865E-3</v>
      </c>
      <c r="M133">
        <f>'Transpo perseq'!Y133*Pondération!$D$13</f>
        <v>2.3321629101087665E-4</v>
      </c>
      <c r="N133">
        <f>'Transpo perseq'!Z133*Pondération!$D$3</f>
        <v>1.3924861263829111E-5</v>
      </c>
      <c r="O133">
        <f>'Transpo perseq'!AA133*Pondération!$D$6</f>
        <v>8.140703818673994E-3</v>
      </c>
      <c r="P133">
        <f>'Transpo perseq'!AB133*Pondération!$D$8</f>
        <v>2.7498292792629414E-3</v>
      </c>
      <c r="Q133">
        <f>'Transpo perseq'!AC133*Pondération!$D$10</f>
        <v>1.7464406006000712E-2</v>
      </c>
      <c r="R133">
        <f>'Transpo perseq'!AD133*Pondération!$D$9</f>
        <v>1.9477649324594844E-2</v>
      </c>
      <c r="S133">
        <f>'Transpo perseq'!AE133*Pondération!$D$11</f>
        <v>2.9777617558282405E-3</v>
      </c>
      <c r="U133">
        <f t="shared" si="2"/>
        <v>9.2269151362274412E-2</v>
      </c>
    </row>
    <row r="134" spans="1:21" x14ac:dyDescent="0.3">
      <c r="A134" t="s">
        <v>1</v>
      </c>
      <c r="B134" t="s">
        <v>33</v>
      </c>
      <c r="C134" t="s">
        <v>72</v>
      </c>
      <c r="D134">
        <f>'Transpo perseq'!D134*Pondération!$D$17</f>
        <v>3.7993599999999999E-4</v>
      </c>
      <c r="E134">
        <f>'Transpo perseq'!E134*Pondération!$D$2</f>
        <v>1.9476287999999999E-3</v>
      </c>
      <c r="F134">
        <f>'Transpo perseq'!I134*Pondération!$D$12</f>
        <v>1.345536E-4</v>
      </c>
      <c r="G134">
        <f>'Transpo perseq'!M134*Pondération!$D$15</f>
        <v>6.3168E-7</v>
      </c>
      <c r="H134">
        <f>'Transpo perseq'!N134*Pondération!$D$14</f>
        <v>7.3407999999999999E-5</v>
      </c>
      <c r="I134">
        <f>'Transpo perseq'!O134*Pondération!$D$16</f>
        <v>1.1100319999999999E-4</v>
      </c>
      <c r="J134">
        <f>'Transpo perseq'!P134*Pondération!$D$4</f>
        <v>4.5667200000000002E-5</v>
      </c>
      <c r="K134">
        <f>'Transpo perseq'!T134*Pondération!$D$5</f>
        <v>6.3510476563643183E-5</v>
      </c>
      <c r="L134">
        <f>'Transpo perseq'!X134*Pondération!$D$7</f>
        <v>1.1468241755564434E-4</v>
      </c>
      <c r="M134">
        <f>'Transpo perseq'!Y134*Pondération!$D$13</f>
        <v>8.5362314408067974E-6</v>
      </c>
      <c r="N134">
        <f>'Transpo perseq'!Z134*Pondération!$D$3</f>
        <v>2.7253660894683662E-12</v>
      </c>
      <c r="O134">
        <f>'Transpo perseq'!AA134*Pondération!$D$6</f>
        <v>5.8038256925502588E-4</v>
      </c>
      <c r="P134">
        <f>'Transpo perseq'!AB134*Pondération!$D$8</f>
        <v>1.7629899143989074E-4</v>
      </c>
      <c r="Q134">
        <f>'Transpo perseq'!AC134*Pondération!$D$10</f>
        <v>1.1735104475685853E-3</v>
      </c>
      <c r="R134">
        <f>'Transpo perseq'!AD134*Pondération!$D$9</f>
        <v>1.3667988225214437E-4</v>
      </c>
      <c r="S134">
        <f>'Transpo perseq'!AE134*Pondération!$D$11</f>
        <v>8.2309455181792582E-5</v>
      </c>
      <c r="U134">
        <f t="shared" si="2"/>
        <v>5.0287389539828992E-3</v>
      </c>
    </row>
    <row r="135" spans="1:21" x14ac:dyDescent="0.3">
      <c r="A135" t="s">
        <v>1</v>
      </c>
      <c r="B135" t="s">
        <v>33</v>
      </c>
      <c r="C135" t="s">
        <v>58</v>
      </c>
      <c r="D135">
        <f>'Transpo perseq'!D135*Pondération!$D$17</f>
        <v>2.6150553805489804E-4</v>
      </c>
      <c r="E135">
        <f>'Transpo perseq'!E135*Pondération!$D$2</f>
        <v>2.1831449173307562E-3</v>
      </c>
      <c r="F135">
        <f>'Transpo perseq'!I135*Pondération!$D$12</f>
        <v>6.3559651997822044E-5</v>
      </c>
      <c r="G135">
        <f>'Transpo perseq'!M135*Pondération!$D$15</f>
        <v>1.9909116927435322E-6</v>
      </c>
      <c r="H135">
        <f>'Transpo perseq'!N135*Pondération!$D$14</f>
        <v>6.7741229562197079E-5</v>
      </c>
      <c r="I135">
        <f>'Transpo perseq'!O135*Pondération!$D$16</f>
        <v>9.9992302051970689E-5</v>
      </c>
      <c r="J135">
        <f>'Transpo perseq'!P135*Pondération!$D$4</f>
        <v>2.8081680114237221E-5</v>
      </c>
      <c r="K135">
        <f>'Transpo perseq'!T135*Pondération!$D$5</f>
        <v>7.2595873748709851E-5</v>
      </c>
      <c r="L135">
        <f>'Transpo perseq'!X135*Pondération!$D$7</f>
        <v>-1.9621547598663995E-7</v>
      </c>
      <c r="M135">
        <f>'Transpo perseq'!Y135*Pondération!$D$13</f>
        <v>7.4875793439395326E-6</v>
      </c>
      <c r="N135">
        <f>'Transpo perseq'!Z135*Pondération!$D$3</f>
        <v>7.9485207096559549E-14</v>
      </c>
      <c r="O135">
        <f>'Transpo perseq'!AA135*Pondération!$D$6</f>
        <v>1.5457633794352761E-3</v>
      </c>
      <c r="P135">
        <f>'Transpo perseq'!AB135*Pondération!$D$8</f>
        <v>1.867371914723646E-4</v>
      </c>
      <c r="Q135">
        <f>'Transpo perseq'!AC135*Pondération!$D$10</f>
        <v>1.2306916480517814E-3</v>
      </c>
      <c r="R135">
        <f>'Transpo perseq'!AD135*Pondération!$D$9</f>
        <v>2.0654021610959095E-4</v>
      </c>
      <c r="S135">
        <f>'Transpo perseq'!AE135*Pondération!$D$11</f>
        <v>4.2958810215848802E-3</v>
      </c>
      <c r="U135">
        <f t="shared" si="2"/>
        <v>1.0251516925154667E-2</v>
      </c>
    </row>
    <row r="136" spans="1:21" x14ac:dyDescent="0.3">
      <c r="A136" t="s">
        <v>1</v>
      </c>
      <c r="B136" t="s">
        <v>33</v>
      </c>
      <c r="C136" t="s">
        <v>75</v>
      </c>
      <c r="D136">
        <f>'Transpo perseq'!D136*Pondération!$D$17</f>
        <v>2.3715570312463537E-5</v>
      </c>
      <c r="E136">
        <f>'Transpo perseq'!E136*Pondération!$D$2</f>
        <v>8.3026791996841266E-5</v>
      </c>
      <c r="F136">
        <f>'Transpo perseq'!I136*Pondération!$D$12</f>
        <v>8.7079574519064576E-6</v>
      </c>
      <c r="G136">
        <f>'Transpo perseq'!M136*Pondération!$D$15</f>
        <v>7.7460993703453248E-8</v>
      </c>
      <c r="H136">
        <f>'Transpo perseq'!N136*Pondération!$D$14</f>
        <v>5.5550599458231808E-6</v>
      </c>
      <c r="I136">
        <f>'Transpo perseq'!O136*Pondération!$D$16</f>
        <v>8.3648093454989315E-6</v>
      </c>
      <c r="J136">
        <f>'Transpo perseq'!P136*Pondération!$D$4</f>
        <v>2.9285696388966982E-4</v>
      </c>
      <c r="K136">
        <f>'Transpo perseq'!T136*Pondération!$D$5</f>
        <v>4.1023454878872526E-6</v>
      </c>
      <c r="L136">
        <f>'Transpo perseq'!X136*Pondération!$D$7</f>
        <v>1.7943678808148528E-6</v>
      </c>
      <c r="M136">
        <f>'Transpo perseq'!Y136*Pondération!$D$13</f>
        <v>1.0835590770562665E-6</v>
      </c>
      <c r="N136">
        <f>'Transpo perseq'!Z136*Pondération!$D$3</f>
        <v>1.2523708374990072E-14</v>
      </c>
      <c r="O136">
        <f>'Transpo perseq'!AA136*Pondération!$D$6</f>
        <v>5.4784217716975737E-5</v>
      </c>
      <c r="P136">
        <f>'Transpo perseq'!AB136*Pondération!$D$8</f>
        <v>1.290784060024228E-5</v>
      </c>
      <c r="Q136">
        <f>'Transpo perseq'!AC136*Pondération!$D$10</f>
        <v>5.2421372026136024E-5</v>
      </c>
      <c r="R136">
        <f>'Transpo perseq'!AD136*Pondération!$D$9</f>
        <v>6.4112179140708383E-5</v>
      </c>
      <c r="S136">
        <f>'Transpo perseq'!AE136*Pondération!$D$11</f>
        <v>1.9435208916779905E-5</v>
      </c>
      <c r="U136">
        <f t="shared" si="2"/>
        <v>6.3294570479503103E-4</v>
      </c>
    </row>
    <row r="137" spans="1:21" x14ac:dyDescent="0.3">
      <c r="A137" t="s">
        <v>1</v>
      </c>
      <c r="B137" t="s">
        <v>33</v>
      </c>
      <c r="C137" t="s">
        <v>59</v>
      </c>
      <c r="D137">
        <f>'Transpo perseq'!D137*Pondération!$D$17</f>
        <v>4.4141182604908756E-5</v>
      </c>
      <c r="E137">
        <f>'Transpo perseq'!E137*Pondération!$D$2</f>
        <v>2.7194082653930296E-4</v>
      </c>
      <c r="F137">
        <f>'Transpo perseq'!I137*Pondération!$D$12</f>
        <v>4.300167091836303E-4</v>
      </c>
      <c r="G137">
        <f>'Transpo perseq'!M137*Pondération!$D$15</f>
        <v>5.7647703610362435E-6</v>
      </c>
      <c r="H137">
        <f>'Transpo perseq'!N137*Pondération!$D$14</f>
        <v>1.3495186600952215E-5</v>
      </c>
      <c r="I137">
        <f>'Transpo perseq'!O137*Pondération!$D$16</f>
        <v>1.7416602793235439E-5</v>
      </c>
      <c r="J137">
        <f>'Transpo perseq'!P137*Pondération!$D$4</f>
        <v>1.7023785309006974E-5</v>
      </c>
      <c r="K137">
        <f>'Transpo perseq'!T137*Pondération!$D$5</f>
        <v>1.0722499497956277E-4</v>
      </c>
      <c r="L137">
        <f>'Transpo perseq'!X137*Pondération!$D$7</f>
        <v>1.6531561278352265E-5</v>
      </c>
      <c r="M137">
        <f>'Transpo perseq'!Y137*Pondération!$D$13</f>
        <v>2.1637290064466715E-6</v>
      </c>
      <c r="N137">
        <f>'Transpo perseq'!Z137*Pondération!$D$3</f>
        <v>4.3826306004687154E-13</v>
      </c>
      <c r="O137">
        <f>'Transpo perseq'!AA137*Pondération!$D$6</f>
        <v>5.139469169129093E-5</v>
      </c>
      <c r="P137">
        <f>'Transpo perseq'!AB137*Pondération!$D$8</f>
        <v>2.9880500707709407E-5</v>
      </c>
      <c r="Q137">
        <f>'Transpo perseq'!AC137*Pondération!$D$10</f>
        <v>2.2652427690420334E-4</v>
      </c>
      <c r="R137">
        <f>'Transpo perseq'!AD137*Pondération!$D$9</f>
        <v>5.5834075286343709E-6</v>
      </c>
      <c r="S137">
        <f>'Transpo perseq'!AE137*Pondération!$D$11</f>
        <v>4.9505572191278107E-4</v>
      </c>
      <c r="U137">
        <f t="shared" si="2"/>
        <v>1.7341579478393166E-3</v>
      </c>
    </row>
    <row r="138" spans="1:21" x14ac:dyDescent="0.3">
      <c r="A138" t="s">
        <v>1</v>
      </c>
      <c r="B138" t="s">
        <v>33</v>
      </c>
      <c r="C138" t="s">
        <v>56</v>
      </c>
      <c r="D138">
        <f>'Transpo perseq'!D138*Pondération!$D$17</f>
        <v>1.9007035035632758E-4</v>
      </c>
      <c r="E138">
        <f>'Transpo perseq'!E138*Pondération!$D$2</f>
        <v>7.6828920490554752E-4</v>
      </c>
      <c r="F138">
        <f>'Transpo perseq'!I138*Pondération!$D$12</f>
        <v>1.3773193480303287E-4</v>
      </c>
      <c r="G138">
        <f>'Transpo perseq'!M138*Pondération!$D$15</f>
        <v>2.0642306311613191E-4</v>
      </c>
      <c r="H138">
        <f>'Transpo perseq'!N138*Pondération!$D$14</f>
        <v>5.6667096563586633E-5</v>
      </c>
      <c r="I138">
        <f>'Transpo perseq'!O138*Pondération!$D$16</f>
        <v>7.3128852572386776E-5</v>
      </c>
      <c r="J138">
        <f>'Transpo perseq'!P138*Pondération!$D$4</f>
        <v>1.3522582164077264E-5</v>
      </c>
      <c r="K138">
        <f>'Transpo perseq'!T138*Pondération!$D$5</f>
        <v>2.6623178679275588E-5</v>
      </c>
      <c r="L138">
        <f>'Transpo perseq'!X138*Pondération!$D$7</f>
        <v>8.1758653438900549E-5</v>
      </c>
      <c r="M138">
        <f>'Transpo perseq'!Y138*Pondération!$D$13</f>
        <v>2.8830838409321267E-4</v>
      </c>
      <c r="N138">
        <f>'Transpo perseq'!Z138*Pondération!$D$3</f>
        <v>3.2465300286591329E-6</v>
      </c>
      <c r="O138">
        <f>'Transpo perseq'!AA138*Pondération!$D$6</f>
        <v>4.9588707019319336E-4</v>
      </c>
      <c r="P138">
        <f>'Transpo perseq'!AB138*Pondération!$D$8</f>
        <v>1.1865899964464057E-4</v>
      </c>
      <c r="Q138">
        <f>'Transpo perseq'!AC138*Pondération!$D$10</f>
        <v>4.8916253455365971E-4</v>
      </c>
      <c r="R138">
        <f>'Transpo perseq'!AD138*Pondération!$D$9</f>
        <v>3.260774003021712E-5</v>
      </c>
      <c r="S138">
        <f>'Transpo perseq'!AE138*Pondération!$D$11</f>
        <v>4.0018409122801718E-2</v>
      </c>
      <c r="U138">
        <f t="shared" si="2"/>
        <v>4.3000495297944565E-2</v>
      </c>
    </row>
    <row r="139" spans="1:21" x14ac:dyDescent="0.3">
      <c r="A139" t="s">
        <v>1</v>
      </c>
      <c r="B139" t="s">
        <v>33</v>
      </c>
      <c r="C139" t="s">
        <v>57</v>
      </c>
      <c r="D139">
        <f>'Transpo perseq'!D139*Pondération!$D$17</f>
        <v>1.1285377765166294E-2</v>
      </c>
      <c r="E139">
        <f>'Transpo perseq'!E139*Pondération!$D$2</f>
        <v>6.5763789017744725E-2</v>
      </c>
      <c r="F139">
        <f>'Transpo perseq'!I139*Pondération!$D$12</f>
        <v>1.1186586851368641E-2</v>
      </c>
      <c r="G139">
        <f>'Transpo perseq'!M139*Pondération!$D$15</f>
        <v>7.127006555412039E-6</v>
      </c>
      <c r="H139">
        <f>'Transpo perseq'!N139*Pondération!$D$14</f>
        <v>6.9208515985361603E-3</v>
      </c>
      <c r="I139">
        <f>'Transpo perseq'!O139*Pondération!$D$16</f>
        <v>1.05054038466867E-2</v>
      </c>
      <c r="J139">
        <f>'Transpo perseq'!P139*Pondération!$D$4</f>
        <v>5.8105275475872338E-4</v>
      </c>
      <c r="K139">
        <f>'Transpo perseq'!T139*Pondération!$D$5</f>
        <v>1.6747519643115062E-3</v>
      </c>
      <c r="L139">
        <f>'Transpo perseq'!X139*Pondération!$D$7</f>
        <v>4.5070491920492507E-5</v>
      </c>
      <c r="M139">
        <f>'Transpo perseq'!Y139*Pondération!$D$13</f>
        <v>6.7274266280560776E-6</v>
      </c>
      <c r="N139">
        <f>'Transpo perseq'!Z139*Pondération!$D$3</f>
        <v>2.3511112776566807E-13</v>
      </c>
      <c r="O139">
        <f>'Transpo perseq'!AA139*Pondération!$D$6</f>
        <v>4.8553676151635123E-3</v>
      </c>
      <c r="P139">
        <f>'Transpo perseq'!AB139*Pondération!$D$8</f>
        <v>1.5328271602720767E-2</v>
      </c>
      <c r="Q139">
        <f>'Transpo perseq'!AC139*Pondération!$D$10</f>
        <v>4.3770808765119754E-2</v>
      </c>
      <c r="R139">
        <f>'Transpo perseq'!AD139*Pondération!$D$9</f>
        <v>9.9091082800183936E-5</v>
      </c>
      <c r="S139">
        <f>'Transpo perseq'!AE139*Pondération!$D$11</f>
        <v>2.4479912791273163E-5</v>
      </c>
      <c r="U139">
        <f t="shared" si="2"/>
        <v>0.17205475770250733</v>
      </c>
    </row>
    <row r="140" spans="1:21" x14ac:dyDescent="0.3">
      <c r="A140" t="s">
        <v>1</v>
      </c>
      <c r="B140" t="s">
        <v>34</v>
      </c>
      <c r="C140" t="s">
        <v>82</v>
      </c>
      <c r="D140">
        <f>'Transpo perseq'!D140*Pondération!$D$17</f>
        <v>1.380218811221183E-5</v>
      </c>
      <c r="E140">
        <f>'Transpo perseq'!E140*Pondération!$D$2</f>
        <v>1.627522124118227E-4</v>
      </c>
      <c r="F140">
        <f>'Transpo perseq'!I140*Pondération!$D$12</f>
        <v>3.6335514772702306E-5</v>
      </c>
      <c r="G140">
        <f>'Transpo perseq'!M140*Pondération!$D$15</f>
        <v>3.0080937366990227E-7</v>
      </c>
      <c r="H140">
        <f>'Transpo perseq'!N140*Pondération!$D$14</f>
        <v>6.1841220628508476E-6</v>
      </c>
      <c r="I140">
        <f>'Transpo perseq'!O140*Pondération!$D$16</f>
        <v>8.704535567577127E-6</v>
      </c>
      <c r="J140">
        <f>'Transpo perseq'!P140*Pondération!$D$4</f>
        <v>2.1277051067750657E-6</v>
      </c>
      <c r="K140">
        <f>'Transpo perseq'!T140*Pondération!$D$5</f>
        <v>7.1341049749797279E-6</v>
      </c>
      <c r="L140">
        <f>'Transpo perseq'!X140*Pondération!$D$7</f>
        <v>3.4026751526241851E-6</v>
      </c>
      <c r="M140">
        <f>'Transpo perseq'!Y140*Pondération!$D$13</f>
        <v>4.2938356878199423E-7</v>
      </c>
      <c r="N140">
        <f>'Transpo perseq'!Z140*Pondération!$D$3</f>
        <v>1.0775873480545237E-8</v>
      </c>
      <c r="O140">
        <f>'Transpo perseq'!AA140*Pondération!$D$6</f>
        <v>1.566660983752417E-5</v>
      </c>
      <c r="P140">
        <f>'Transpo perseq'!AB140*Pondération!$D$8</f>
        <v>1.6012830540994305E-5</v>
      </c>
      <c r="Q140">
        <f>'Transpo perseq'!AC140*Pondération!$D$10</f>
        <v>1.541548140173823E-4</v>
      </c>
      <c r="R140">
        <f>'Transpo perseq'!AD140*Pondération!$D$9</f>
        <v>1.3155214238276264E-5</v>
      </c>
      <c r="S140">
        <f>'Transpo perseq'!AE140*Pondération!$D$11</f>
        <v>8.0752287034638173E-6</v>
      </c>
      <c r="U140">
        <f t="shared" si="2"/>
        <v>4.4824872431511705E-4</v>
      </c>
    </row>
    <row r="141" spans="1:21" x14ac:dyDescent="0.3">
      <c r="A141" t="s">
        <v>1</v>
      </c>
      <c r="B141" t="s">
        <v>34</v>
      </c>
      <c r="C141" t="s">
        <v>90</v>
      </c>
      <c r="D141">
        <f>'Transpo perseq'!D141*Pondération!$D$17</f>
        <v>4.5691998802013139E-4</v>
      </c>
      <c r="E141">
        <f>'Transpo perseq'!E141*Pondération!$D$2</f>
        <v>1.5996495258058091E-3</v>
      </c>
      <c r="F141">
        <f>'Transpo perseq'!I141*Pondération!$D$12</f>
        <v>1.6777331357339779E-4</v>
      </c>
      <c r="G141">
        <f>'Transpo perseq'!M141*Pondération!$D$15</f>
        <v>1.4924151453531982E-6</v>
      </c>
      <c r="H141">
        <f>'Transpo perseq'!N141*Pondération!$D$14</f>
        <v>1.0702748828952609E-4</v>
      </c>
      <c r="I141">
        <f>'Transpo perseq'!O141*Pondération!$D$16</f>
        <v>1.6116199338994609E-4</v>
      </c>
      <c r="J141">
        <f>'Transpo perseq'!P141*Pondération!$D$4</f>
        <v>5.6423775042742947E-3</v>
      </c>
      <c r="K141">
        <f>'Transpo perseq'!T141*Pondération!$D$5</f>
        <v>7.9038523066627553E-5</v>
      </c>
      <c r="L141">
        <f>'Transpo perseq'!X141*Pondération!$D$7</f>
        <v>3.45714878370329E-5</v>
      </c>
      <c r="M141">
        <f>'Transpo perseq'!Y141*Pondération!$D$13</f>
        <v>2.0876571551284258E-5</v>
      </c>
      <c r="N141">
        <f>'Transpo perseq'!Z141*Pondération!$D$3</f>
        <v>2.4129011469147487E-13</v>
      </c>
      <c r="O141">
        <f>'Transpo perseq'!AA141*Pondération!$D$6</f>
        <v>1.0555092613470647E-3</v>
      </c>
      <c r="P141">
        <f>'Transpo perseq'!AB141*Pondération!$D$8</f>
        <v>2.4869106223133499E-4</v>
      </c>
      <c r="Q141">
        <f>'Transpo perseq'!AC141*Pondération!$D$10</f>
        <v>1.0099851010368871E-3</v>
      </c>
      <c r="R141">
        <f>'Transpo perseq'!AD141*Pondération!$D$9</f>
        <v>1.2352279847776442E-3</v>
      </c>
      <c r="S141">
        <f>'Transpo perseq'!AE141*Pondération!$D$11</f>
        <v>3.7445169179663174E-4</v>
      </c>
      <c r="U141">
        <f t="shared" si="2"/>
        <v>1.2194753912384258E-2</v>
      </c>
    </row>
    <row r="142" spans="1:21" x14ac:dyDescent="0.3">
      <c r="A142" t="s">
        <v>1</v>
      </c>
      <c r="B142" t="s">
        <v>35</v>
      </c>
      <c r="C142" t="s">
        <v>87</v>
      </c>
      <c r="D142">
        <f>'Transpo perseq'!D142*Pondération!$D$17</f>
        <v>1.9641599999999999E-6</v>
      </c>
      <c r="E142">
        <f>'Transpo perseq'!E142*Pondération!$D$2</f>
        <v>2.3957855999999999E-5</v>
      </c>
      <c r="F142">
        <f>'Transpo perseq'!I142*Pondération!$D$12</f>
        <v>3.9014399999999992E-7</v>
      </c>
      <c r="G142">
        <f>'Transpo perseq'!M142*Pondération!$D$15</f>
        <v>4.1484800000000001E-9</v>
      </c>
      <c r="H142">
        <f>'Transpo perseq'!N142*Pondération!$D$14</f>
        <v>5.3516800000000004E-7</v>
      </c>
      <c r="I142">
        <f>'Transpo perseq'!O142*Pondération!$D$16</f>
        <v>7.5387199999999996E-7</v>
      </c>
      <c r="J142">
        <f>'Transpo perseq'!P142*Pondération!$D$4</f>
        <v>5.5209599999999997E-7</v>
      </c>
      <c r="K142">
        <f>'Transpo perseq'!T142*Pondération!$D$5</f>
        <v>8.7636388382045162E-7</v>
      </c>
      <c r="L142">
        <f>'Transpo perseq'!X142*Pondération!$D$7</f>
        <v>1.6716156199042575E-7</v>
      </c>
      <c r="M142">
        <f>'Transpo perseq'!Y142*Pondération!$D$13</f>
        <v>-1.3793157879392166E-9</v>
      </c>
      <c r="N142">
        <f>'Transpo perseq'!Z142*Pondération!$D$3</f>
        <v>2.5151633185840162E-15</v>
      </c>
      <c r="O142">
        <f>'Transpo perseq'!AA142*Pondération!$D$6</f>
        <v>4.6464137429406557E-6</v>
      </c>
      <c r="P142">
        <f>'Transpo perseq'!AB142*Pondération!$D$8</f>
        <v>1.7424454980331623E-6</v>
      </c>
      <c r="Q142">
        <f>'Transpo perseq'!AC142*Pondération!$D$10</f>
        <v>1.204946464773951E-5</v>
      </c>
      <c r="R142">
        <f>'Transpo perseq'!AD142*Pondération!$D$9</f>
        <v>2.3547853978298455E-6</v>
      </c>
      <c r="S142">
        <f>'Transpo perseq'!AE142*Pondération!$D$11</f>
        <v>1.6128916098160135E-5</v>
      </c>
      <c r="U142">
        <f t="shared" si="2"/>
        <v>6.6121615997241401E-5</v>
      </c>
    </row>
    <row r="143" spans="1:21" x14ac:dyDescent="0.3">
      <c r="A143" t="s">
        <v>1</v>
      </c>
      <c r="B143" t="s">
        <v>35</v>
      </c>
      <c r="C143" t="s">
        <v>58</v>
      </c>
      <c r="D143">
        <f>'Transpo perseq'!D143*Pondération!$D$17</f>
        <v>2.0038400000000001E-4</v>
      </c>
      <c r="E143">
        <f>'Transpo perseq'!E143*Pondération!$D$2</f>
        <v>1.7690399999999999E-3</v>
      </c>
      <c r="F143">
        <f>'Transpo perseq'!I143*Pondération!$D$12</f>
        <v>5.1916799999999991E-5</v>
      </c>
      <c r="G143">
        <f>'Transpo perseq'!M143*Pondération!$D$15</f>
        <v>4.8831999999999997E-7</v>
      </c>
      <c r="H143">
        <f>'Transpo perseq'!N143*Pondération!$D$14</f>
        <v>6.2515200000000008E-5</v>
      </c>
      <c r="I143">
        <f>'Transpo perseq'!O143*Pondération!$D$16</f>
        <v>9.0820800000000003E-5</v>
      </c>
      <c r="J143">
        <f>'Transpo perseq'!P143*Pondération!$D$4</f>
        <v>7.3953599999999993E-6</v>
      </c>
      <c r="K143">
        <f>'Transpo perseq'!T143*Pondération!$D$5</f>
        <v>5.8247155061709769E-5</v>
      </c>
      <c r="L143">
        <f>'Transpo perseq'!X143*Pondération!$D$7</f>
        <v>2.6746385661746361E-5</v>
      </c>
      <c r="M143">
        <f>'Transpo perseq'!Y143*Pondération!$D$13</f>
        <v>3.54461729034626E-6</v>
      </c>
      <c r="N143">
        <f>'Transpo perseq'!Z143*Pondération!$D$3</f>
        <v>6.713280431734631E-14</v>
      </c>
      <c r="O143">
        <f>'Transpo perseq'!AA143*Pondération!$D$6</f>
        <v>3.3030083953045829E-4</v>
      </c>
      <c r="P143">
        <f>'Transpo perseq'!AB143*Pondération!$D$8</f>
        <v>1.6210074236188028E-4</v>
      </c>
      <c r="Q143">
        <f>'Transpo perseq'!AC143*Pondération!$D$10</f>
        <v>9.5430453148607412E-4</v>
      </c>
      <c r="R143">
        <f>'Transpo perseq'!AD143*Pondération!$D$9</f>
        <v>2.7286564963160892E-5</v>
      </c>
      <c r="S143">
        <f>'Transpo perseq'!AE143*Pondération!$D$11</f>
        <v>1.705781078866499E-4</v>
      </c>
      <c r="U143">
        <f t="shared" si="2"/>
        <v>3.9156694243091582E-3</v>
      </c>
    </row>
    <row r="144" spans="1:21" x14ac:dyDescent="0.3">
      <c r="A144" t="s">
        <v>1</v>
      </c>
      <c r="B144" t="s">
        <v>35</v>
      </c>
      <c r="C144" t="s">
        <v>73</v>
      </c>
      <c r="D144">
        <f>'Transpo perseq'!D144*Pondération!$D$17</f>
        <v>3.3430400000000002E-3</v>
      </c>
      <c r="E144">
        <f>'Transpo perseq'!E144*Pondération!$D$2</f>
        <v>1.6949088000000001E-2</v>
      </c>
      <c r="F144">
        <f>'Transpo perseq'!I144*Pondération!$D$12</f>
        <v>1.3025279999999998E-3</v>
      </c>
      <c r="G144">
        <f>'Transpo perseq'!M144*Pondération!$D$15</f>
        <v>2.5088000000000001E-5</v>
      </c>
      <c r="H144">
        <f>'Transpo perseq'!N144*Pondération!$D$14</f>
        <v>6.72512E-4</v>
      </c>
      <c r="I144">
        <f>'Transpo perseq'!O144*Pondération!$D$16</f>
        <v>1.0150560000000001E-3</v>
      </c>
      <c r="J144">
        <f>'Transpo perseq'!P144*Pondération!$D$4</f>
        <v>3.8851199999999998E-4</v>
      </c>
      <c r="K144">
        <f>'Transpo perseq'!T144*Pondération!$D$5</f>
        <v>5.8889248153263379E-4</v>
      </c>
      <c r="L144">
        <f>'Transpo perseq'!X144*Pondération!$D$7</f>
        <v>1.2308415332086184E-3</v>
      </c>
      <c r="M144">
        <f>'Transpo perseq'!Y144*Pondération!$D$13</f>
        <v>1.0686549341293231E-4</v>
      </c>
      <c r="N144">
        <f>'Transpo perseq'!Z144*Pondération!$D$3</f>
        <v>3.9635821379433274E-6</v>
      </c>
      <c r="O144">
        <f>'Transpo perseq'!AA144*Pondération!$D$6</f>
        <v>4.7156929285146277E-3</v>
      </c>
      <c r="P144">
        <f>'Transpo perseq'!AB144*Pondération!$D$8</f>
        <v>1.6153368699521524E-3</v>
      </c>
      <c r="Q144">
        <f>'Transpo perseq'!AC144*Pondération!$D$10</f>
        <v>1.1101977867589766E-2</v>
      </c>
      <c r="R144">
        <f>'Transpo perseq'!AD144*Pondération!$D$9</f>
        <v>1.2346147444397094E-2</v>
      </c>
      <c r="S144">
        <f>'Transpo perseq'!AE144*Pondération!$D$11</f>
        <v>1.2157193303507128E-3</v>
      </c>
      <c r="U144">
        <f t="shared" si="2"/>
        <v>5.6621261531096485E-2</v>
      </c>
    </row>
    <row r="145" spans="1:21" x14ac:dyDescent="0.3">
      <c r="A145" t="s">
        <v>1</v>
      </c>
      <c r="B145" t="s">
        <v>35</v>
      </c>
      <c r="C145" t="s">
        <v>91</v>
      </c>
      <c r="D145">
        <f>'Transpo perseq'!D145*Pondération!$D$17</f>
        <v>3.0156800000000001E-6</v>
      </c>
      <c r="E145">
        <f>'Transpo perseq'!E145*Pondération!$D$2</f>
        <v>2.0891519999999999E-5</v>
      </c>
      <c r="F145">
        <f>'Transpo perseq'!I145*Pondération!$D$12</f>
        <v>4.5772799999999997E-6</v>
      </c>
      <c r="G145">
        <f>'Transpo perseq'!M145*Pondération!$D$15</f>
        <v>3.8841600000000003E-8</v>
      </c>
      <c r="H145">
        <f>'Transpo perseq'!N145*Pondération!$D$14</f>
        <v>5.3990400000000012E-7</v>
      </c>
      <c r="I145">
        <f>'Transpo perseq'!O145*Pondération!$D$16</f>
        <v>8.0729599999999998E-7</v>
      </c>
      <c r="J145">
        <f>'Transpo perseq'!P145*Pondération!$D$4</f>
        <v>3.0365279999999999E-7</v>
      </c>
      <c r="K145">
        <f>'Transpo perseq'!T145*Pondération!$D$5</f>
        <v>1.6299040602287071E-6</v>
      </c>
      <c r="L145">
        <f>'Transpo perseq'!X145*Pondération!$D$7</f>
        <v>4.3676688428294388E-7</v>
      </c>
      <c r="M145">
        <f>'Transpo perseq'!Y145*Pondération!$D$13</f>
        <v>2.4572359371722464E-7</v>
      </c>
      <c r="N145">
        <f>'Transpo perseq'!Z145*Pondération!$D$3</f>
        <v>9.0178994703727483E-14</v>
      </c>
      <c r="O145">
        <f>'Transpo perseq'!AA145*Pondération!$D$6</f>
        <v>2.1214394538819113E-5</v>
      </c>
      <c r="P145">
        <f>'Transpo perseq'!AB145*Pondération!$D$8</f>
        <v>1.4026808613846252E-6</v>
      </c>
      <c r="Q145">
        <f>'Transpo perseq'!AC145*Pondération!$D$10</f>
        <v>2.0849668909695242E-5</v>
      </c>
      <c r="R145">
        <f>'Transpo perseq'!AD145*Pondération!$D$9</f>
        <v>2.601755362140318E-3</v>
      </c>
      <c r="S145">
        <f>'Transpo perseq'!AE145*Pondération!$D$11</f>
        <v>1.2300615443599408E-7</v>
      </c>
      <c r="U145">
        <f t="shared" si="2"/>
        <v>2.6778316816330606E-3</v>
      </c>
    </row>
    <row r="146" spans="1:21" x14ac:dyDescent="0.3">
      <c r="A146" t="s">
        <v>1</v>
      </c>
      <c r="B146" t="s">
        <v>35</v>
      </c>
      <c r="C146" t="s">
        <v>75</v>
      </c>
      <c r="D146">
        <f>'Transpo perseq'!D146*Pondération!$D$17</f>
        <v>1.3788800000000001E-5</v>
      </c>
      <c r="E146">
        <f>'Transpo perseq'!E146*Pondération!$D$2</f>
        <v>4.8859200000000001E-5</v>
      </c>
      <c r="F146">
        <f>'Transpo perseq'!I146*Pondération!$D$12</f>
        <v>5.2223999999999993E-6</v>
      </c>
      <c r="G146">
        <f>'Transpo perseq'!M146*Pondération!$D$15</f>
        <v>4.3455999999999996E-8</v>
      </c>
      <c r="H146">
        <f>'Transpo perseq'!N146*Pondération!$D$14</f>
        <v>3.2536320000000001E-6</v>
      </c>
      <c r="I146">
        <f>'Transpo perseq'!O146*Pondération!$D$16</f>
        <v>4.8912640000000008E-6</v>
      </c>
      <c r="J146">
        <f>'Transpo perseq'!P146*Pondération!$D$4</f>
        <v>1.7585279999999997E-4</v>
      </c>
      <c r="K146">
        <f>'Transpo perseq'!T146*Pondération!$D$5</f>
        <v>2.4275423473736961E-6</v>
      </c>
      <c r="L146">
        <f>'Transpo perseq'!X146*Pondération!$D$7</f>
        <v>1.3704264612369094E-6</v>
      </c>
      <c r="M146">
        <f>'Transpo perseq'!Y146*Pondération!$D$13</f>
        <v>5.9989840272331308E-7</v>
      </c>
      <c r="N146">
        <f>'Transpo perseq'!Z146*Pondération!$D$3</f>
        <v>7.709798315213182E-15</v>
      </c>
      <c r="O146">
        <f>'Transpo perseq'!AA146*Pondération!$D$6</f>
        <v>3.2234928775613279E-5</v>
      </c>
      <c r="P146">
        <f>'Transpo perseq'!AB146*Pondération!$D$8</f>
        <v>7.5550281237866972E-6</v>
      </c>
      <c r="Q146">
        <f>'Transpo perseq'!AC146*Pondération!$D$10</f>
        <v>3.1255476747080471E-5</v>
      </c>
      <c r="R146">
        <f>'Transpo perseq'!AD146*Pondération!$D$9</f>
        <v>3.8462177989681125E-5</v>
      </c>
      <c r="S146">
        <f>'Transpo perseq'!AE146*Pondération!$D$11</f>
        <v>1.1640140142506302E-5</v>
      </c>
      <c r="U146">
        <f t="shared" si="2"/>
        <v>3.7745717099771158E-4</v>
      </c>
    </row>
    <row r="147" spans="1:21" x14ac:dyDescent="0.3">
      <c r="A147" t="s">
        <v>1</v>
      </c>
      <c r="B147" t="s">
        <v>35</v>
      </c>
      <c r="C147" t="s">
        <v>59</v>
      </c>
      <c r="D147">
        <f>'Transpo perseq'!D147*Pondération!$D$17</f>
        <v>8.0964713358455754E-6</v>
      </c>
      <c r="E147">
        <f>'Transpo perseq'!E147*Pondération!$D$2</f>
        <v>7.8761872262899917E-5</v>
      </c>
      <c r="F147">
        <f>'Transpo perseq'!I147*Pondération!$D$12</f>
        <v>1.414633920039177E-4</v>
      </c>
      <c r="G147">
        <f>'Transpo perseq'!M147*Pondération!$D$15</f>
        <v>1.855569929090985E-6</v>
      </c>
      <c r="H147">
        <f>'Transpo perseq'!N147*Pondération!$D$14</f>
        <v>3.3580074737720038E-6</v>
      </c>
      <c r="I147">
        <f>'Transpo perseq'!O147*Pondération!$D$16</f>
        <v>4.0592904752607359E-6</v>
      </c>
      <c r="J147">
        <f>'Transpo perseq'!P147*Pondération!$D$4</f>
        <v>5.4461412232065934E-6</v>
      </c>
      <c r="K147">
        <f>'Transpo perseq'!T147*Pondération!$D$5</f>
        <v>3.4808061331408474E-5</v>
      </c>
      <c r="L147">
        <f>'Transpo perseq'!X147*Pondération!$D$7</f>
        <v>9.3856027130403403E-6</v>
      </c>
      <c r="M147">
        <f>'Transpo perseq'!Y147*Pondération!$D$13</f>
        <v>3.6404240819661418E-8</v>
      </c>
      <c r="N147">
        <f>'Transpo perseq'!Z147*Pondération!$D$3</f>
        <v>1.4676595312079082E-13</v>
      </c>
      <c r="O147">
        <f>'Transpo perseq'!AA147*Pondération!$D$6</f>
        <v>8.3707118317142694E-6</v>
      </c>
      <c r="P147">
        <f>'Transpo perseq'!AB147*Pondération!$D$8</f>
        <v>7.2957212795415853E-6</v>
      </c>
      <c r="Q147">
        <f>'Transpo perseq'!AC147*Pondération!$D$10</f>
        <v>7.1854451907288358E-5</v>
      </c>
      <c r="R147">
        <f>'Transpo perseq'!AD147*Pondération!$D$9</f>
        <v>1.7673851186568237E-6</v>
      </c>
      <c r="S147">
        <f>'Transpo perseq'!AE147*Pondération!$D$11</f>
        <v>1.6253395757349955E-4</v>
      </c>
      <c r="U147">
        <f t="shared" si="2"/>
        <v>5.3909304084672849E-4</v>
      </c>
    </row>
    <row r="148" spans="1:21" x14ac:dyDescent="0.3">
      <c r="A148" t="s">
        <v>1</v>
      </c>
      <c r="B148" t="s">
        <v>35</v>
      </c>
      <c r="C148" t="s">
        <v>56</v>
      </c>
      <c r="D148">
        <f>'Transpo perseq'!D148*Pondération!$D$17</f>
        <v>7.0834837391869598E-5</v>
      </c>
      <c r="E148">
        <f>'Transpo perseq'!E148*Pondération!$D$2</f>
        <v>4.669358334978786E-4</v>
      </c>
      <c r="F148">
        <f>'Transpo perseq'!I148*Pondération!$D$12</f>
        <v>6.8205560792713104E-5</v>
      </c>
      <c r="G148">
        <f>'Transpo perseq'!M148*Pondération!$D$15</f>
        <v>1.7803260081234747E-4</v>
      </c>
      <c r="H148">
        <f>'Transpo perseq'!N148*Pondération!$D$14</f>
        <v>7.3748381619971407E-6</v>
      </c>
      <c r="I148">
        <f>'Transpo perseq'!O148*Pondération!$D$16</f>
        <v>1.3530842511344921E-5</v>
      </c>
      <c r="J148">
        <f>'Transpo perseq'!P148*Pondération!$D$4</f>
        <v>3.4091018138214993E-5</v>
      </c>
      <c r="K148">
        <f>'Transpo perseq'!T148*Pondération!$D$5</f>
        <v>5.1237526013160393E-6</v>
      </c>
      <c r="L148">
        <f>'Transpo perseq'!X148*Pondération!$D$7</f>
        <v>-1.3114546047261928E-4</v>
      </c>
      <c r="M148">
        <f>'Transpo perseq'!Y148*Pondération!$D$13</f>
        <v>-1.9197632963890441E-3</v>
      </c>
      <c r="N148">
        <f>'Transpo perseq'!Z148*Pondération!$D$3</f>
        <v>2.5718577180791451E-6</v>
      </c>
      <c r="O148">
        <f>'Transpo perseq'!AA148*Pondération!$D$6</f>
        <v>2.1945779059787734E-4</v>
      </c>
      <c r="P148">
        <f>'Transpo perseq'!AB148*Pondération!$D$8</f>
        <v>1.0290023885597601E-4</v>
      </c>
      <c r="Q148">
        <f>'Transpo perseq'!AC148*Pondération!$D$10</f>
        <v>-8.2780304923004547E-5</v>
      </c>
      <c r="R148">
        <f>'Transpo perseq'!AD148*Pondération!$D$9</f>
        <v>6.210578480877747E-5</v>
      </c>
      <c r="S148">
        <f>'Transpo perseq'!AE148*Pondération!$D$11</f>
        <v>2.8554999499387317E-2</v>
      </c>
      <c r="U148">
        <f t="shared" si="2"/>
        <v>2.7652475393491041E-2</v>
      </c>
    </row>
    <row r="149" spans="1:21" x14ac:dyDescent="0.3">
      <c r="A149" t="s">
        <v>1</v>
      </c>
      <c r="B149" t="s">
        <v>35</v>
      </c>
      <c r="C149" t="s">
        <v>57</v>
      </c>
      <c r="D149">
        <f>'Transpo perseq'!D149*Pondération!$D$17</f>
        <v>2.7509793264946596E-5</v>
      </c>
      <c r="E149">
        <f>'Transpo perseq'!E149*Pondération!$D$2</f>
        <v>1.0729542242385083E-4</v>
      </c>
      <c r="F149">
        <f>'Transpo perseq'!I149*Pondération!$D$12</f>
        <v>1.8307678279240458E-5</v>
      </c>
      <c r="G149">
        <f>'Transpo perseq'!M149*Pondération!$D$15</f>
        <v>2.1316383881943316E-7</v>
      </c>
      <c r="H149">
        <f>'Transpo perseq'!N149*Pondération!$D$14</f>
        <v>1.824659621007102E-5</v>
      </c>
      <c r="I149">
        <f>'Transpo perseq'!O149*Pondération!$D$16</f>
        <v>2.798684422926029E-5</v>
      </c>
      <c r="J149">
        <f>'Transpo perseq'!P149*Pondération!$D$4</f>
        <v>1.0378659476593699E-6</v>
      </c>
      <c r="K149">
        <f>'Transpo perseq'!T149*Pondération!$D$5</f>
        <v>3.6601413343360973E-6</v>
      </c>
      <c r="L149">
        <f>'Transpo perseq'!X149*Pondération!$D$7</f>
        <v>1.7335234485828941E-7</v>
      </c>
      <c r="M149">
        <f>'Transpo perseq'!Y149*Pondération!$D$13</f>
        <v>1.8264239388448419E-6</v>
      </c>
      <c r="N149">
        <f>'Transpo perseq'!Z149*Pondération!$D$3</f>
        <v>9.5615936039092678E-16</v>
      </c>
      <c r="O149">
        <f>'Transpo perseq'!AA149*Pondération!$D$6</f>
        <v>1.377495689514588E-5</v>
      </c>
      <c r="P149">
        <f>'Transpo perseq'!AB149*Pondération!$D$8</f>
        <v>2.7371178189678801E-5</v>
      </c>
      <c r="Q149">
        <f>'Transpo perseq'!AC149*Pondération!$D$10</f>
        <v>7.0197262046850899E-5</v>
      </c>
      <c r="R149">
        <f>'Transpo perseq'!AD149*Pondération!$D$9</f>
        <v>4.3482887473447744E-7</v>
      </c>
      <c r="S149">
        <f>'Transpo perseq'!AE149*Pondération!$D$11</f>
        <v>2.835272681306878E-7</v>
      </c>
      <c r="U149">
        <f t="shared" si="2"/>
        <v>3.1831903508738418E-4</v>
      </c>
    </row>
    <row r="150" spans="1:21" x14ac:dyDescent="0.3">
      <c r="A150" t="s">
        <v>1</v>
      </c>
      <c r="B150" t="s">
        <v>36</v>
      </c>
      <c r="C150" t="s">
        <v>70</v>
      </c>
      <c r="D150">
        <f>'Transpo perseq'!D150*Pondération!$D$17</f>
        <v>1.3491199999999998E-2</v>
      </c>
      <c r="E150">
        <f>'Transpo perseq'!E150*Pondération!$D$2</f>
        <v>6.7392000000000007E-2</v>
      </c>
      <c r="F150">
        <f>'Transpo perseq'!I150*Pondération!$D$12</f>
        <v>5.1609599999999992E-3</v>
      </c>
      <c r="G150">
        <f>'Transpo perseq'!M150*Pondération!$D$15</f>
        <v>7.7504000000000009E-5</v>
      </c>
      <c r="H150">
        <f>'Transpo perseq'!N150*Pondération!$D$14</f>
        <v>2.6568960000000002E-3</v>
      </c>
      <c r="I150">
        <f>'Transpo perseq'!O150*Pondération!$D$16</f>
        <v>4.0068000000000005E-3</v>
      </c>
      <c r="J150">
        <f>'Transpo perseq'!P150*Pondération!$D$4</f>
        <v>1.5847199999999997E-3</v>
      </c>
      <c r="K150">
        <f>'Transpo perseq'!T150*Pondération!$D$5</f>
        <v>2.3897068026821175E-3</v>
      </c>
      <c r="L150">
        <f>'Transpo perseq'!X150*Pondération!$D$7</f>
        <v>4.837396795510665E-3</v>
      </c>
      <c r="M150">
        <f>'Transpo perseq'!Y150*Pondération!$D$13</f>
        <v>4.0996695696499124E-4</v>
      </c>
      <c r="N150">
        <f>'Transpo perseq'!Z150*Pondération!$D$3</f>
        <v>1.1248225742438043E-5</v>
      </c>
      <c r="O150">
        <f>'Transpo perseq'!AA150*Pondération!$D$6</f>
        <v>1.9059782804468368E-2</v>
      </c>
      <c r="P150">
        <f>'Transpo perseq'!AB150*Pondération!$D$8</f>
        <v>6.3768590782409479E-3</v>
      </c>
      <c r="Q150">
        <f>'Transpo perseq'!AC150*Pondération!$D$10</f>
        <v>4.3760163732019006E-2</v>
      </c>
      <c r="R150">
        <f>'Transpo perseq'!AD150*Pondération!$D$9</f>
        <v>5.0740846900581178E-2</v>
      </c>
      <c r="S150">
        <f>'Transpo perseq'!AE150*Pondération!$D$11</f>
        <v>4.2959558601558048E-3</v>
      </c>
      <c r="U150">
        <f t="shared" si="2"/>
        <v>0.22625200715636551</v>
      </c>
    </row>
    <row r="151" spans="1:21" x14ac:dyDescent="0.3">
      <c r="A151" t="s">
        <v>1</v>
      </c>
      <c r="B151" t="s">
        <v>36</v>
      </c>
      <c r="C151" t="s">
        <v>71</v>
      </c>
      <c r="D151">
        <f>'Transpo perseq'!D151*Pondération!$D$17</f>
        <v>2.5990400000000004E-4</v>
      </c>
      <c r="E151">
        <f>'Transpo perseq'!E151*Pondération!$D$2</f>
        <v>1.4522976000000002E-3</v>
      </c>
      <c r="F151">
        <f>'Transpo perseq'!I151*Pondération!$D$12</f>
        <v>2.5343999999999996E-4</v>
      </c>
      <c r="G151">
        <f>'Transpo perseq'!M151*Pondération!$D$15</f>
        <v>5.5104000000000006E-5</v>
      </c>
      <c r="H151">
        <f>'Transpo perseq'!N151*Pondération!$D$14</f>
        <v>9.1878400000000004E-5</v>
      </c>
      <c r="I151">
        <f>'Transpo perseq'!O151*Pondération!$D$16</f>
        <v>1.3890239999999999E-4</v>
      </c>
      <c r="J151">
        <f>'Transpo perseq'!P151*Pondération!$D$4</f>
        <v>3.6806400000000001E-5</v>
      </c>
      <c r="K151">
        <f>'Transpo perseq'!T151*Pondération!$D$5</f>
        <v>5.3437090373189323E-5</v>
      </c>
      <c r="L151">
        <f>'Transpo perseq'!X151*Pondération!$D$7</f>
        <v>6.2664763939277392E-5</v>
      </c>
      <c r="M151">
        <f>'Transpo perseq'!Y151*Pondération!$D$13</f>
        <v>4.5058977503575887E-5</v>
      </c>
      <c r="N151">
        <f>'Transpo perseq'!Z151*Pondération!$D$3</f>
        <v>1.1246478791562538E-5</v>
      </c>
      <c r="O151">
        <f>'Transpo perseq'!AA151*Pondération!$D$6</f>
        <v>5.4526005483253965E-4</v>
      </c>
      <c r="P151">
        <f>'Transpo perseq'!AB151*Pondération!$D$8</f>
        <v>2.3642417951635011E-4</v>
      </c>
      <c r="Q151">
        <f>'Transpo perseq'!AC151*Pondération!$D$10</f>
        <v>1.0299650787550484E-3</v>
      </c>
      <c r="R151">
        <f>'Transpo perseq'!AD151*Pondération!$D$9</f>
        <v>4.7678595870810246E-4</v>
      </c>
      <c r="S151">
        <f>'Transpo perseq'!AE151*Pondération!$D$11</f>
        <v>1.5620240668579634E-3</v>
      </c>
      <c r="U151">
        <f t="shared" si="2"/>
        <v>6.311199449277609E-3</v>
      </c>
    </row>
    <row r="152" spans="1:21" x14ac:dyDescent="0.3">
      <c r="A152" t="s">
        <v>1</v>
      </c>
      <c r="B152" t="s">
        <v>36</v>
      </c>
      <c r="C152" t="s">
        <v>58</v>
      </c>
      <c r="D152">
        <f>'Transpo perseq'!D152*Pondération!$D$17</f>
        <v>1.5872000000000003E-4</v>
      </c>
      <c r="E152">
        <f>'Transpo perseq'!E152*Pondération!$D$2</f>
        <v>1.3983840000000001E-3</v>
      </c>
      <c r="F152">
        <f>'Transpo perseq'!I152*Pondération!$D$12</f>
        <v>4.1164799999999996E-5</v>
      </c>
      <c r="G152">
        <f>'Transpo perseq'!M152*Pondération!$D$15</f>
        <v>3.8617599999999998E-7</v>
      </c>
      <c r="H152">
        <f>'Transpo perseq'!N152*Pondération!$D$14</f>
        <v>4.9254400000000001E-5</v>
      </c>
      <c r="I152">
        <f>'Transpo perseq'!O152*Pondération!$D$16</f>
        <v>7.1825599999999999E-5</v>
      </c>
      <c r="J152">
        <f>'Transpo perseq'!P152*Pondération!$D$4</f>
        <v>5.8276799999999996E-6</v>
      </c>
      <c r="K152">
        <f>'Transpo perseq'!T152*Pondération!$D$5</f>
        <v>4.6064398332929973E-5</v>
      </c>
      <c r="L152">
        <f>'Transpo perseq'!X152*Pondération!$D$7</f>
        <v>2.1152211842510703E-5</v>
      </c>
      <c r="M152">
        <f>'Transpo perseq'!Y152*Pondération!$D$13</f>
        <v>2.8032384178646174E-6</v>
      </c>
      <c r="N152">
        <f>'Transpo perseq'!Z152*Pondération!$D$3</f>
        <v>5.3091558480489177E-14</v>
      </c>
      <c r="O152">
        <f>'Transpo perseq'!AA152*Pondération!$D$6</f>
        <v>2.6121635341181255E-4</v>
      </c>
      <c r="P152">
        <f>'Transpo perseq'!AB152*Pondération!$D$8</f>
        <v>1.2819635840257573E-4</v>
      </c>
      <c r="Q152">
        <f>'Transpo perseq'!AC152*Pondération!$D$10</f>
        <v>7.5470577099812032E-4</v>
      </c>
      <c r="R152">
        <f>'Transpo perseq'!AD152*Pondération!$D$9</f>
        <v>2.1579409265032022E-5</v>
      </c>
      <c r="S152">
        <f>'Transpo perseq'!AE152*Pondération!$D$11</f>
        <v>1.3490062991477453E-4</v>
      </c>
      <c r="U152">
        <f t="shared" si="2"/>
        <v>3.0961810266387124E-3</v>
      </c>
    </row>
    <row r="153" spans="1:21" x14ac:dyDescent="0.3">
      <c r="A153" t="s">
        <v>1</v>
      </c>
      <c r="B153" t="s">
        <v>36</v>
      </c>
      <c r="C153" t="s">
        <v>75</v>
      </c>
      <c r="D153">
        <f>'Transpo perseq'!D153*Pondération!$D$17</f>
        <v>6.1107200000000003E-6</v>
      </c>
      <c r="E153">
        <f>'Transpo perseq'!E153*Pondération!$D$2</f>
        <v>2.1801312E-5</v>
      </c>
      <c r="F153">
        <f>'Transpo perseq'!I153*Pondération!$D$12</f>
        <v>2.3224319999999996E-6</v>
      </c>
      <c r="G153">
        <f>'Transpo perseq'!M153*Pondération!$D$15</f>
        <v>1.93088E-8</v>
      </c>
      <c r="H153">
        <f>'Transpo perseq'!N153*Pondération!$D$14</f>
        <v>1.44448E-6</v>
      </c>
      <c r="I153">
        <f>'Transpo perseq'!O153*Pondération!$D$16</f>
        <v>2.1725759999999999E-6</v>
      </c>
      <c r="J153">
        <f>'Transpo perseq'!P153*Pondération!$D$4</f>
        <v>7.8043199999999998E-5</v>
      </c>
      <c r="K153">
        <f>'Transpo perseq'!T153*Pondération!$D$5</f>
        <v>1.078907709943866E-6</v>
      </c>
      <c r="L153">
        <f>'Transpo perseq'!X153*Pondération!$D$7</f>
        <v>6.0907842721640316E-7</v>
      </c>
      <c r="M153">
        <f>'Transpo perseq'!Y153*Pondération!$D$13</f>
        <v>2.6662151232147348E-7</v>
      </c>
      <c r="N153">
        <f>'Transpo perseq'!Z153*Pondération!$D$3</f>
        <v>3.426577028983639E-15</v>
      </c>
      <c r="O153">
        <f>'Transpo perseq'!AA153*Pondération!$D$6</f>
        <v>1.4326635011383669E-5</v>
      </c>
      <c r="P153">
        <f>'Transpo perseq'!AB153*Pondération!$D$8</f>
        <v>3.3577902772385326E-6</v>
      </c>
      <c r="Q153">
        <f>'Transpo perseq'!AC153*Pondération!$D$10</f>
        <v>1.3891322998702489E-5</v>
      </c>
      <c r="R153">
        <f>'Transpo perseq'!AD153*Pondération!$D$9</f>
        <v>1.7094301328747222E-5</v>
      </c>
      <c r="S153">
        <f>'Transpo perseq'!AE153*Pondération!$D$11</f>
        <v>5.1733956188914593E-6</v>
      </c>
      <c r="U153">
        <f t="shared" si="2"/>
        <v>1.6771208168787167E-4</v>
      </c>
    </row>
    <row r="154" spans="1:21" x14ac:dyDescent="0.3">
      <c r="A154" t="s">
        <v>1</v>
      </c>
      <c r="B154" t="s">
        <v>36</v>
      </c>
      <c r="C154" t="s">
        <v>78</v>
      </c>
      <c r="D154">
        <f>'Transpo perseq'!D154*Pondération!$D$17</f>
        <v>5.0889600000000001E-5</v>
      </c>
      <c r="E154">
        <f>'Transpo perseq'!E154*Pondération!$D$2</f>
        <v>4.4815680000000007E-4</v>
      </c>
      <c r="F154">
        <f>'Transpo perseq'!I154*Pondération!$D$12</f>
        <v>9.2467199999999995E-5</v>
      </c>
      <c r="G154">
        <f>'Transpo perseq'!M154*Pondération!$D$15</f>
        <v>1.4739200000000001E-5</v>
      </c>
      <c r="H154">
        <f>'Transpo perseq'!N154*Pondération!$D$14</f>
        <v>1.6339200000000001E-5</v>
      </c>
      <c r="I154">
        <f>'Transpo perseq'!O154*Pondération!$D$16</f>
        <v>2.2675520000000001E-5</v>
      </c>
      <c r="J154">
        <f>'Transpo perseq'!P154*Pondération!$D$4</f>
        <v>8.2473599999999989E-6</v>
      </c>
      <c r="K154">
        <f>'Transpo perseq'!T154*Pondération!$D$5</f>
        <v>2.630181054717662E-5</v>
      </c>
      <c r="L154">
        <f>'Transpo perseq'!X154*Pondération!$D$7</f>
        <v>7.5223659639591764E-5</v>
      </c>
      <c r="M154">
        <f>'Transpo perseq'!Y154*Pondération!$D$13</f>
        <v>2.6610809736806834E-6</v>
      </c>
      <c r="N154">
        <f>'Transpo perseq'!Z154*Pondération!$D$3</f>
        <v>2.477562477317132E-7</v>
      </c>
      <c r="O154">
        <f>'Transpo perseq'!AA154*Pondération!$D$6</f>
        <v>5.8738227394771597E-5</v>
      </c>
      <c r="P154">
        <f>'Transpo perseq'!AB154*Pondération!$D$8</f>
        <v>4.6946687794264306E-5</v>
      </c>
      <c r="Q154">
        <f>'Transpo perseq'!AC154*Pondération!$D$10</f>
        <v>6.7210431185793517E-4</v>
      </c>
      <c r="R154">
        <f>'Transpo perseq'!AD154*Pondération!$D$9</f>
        <v>1.3295155717789211E-5</v>
      </c>
      <c r="S154">
        <f>'Transpo perseq'!AE154*Pondération!$D$11</f>
        <v>1.8361358660420426E-4</v>
      </c>
      <c r="U154">
        <f t="shared" si="2"/>
        <v>1.7326471567771454E-3</v>
      </c>
    </row>
    <row r="155" spans="1:21" x14ac:dyDescent="0.3">
      <c r="A155" t="s">
        <v>1</v>
      </c>
      <c r="B155" t="s">
        <v>36</v>
      </c>
      <c r="C155" t="s">
        <v>59</v>
      </c>
      <c r="D155">
        <f>'Transpo perseq'!D155*Pondération!$D$17</f>
        <v>7.9360000000000013E-5</v>
      </c>
      <c r="E155">
        <f>'Transpo perseq'!E155*Pondération!$D$2</f>
        <v>7.7163840000000008E-4</v>
      </c>
      <c r="F155">
        <f>'Transpo perseq'!I155*Pondération!$D$12</f>
        <v>1.385472E-3</v>
      </c>
      <c r="G155">
        <f>'Transpo perseq'!M155*Pondération!$D$15</f>
        <v>1.8188799999999998E-5</v>
      </c>
      <c r="H155">
        <f>'Transpo perseq'!N155*Pondération!$D$14</f>
        <v>3.29152E-5</v>
      </c>
      <c r="I155">
        <f>'Transpo perseq'!O155*Pondération!$D$16</f>
        <v>3.9771200000000003E-5</v>
      </c>
      <c r="J155">
        <f>'Transpo perseq'!P155*Pondération!$D$4</f>
        <v>5.3505599999999998E-5</v>
      </c>
      <c r="K155">
        <f>'Transpo perseq'!T155*Pondération!$D$5</f>
        <v>3.4102978974540982E-4</v>
      </c>
      <c r="L155">
        <f>'Transpo perseq'!X155*Pondération!$D$7</f>
        <v>9.1954851762282377E-5</v>
      </c>
      <c r="M155">
        <f>'Transpo perseq'!Y155*Pondération!$D$13</f>
        <v>3.5666825780290762E-7</v>
      </c>
      <c r="N155">
        <f>'Transpo perseq'!Z155*Pondération!$D$3</f>
        <v>1.4379301868617631E-12</v>
      </c>
      <c r="O155">
        <f>'Transpo perseq'!AA155*Pondération!$D$6</f>
        <v>8.2011522239334634E-5</v>
      </c>
      <c r="P155">
        <f>'Transpo perseq'!AB155*Pondération!$D$8</f>
        <v>7.1479369974509875E-5</v>
      </c>
      <c r="Q155">
        <f>'Transpo perseq'!AC155*Pondération!$D$10</f>
        <v>7.0398946936188543E-4</v>
      </c>
      <c r="R155">
        <f>'Transpo perseq'!AD155*Pondération!$D$9</f>
        <v>1.7315844444081012E-5</v>
      </c>
      <c r="S155">
        <f>'Transpo perseq'!AE155*Pondération!$D$11</f>
        <v>1.5924162178996258E-3</v>
      </c>
      <c r="U155">
        <f t="shared" si="2"/>
        <v>5.2814049351228619E-3</v>
      </c>
    </row>
    <row r="156" spans="1:21" x14ac:dyDescent="0.3">
      <c r="A156" t="s">
        <v>1</v>
      </c>
      <c r="B156" t="s">
        <v>36</v>
      </c>
      <c r="C156" t="s">
        <v>56</v>
      </c>
      <c r="D156">
        <f>'Transpo perseq'!D156*Pondération!$D$17</f>
        <v>1.3987618220450135E-6</v>
      </c>
      <c r="E156">
        <f>'Transpo perseq'!E156*Pondération!$D$2</f>
        <v>8.730275034867864E-6</v>
      </c>
      <c r="F156">
        <f>'Transpo perseq'!I156*Pondération!$D$12</f>
        <v>1.6910180911645316E-6</v>
      </c>
      <c r="G156">
        <f>'Transpo perseq'!M156*Pondération!$D$15</f>
        <v>8.4017882731431042E-8</v>
      </c>
      <c r="H156">
        <f>'Transpo perseq'!N156*Pondération!$D$14</f>
        <v>7.6598866476940684E-7</v>
      </c>
      <c r="I156">
        <f>'Transpo perseq'!O156*Pondération!$D$16</f>
        <v>1.0629046660732499E-6</v>
      </c>
      <c r="J156">
        <f>'Transpo perseq'!P156*Pondération!$D$4</f>
        <v>1.6693120940737488E-7</v>
      </c>
      <c r="K156">
        <f>'Transpo perseq'!T156*Pondération!$D$5</f>
        <v>7.1818858126652605E-7</v>
      </c>
      <c r="L156">
        <f>'Transpo perseq'!X156*Pondération!$D$7</f>
        <v>-2.3898807731246809E-6</v>
      </c>
      <c r="M156">
        <f>'Transpo perseq'!Y156*Pondération!$D$13</f>
        <v>2.8280616097759544E-5</v>
      </c>
      <c r="N156">
        <f>'Transpo perseq'!Z156*Pondération!$D$3</f>
        <v>-2.8901794805962419E-17</v>
      </c>
      <c r="O156">
        <f>'Transpo perseq'!AA156*Pondération!$D$6</f>
        <v>1.920149294114681E-6</v>
      </c>
      <c r="P156">
        <f>'Transpo perseq'!AB156*Pondération!$D$8</f>
        <v>1.7428781393768404E-6</v>
      </c>
      <c r="Q156">
        <f>'Transpo perseq'!AC156*Pondération!$D$10</f>
        <v>1.1612925787580934E-6</v>
      </c>
      <c r="R156">
        <f>'Transpo perseq'!AD156*Pondération!$D$9</f>
        <v>4.3643934086920796E-8</v>
      </c>
      <c r="S156">
        <f>'Transpo perseq'!AE156*Pondération!$D$11</f>
        <v>3.612557792772156E-7</v>
      </c>
      <c r="U156">
        <f t="shared" si="2"/>
        <v>4.5738041002545104E-5</v>
      </c>
    </row>
    <row r="157" spans="1:21" x14ac:dyDescent="0.3">
      <c r="A157" t="s">
        <v>1</v>
      </c>
      <c r="B157" t="s">
        <v>36</v>
      </c>
      <c r="C157" t="s">
        <v>80</v>
      </c>
      <c r="D157">
        <f>'Transpo perseq'!D157*Pondération!$D$17</f>
        <v>2.0623564961606579E-5</v>
      </c>
      <c r="E157">
        <f>'Transpo perseq'!E157*Pondération!$D$2</f>
        <v>1.947486662899541E-5</v>
      </c>
      <c r="F157">
        <f>'Transpo perseq'!I157*Pondération!$D$12</f>
        <v>2.0760120337846668E-6</v>
      </c>
      <c r="G157">
        <f>'Transpo perseq'!M157*Pondération!$D$15</f>
        <v>3.2138474008194447E-6</v>
      </c>
      <c r="H157">
        <f>'Transpo perseq'!N157*Pondération!$D$14</f>
        <v>5.5789599575703892E-6</v>
      </c>
      <c r="I157">
        <f>'Transpo perseq'!O157*Pondération!$D$16</f>
        <v>1.7178138638562894E-5</v>
      </c>
      <c r="J157">
        <f>'Transpo perseq'!P157*Pondération!$D$4</f>
        <v>1.0982993365038058E-7</v>
      </c>
      <c r="K157">
        <f>'Transpo perseq'!T157*Pondération!$D$5</f>
        <v>3.9131259613442971E-7</v>
      </c>
      <c r="L157">
        <f>'Transpo perseq'!X157*Pondération!$D$7</f>
        <v>1.6882484377562549E-7</v>
      </c>
      <c r="M157">
        <f>'Transpo perseq'!Y157*Pondération!$D$13</f>
        <v>8.5204308111855534E-6</v>
      </c>
      <c r="N157">
        <f>'Transpo perseq'!Z157*Pondération!$D$3</f>
        <v>1.1352619771217454E-8</v>
      </c>
      <c r="O157">
        <f>'Transpo perseq'!AA157*Pondération!$D$6</f>
        <v>1.9372757661570253E-5</v>
      </c>
      <c r="P157">
        <f>'Transpo perseq'!AB157*Pondération!$D$8</f>
        <v>8.9140863132014184E-7</v>
      </c>
      <c r="Q157">
        <f>'Transpo perseq'!AC157*Pondération!$D$10</f>
        <v>1.5723263304417844E-6</v>
      </c>
      <c r="R157">
        <f>'Transpo perseq'!AD157*Pondération!$D$9</f>
        <v>3.261244070352802E-7</v>
      </c>
      <c r="S157">
        <f>'Transpo perseq'!AE157*Pondération!$D$11</f>
        <v>7.1342079014653648E-5</v>
      </c>
      <c r="U157">
        <f t="shared" si="2"/>
        <v>1.7085183647087766E-4</v>
      </c>
    </row>
    <row r="158" spans="1:21" x14ac:dyDescent="0.3">
      <c r="A158" t="s">
        <v>1</v>
      </c>
      <c r="B158" t="s">
        <v>36</v>
      </c>
      <c r="C158" t="s">
        <v>57</v>
      </c>
      <c r="D158">
        <f>'Transpo perseq'!D158*Pondération!$D$17</f>
        <v>2.3144598881560571E-5</v>
      </c>
      <c r="E158">
        <f>'Transpo perseq'!E158*Pondération!$D$2</f>
        <v>9.0270017295691749E-5</v>
      </c>
      <c r="F158">
        <f>'Transpo perseq'!I158*Pondération!$D$12</f>
        <v>1.5402655561414011E-5</v>
      </c>
      <c r="G158">
        <f>'Transpo perseq'!M158*Pondération!$D$15</f>
        <v>1.7933946278745281E-7</v>
      </c>
      <c r="H158">
        <f>'Transpo perseq'!N158*Pondération!$D$14</f>
        <v>1.5351265862619598E-5</v>
      </c>
      <c r="I158">
        <f>'Transpo perseq'!O158*Pondération!$D$16</f>
        <v>2.3545952432594769E-5</v>
      </c>
      <c r="J158">
        <f>'Transpo perseq'!P158*Pondération!$D$4</f>
        <v>8.7317962807138811E-7</v>
      </c>
      <c r="K158">
        <f>'Transpo perseq'!T158*Pondération!$D$5</f>
        <v>3.0793580386869295E-6</v>
      </c>
      <c r="L158">
        <f>'Transpo perseq'!X158*Pondération!$D$7</f>
        <v>1.4584517041919883E-7</v>
      </c>
      <c r="M158">
        <f>'Transpo perseq'!Y158*Pondération!$D$13</f>
        <v>1.5366109459683652E-6</v>
      </c>
      <c r="N158">
        <f>'Transpo perseq'!Z158*Pondération!$D$3</f>
        <v>8.0443806501795217E-16</v>
      </c>
      <c r="O158">
        <f>'Transpo perseq'!AA158*Pondération!$D$6</f>
        <v>1.1589176584441243E-5</v>
      </c>
      <c r="P158">
        <f>'Transpo perseq'!AB158*Pondération!$D$8</f>
        <v>2.3027978946066637E-5</v>
      </c>
      <c r="Q158">
        <f>'Transpo perseq'!AC158*Pondération!$D$10</f>
        <v>5.9058512618063323E-5</v>
      </c>
      <c r="R158">
        <f>'Transpo perseq'!AD158*Pondération!$D$9</f>
        <v>3.6583117113691488E-7</v>
      </c>
      <c r="S158">
        <f>'Transpo perseq'!AE158*Pondération!$D$11</f>
        <v>2.3853777560846558E-7</v>
      </c>
      <c r="U158">
        <f t="shared" si="2"/>
        <v>2.6780886037593502E-4</v>
      </c>
    </row>
    <row r="159" spans="1:21" x14ac:dyDescent="0.3">
      <c r="A159" t="s">
        <v>1</v>
      </c>
      <c r="B159" t="s">
        <v>37</v>
      </c>
      <c r="C159" t="s">
        <v>70</v>
      </c>
      <c r="D159">
        <f>'Transpo perseq'!D159*Pondération!$D$17</f>
        <v>4.7599475436448683E-3</v>
      </c>
      <c r="E159">
        <f>'Transpo perseq'!E159*Pondération!$D$2</f>
        <v>2.5028296612749322E-2</v>
      </c>
      <c r="F159">
        <f>'Transpo perseq'!I159*Pondération!$D$12</f>
        <v>1.8829856317007707E-3</v>
      </c>
      <c r="G159">
        <f>'Transpo perseq'!M159*Pondération!$D$15</f>
        <v>3.6101858053300977E-5</v>
      </c>
      <c r="H159">
        <f>'Transpo perseq'!N159*Pondération!$D$14</f>
        <v>1.0035352638019506E-3</v>
      </c>
      <c r="I159">
        <f>'Transpo perseq'!O159*Pondération!$D$16</f>
        <v>1.513841329989978E-3</v>
      </c>
      <c r="J159">
        <f>'Transpo perseq'!P159*Pondération!$D$4</f>
        <v>5.3899768753196467E-4</v>
      </c>
      <c r="K159">
        <f>'Transpo perseq'!T159*Pondération!$D$5</f>
        <v>8.1877504493564417E-4</v>
      </c>
      <c r="L159">
        <f>'Transpo perseq'!X159*Pondération!$D$7</f>
        <v>1.8996616646505056E-3</v>
      </c>
      <c r="M159">
        <f>'Transpo perseq'!Y159*Pondération!$D$13</f>
        <v>1.5727602583430795E-4</v>
      </c>
      <c r="N159">
        <f>'Transpo perseq'!Z159*Pondération!$D$3</f>
        <v>5.5976878678438751E-6</v>
      </c>
      <c r="O159">
        <f>'Transpo perseq'!AA159*Pondération!$D$6</f>
        <v>6.5829924317311935E-3</v>
      </c>
      <c r="P159">
        <f>'Transpo perseq'!AB159*Pondération!$D$8</f>
        <v>2.3922803016785516E-3</v>
      </c>
      <c r="Q159">
        <f>'Transpo perseq'!AC159*Pondération!$D$10</f>
        <v>1.6786228179175536E-2</v>
      </c>
      <c r="R159">
        <f>'Transpo perseq'!AD159*Pondération!$D$9</f>
        <v>1.6786686964744418E-2</v>
      </c>
      <c r="S159">
        <f>'Transpo perseq'!AE159*Pondération!$D$11</f>
        <v>1.6940286503631015E-3</v>
      </c>
      <c r="U159">
        <f t="shared" si="2"/>
        <v>8.1887232878453245E-2</v>
      </c>
    </row>
    <row r="160" spans="1:21" x14ac:dyDescent="0.3">
      <c r="A160" t="s">
        <v>1</v>
      </c>
      <c r="B160" t="s">
        <v>37</v>
      </c>
      <c r="C160" t="s">
        <v>71</v>
      </c>
      <c r="D160">
        <f>'Transpo perseq'!D160*Pondération!$D$17</f>
        <v>1.3651913296087751E-3</v>
      </c>
      <c r="E160">
        <f>'Transpo perseq'!E160*Pondération!$D$2</f>
        <v>6.6716227334385576E-3</v>
      </c>
      <c r="F160">
        <f>'Transpo perseq'!I160*Pondération!$D$12</f>
        <v>5.1571192897462885E-4</v>
      </c>
      <c r="G160">
        <f>'Transpo perseq'!M160*Pondération!$D$15</f>
        <v>7.2873534164858559E-6</v>
      </c>
      <c r="H160">
        <f>'Transpo perseq'!N160*Pondération!$D$14</f>
        <v>2.609294865324965E-4</v>
      </c>
      <c r="I160">
        <f>'Transpo perseq'!O160*Pondération!$D$16</f>
        <v>3.9350637142543951E-4</v>
      </c>
      <c r="J160">
        <f>'Transpo perseq'!P160*Pondération!$D$4</f>
        <v>1.6239301092336938E-4</v>
      </c>
      <c r="K160">
        <f>'Transpo perseq'!T160*Pondération!$D$5</f>
        <v>2.4440707367109909E-4</v>
      </c>
      <c r="L160">
        <f>'Transpo perseq'!X160*Pondération!$D$7</f>
        <v>4.6592480573927727E-4</v>
      </c>
      <c r="M160">
        <f>'Transpo perseq'!Y160*Pondération!$D$13</f>
        <v>4.0279304199627292E-5</v>
      </c>
      <c r="N160">
        <f>'Transpo perseq'!Z160*Pondération!$D$3</f>
        <v>1.0444206395216875E-6</v>
      </c>
      <c r="O160">
        <f>'Transpo perseq'!AA160*Pondération!$D$6</f>
        <v>1.9442330553773998E-3</v>
      </c>
      <c r="P160">
        <f>'Transpo perseq'!AB160*Pondération!$D$8</f>
        <v>6.2870808420535196E-4</v>
      </c>
      <c r="Q160">
        <f>'Transpo perseq'!AC160*Pondération!$D$10</f>
        <v>4.2657507991517955E-3</v>
      </c>
      <c r="R160">
        <f>'Transpo perseq'!AD160*Pondération!$D$9</f>
        <v>5.2538084765403684E-3</v>
      </c>
      <c r="S160">
        <f>'Transpo perseq'!AE160*Pondération!$D$11</f>
        <v>4.2645324202427451E-4</v>
      </c>
      <c r="U160">
        <f t="shared" si="2"/>
        <v>2.264725147586847E-2</v>
      </c>
    </row>
    <row r="161" spans="1:21" x14ac:dyDescent="0.3">
      <c r="A161" t="s">
        <v>1</v>
      </c>
      <c r="B161" t="s">
        <v>37</v>
      </c>
      <c r="C161" t="s">
        <v>92</v>
      </c>
      <c r="D161">
        <f>'Transpo perseq'!D161*Pondération!$D$17</f>
        <v>2.6223823095245403E-5</v>
      </c>
      <c r="E161">
        <f>'Transpo perseq'!E161*Pondération!$D$2</f>
        <v>1.23979989044519E-4</v>
      </c>
      <c r="F161">
        <f>'Transpo perseq'!I161*Pondération!$D$12</f>
        <v>9.497292937929001E-6</v>
      </c>
      <c r="G161">
        <f>'Transpo perseq'!M161*Pondération!$D$15</f>
        <v>3.9832998276551423E-8</v>
      </c>
      <c r="H161">
        <f>'Transpo perseq'!N161*Pondération!$D$14</f>
        <v>4.7440470754817733E-6</v>
      </c>
      <c r="I161">
        <f>'Transpo perseq'!O161*Pondération!$D$16</f>
        <v>7.1532204393691722E-6</v>
      </c>
      <c r="J161">
        <f>'Transpo perseq'!P161*Pondération!$D$4</f>
        <v>3.1711709638854434E-6</v>
      </c>
      <c r="K161">
        <f>'Transpo perseq'!T161*Pondération!$D$5</f>
        <v>4.7590670941245174E-6</v>
      </c>
      <c r="L161">
        <f>'Transpo perseq'!X161*Pondération!$D$7</f>
        <v>8.3769529058131425E-6</v>
      </c>
      <c r="M161">
        <f>'Transpo perseq'!Y161*Pondération!$D$13</f>
        <v>6.8317847512454649E-7</v>
      </c>
      <c r="N161">
        <f>'Transpo perseq'!Z161*Pondération!$D$3</f>
        <v>1.3223357258713309E-13</v>
      </c>
      <c r="O161">
        <f>'Transpo perseq'!AA161*Pondération!$D$6</f>
        <v>3.75322307619549E-5</v>
      </c>
      <c r="P161">
        <f>'Transpo perseq'!AB161*Pondération!$D$8</f>
        <v>1.1466883608270996E-5</v>
      </c>
      <c r="Q161">
        <f>'Transpo perseq'!AC161*Pondération!$D$10</f>
        <v>7.7389270981987189E-5</v>
      </c>
      <c r="R161">
        <f>'Transpo perseq'!AD161*Pondération!$D$9</f>
        <v>1.0506258115112362E-4</v>
      </c>
      <c r="S161">
        <f>'Transpo perseq'!AE161*Pondération!$D$11</f>
        <v>5.6247654845301779E-6</v>
      </c>
      <c r="U161">
        <f t="shared" si="2"/>
        <v>4.2570430714986902E-4</v>
      </c>
    </row>
    <row r="162" spans="1:21" x14ac:dyDescent="0.3">
      <c r="A162" t="s">
        <v>1</v>
      </c>
      <c r="B162" t="s">
        <v>37</v>
      </c>
      <c r="C162" t="s">
        <v>58</v>
      </c>
      <c r="D162">
        <f>'Transpo perseq'!D162*Pondération!$D$17</f>
        <v>1.6300228402320081E-5</v>
      </c>
      <c r="E162">
        <f>'Transpo perseq'!E162*Pondération!$D$2</f>
        <v>1.4377512155535263E-4</v>
      </c>
      <c r="F162">
        <f>'Transpo perseq'!I162*Pondération!$D$12</f>
        <v>4.2244248869457712E-6</v>
      </c>
      <c r="G162">
        <f>'Transpo perseq'!M162*Pondération!$D$15</f>
        <v>3.9707058948035497E-8</v>
      </c>
      <c r="H162">
        <f>'Transpo perseq'!N162*Pondération!$D$14</f>
        <v>5.0685467254990149E-6</v>
      </c>
      <c r="I162">
        <f>'Transpo perseq'!O162*Pondération!$D$16</f>
        <v>7.395955649678816E-6</v>
      </c>
      <c r="J162">
        <f>'Transpo perseq'!P162*Pondération!$D$4</f>
        <v>6.0028558188075999E-7</v>
      </c>
      <c r="K162">
        <f>'Transpo perseq'!T162*Pondération!$D$5</f>
        <v>4.7365422822474244E-6</v>
      </c>
      <c r="L162">
        <f>'Transpo perseq'!X162*Pondération!$D$7</f>
        <v>2.1749626475308911E-6</v>
      </c>
      <c r="M162">
        <f>'Transpo perseq'!Y162*Pondération!$D$13</f>
        <v>2.8824119654124208E-7</v>
      </c>
      <c r="N162">
        <f>'Transpo perseq'!Z162*Pondération!$D$3</f>
        <v>5.4591055277819887E-15</v>
      </c>
      <c r="O162">
        <f>'Transpo perseq'!AA162*Pondération!$D$6</f>
        <v>2.685940438876979E-5</v>
      </c>
      <c r="P162">
        <f>'Transpo perseq'!AB162*Pondération!$D$8</f>
        <v>1.3181708520653212E-5</v>
      </c>
      <c r="Q162">
        <f>'Transpo perseq'!AC162*Pondération!$D$10</f>
        <v>7.760213797112192E-5</v>
      </c>
      <c r="R162">
        <f>'Transpo perseq'!AD162*Pondération!$D$9</f>
        <v>2.2188889491405351E-6</v>
      </c>
      <c r="S162">
        <f>'Transpo perseq'!AE162*Pondération!$D$11</f>
        <v>1.3871070948871288E-5</v>
      </c>
      <c r="U162">
        <f t="shared" si="2"/>
        <v>3.1833722677096049E-4</v>
      </c>
    </row>
    <row r="163" spans="1:21" x14ac:dyDescent="0.3">
      <c r="A163" t="s">
        <v>1</v>
      </c>
      <c r="B163" t="s">
        <v>37</v>
      </c>
      <c r="C163" t="s">
        <v>74</v>
      </c>
      <c r="D163">
        <f>'Transpo perseq'!D163*Pondération!$D$17</f>
        <v>2.0210453691335072E-6</v>
      </c>
      <c r="E163">
        <f>'Transpo perseq'!E163*Pondération!$D$2</f>
        <v>2.1325164376531368E-5</v>
      </c>
      <c r="F163">
        <f>'Transpo perseq'!I163*Pondération!$D$12</f>
        <v>9.2648521687156532E-6</v>
      </c>
      <c r="G163">
        <f>'Transpo perseq'!M163*Pondération!$D$15</f>
        <v>4.3140707763137424E-7</v>
      </c>
      <c r="H163">
        <f>'Transpo perseq'!N163*Pondération!$D$14</f>
        <v>8.089557070354577E-7</v>
      </c>
      <c r="I163">
        <f>'Transpo perseq'!O163*Pondération!$D$16</f>
        <v>1.1924990501296549E-6</v>
      </c>
      <c r="J163">
        <f>'Transpo perseq'!P163*Pondération!$D$4</f>
        <v>3.0778159869897132E-7</v>
      </c>
      <c r="K163">
        <f>'Transpo perseq'!T163*Pondération!$D$5</f>
        <v>1.6214471698390104E-6</v>
      </c>
      <c r="L163">
        <f>'Transpo perseq'!X163*Pondération!$D$7</f>
        <v>1.4361946202888802E-6</v>
      </c>
      <c r="M163">
        <f>'Transpo perseq'!Y163*Pondération!$D$13</f>
        <v>9.5658153433730253E-9</v>
      </c>
      <c r="N163">
        <f>'Transpo perseq'!Z163*Pondération!$D$3</f>
        <v>1.2433711467533493E-14</v>
      </c>
      <c r="O163">
        <f>'Transpo perseq'!AA163*Pondération!$D$6</f>
        <v>1.5073238773658992E-6</v>
      </c>
      <c r="P163">
        <f>'Transpo perseq'!AB163*Pondération!$D$8</f>
        <v>1.7045982680709064E-6</v>
      </c>
      <c r="Q163">
        <f>'Transpo perseq'!AC163*Pondération!$D$10</f>
        <v>1.7522484908058225E-5</v>
      </c>
      <c r="R163">
        <f>'Transpo perseq'!AD163*Pondération!$D$9</f>
        <v>-1.8593849721597998E-8</v>
      </c>
      <c r="S163">
        <f>'Transpo perseq'!AE163*Pondération!$D$11</f>
        <v>-3.1134497190381831E-7</v>
      </c>
      <c r="U163">
        <f t="shared" si="2"/>
        <v>5.8823381197650576E-5</v>
      </c>
    </row>
    <row r="164" spans="1:21" x14ac:dyDescent="0.3">
      <c r="A164" t="s">
        <v>1</v>
      </c>
      <c r="B164" t="s">
        <v>37</v>
      </c>
      <c r="C164" t="s">
        <v>75</v>
      </c>
      <c r="D164">
        <f>'Transpo perseq'!D164*Pondération!$D$17</f>
        <v>7.1324799999999993E-6</v>
      </c>
      <c r="E164">
        <f>'Transpo perseq'!E164*Pondération!$D$2</f>
        <v>2.5406784000000002E-5</v>
      </c>
      <c r="F164">
        <f>'Transpo perseq'!I164*Pondération!$D$12</f>
        <v>2.7095039999999997E-6</v>
      </c>
      <c r="G164">
        <f>'Transpo perseq'!M164*Pondération!$D$15</f>
        <v>2.25344E-8</v>
      </c>
      <c r="H164">
        <f>'Transpo perseq'!N164*Pondération!$D$14</f>
        <v>1.6860160000000001E-6</v>
      </c>
      <c r="I164">
        <f>'Transpo perseq'!O164*Pondération!$D$16</f>
        <v>2.5346720000000001E-6</v>
      </c>
      <c r="J164">
        <f>'Transpo perseq'!P164*Pondération!$D$4</f>
        <v>9.0993599999999989E-5</v>
      </c>
      <c r="K164">
        <f>'Transpo perseq'!T164*Pondération!$D$5</f>
        <v>1.2587256616011775E-6</v>
      </c>
      <c r="L164">
        <f>'Transpo perseq'!X164*Pondération!$D$7</f>
        <v>7.1059149841913614E-7</v>
      </c>
      <c r="M164">
        <f>'Transpo perseq'!Y164*Pondération!$D$13</f>
        <v>3.1105843104172178E-7</v>
      </c>
      <c r="N164">
        <f>'Transpo perseq'!Z164*Pondération!$D$3</f>
        <v>3.9976732004809073E-15</v>
      </c>
      <c r="O164">
        <f>'Transpo perseq'!AA164*Pondération!$D$6</f>
        <v>1.6714407513280942E-5</v>
      </c>
      <c r="P164">
        <f>'Transpo perseq'!AB164*Pondération!$D$8</f>
        <v>3.9174219901116181E-6</v>
      </c>
      <c r="Q164">
        <f>'Transpo perseq'!AC164*Pondération!$D$10</f>
        <v>1.6206543498486149E-5</v>
      </c>
      <c r="R164">
        <f>'Transpo perseq'!AD164*Pondération!$D$9</f>
        <v>1.9943351550205093E-5</v>
      </c>
      <c r="S164">
        <f>'Transpo perseq'!AE164*Pondération!$D$11</f>
        <v>6.0356282220401718E-6</v>
      </c>
      <c r="U164">
        <f t="shared" si="2"/>
        <v>1.9558331876918367E-4</v>
      </c>
    </row>
    <row r="165" spans="1:21" x14ac:dyDescent="0.3">
      <c r="A165" t="s">
        <v>1</v>
      </c>
      <c r="B165" t="s">
        <v>37</v>
      </c>
      <c r="C165" t="s">
        <v>78</v>
      </c>
      <c r="D165">
        <f>'Transpo perseq'!D165*Pondération!$D$17</f>
        <v>6.6067199999999995E-6</v>
      </c>
      <c r="E165">
        <f>'Transpo perseq'!E165*Pondération!$D$2</f>
        <v>5.8294080000000007E-5</v>
      </c>
      <c r="F165">
        <f>'Transpo perseq'!I165*Pondération!$D$12</f>
        <v>1.201152E-5</v>
      </c>
      <c r="G165">
        <f>'Transpo perseq'!M165*Pondération!$D$15</f>
        <v>1.9174399999999999E-6</v>
      </c>
      <c r="H165">
        <f>'Transpo perseq'!N165*Pondération!$D$14</f>
        <v>2.1264640000000002E-6</v>
      </c>
      <c r="I165">
        <f>'Transpo perseq'!O165*Pondération!$D$16</f>
        <v>2.9501919999999999E-6</v>
      </c>
      <c r="J165">
        <f>'Transpo perseq'!P165*Pondération!$D$4</f>
        <v>1.0735199999999999E-6</v>
      </c>
      <c r="K165">
        <f>'Transpo perseq'!T165*Pondération!$D$5</f>
        <v>3.4180767010647883E-6</v>
      </c>
      <c r="L165">
        <f>'Transpo perseq'!X165*Pondération!$D$7</f>
        <v>9.7757619355416566E-6</v>
      </c>
      <c r="M165">
        <f>'Transpo perseq'!Y165*Pondération!$D$13</f>
        <v>3.4582329834176356E-7</v>
      </c>
      <c r="N165">
        <f>'Transpo perseq'!Z165*Pondération!$D$3</f>
        <v>3.219739783297599E-8</v>
      </c>
      <c r="O165">
        <f>'Transpo perseq'!AA165*Pondération!$D$6</f>
        <v>7.6333819742104077E-6</v>
      </c>
      <c r="P165">
        <f>'Transpo perseq'!AB165*Pondération!$D$8</f>
        <v>6.1010012772281788E-6</v>
      </c>
      <c r="Q165">
        <f>'Transpo perseq'!AC165*Pondération!$D$10</f>
        <v>8.734395242206646E-5</v>
      </c>
      <c r="R165">
        <f>'Transpo perseq'!AD165*Pondération!$D$9</f>
        <v>1.7277845536333936E-6</v>
      </c>
      <c r="S165">
        <f>'Transpo perseq'!AE165*Pondération!$D$11</f>
        <v>2.3861677554290828E-5</v>
      </c>
      <c r="U165">
        <f t="shared" si="2"/>
        <v>2.2521959311421044E-4</v>
      </c>
    </row>
    <row r="166" spans="1:21" x14ac:dyDescent="0.3">
      <c r="A166" t="s">
        <v>1</v>
      </c>
      <c r="B166" t="s">
        <v>37</v>
      </c>
      <c r="C166" t="s">
        <v>59</v>
      </c>
      <c r="D166">
        <f>'Transpo perseq'!D166*Pondération!$D$17</f>
        <v>1.0812800000000001E-5</v>
      </c>
      <c r="E166">
        <f>'Transpo perseq'!E166*Pondération!$D$2</f>
        <v>1.0479456E-4</v>
      </c>
      <c r="F166">
        <f>'Transpo perseq'!I166*Pondération!$D$12</f>
        <v>1.8862079999999997E-4</v>
      </c>
      <c r="G166">
        <f>'Transpo perseq'!M166*Pondération!$D$15</f>
        <v>2.47296E-6</v>
      </c>
      <c r="H166">
        <f>'Transpo perseq'!N166*Pondération!$D$14</f>
        <v>4.4755199999999995E-6</v>
      </c>
      <c r="I166">
        <f>'Transpo perseq'!O166*Pondération!$D$16</f>
        <v>5.4076959999999998E-6</v>
      </c>
      <c r="J166">
        <f>'Transpo perseq'!P166*Pondération!$D$4</f>
        <v>7.2590399999999997E-6</v>
      </c>
      <c r="K166">
        <f>'Transpo perseq'!T166*Pondération!$D$5</f>
        <v>4.638527791556324E-5</v>
      </c>
      <c r="L166">
        <f>'Transpo perseq'!X166*Pondération!$D$7</f>
        <v>1.2507269109429177E-5</v>
      </c>
      <c r="M166">
        <f>'Transpo perseq'!Y166*Pondération!$D$13</f>
        <v>4.8512349241391711E-8</v>
      </c>
      <c r="N166">
        <f>'Transpo perseq'!Z166*Pondération!$D$3</f>
        <v>1.9558054265744299E-13</v>
      </c>
      <c r="O166">
        <f>'Transpo perseq'!AA166*Pondération!$D$6</f>
        <v>1.1154823906116394E-5</v>
      </c>
      <c r="P166">
        <f>'Transpo perseq'!AB166*Pondération!$D$8</f>
        <v>9.7222897858049674E-6</v>
      </c>
      <c r="Q166">
        <f>'Transpo perseq'!AC166*Pondération!$D$10</f>
        <v>9.5753356943857883E-5</v>
      </c>
      <c r="R166">
        <f>'Transpo perseq'!AD166*Pondération!$D$9</f>
        <v>2.3552202213213693E-6</v>
      </c>
      <c r="S166">
        <f>'Transpo perseq'!AE166*Pondération!$D$11</f>
        <v>2.1659301048060085E-4</v>
      </c>
      <c r="U166">
        <f t="shared" si="2"/>
        <v>7.1836313690751578E-4</v>
      </c>
    </row>
    <row r="167" spans="1:21" x14ac:dyDescent="0.3">
      <c r="A167" t="s">
        <v>1</v>
      </c>
      <c r="B167" t="s">
        <v>37</v>
      </c>
      <c r="C167" t="s">
        <v>56</v>
      </c>
      <c r="D167">
        <f>'Transpo perseq'!D167*Pondération!$D$17</f>
        <v>8.3427199999999997E-7</v>
      </c>
      <c r="E167">
        <f>'Transpo perseq'!E167*Pondération!$D$2</f>
        <v>3.1842719999999998E-6</v>
      </c>
      <c r="F167">
        <f>'Transpo perseq'!I167*Pondération!$D$12</f>
        <v>2.4176639999999999E-7</v>
      </c>
      <c r="G167">
        <f>'Transpo perseq'!M167*Pondération!$D$15</f>
        <v>1.8995200000000001E-7</v>
      </c>
      <c r="H167">
        <f>'Transpo perseq'!N167*Pondération!$D$14</f>
        <v>4.1108479999999999E-7</v>
      </c>
      <c r="I167">
        <f>'Transpo perseq'!O167*Pondération!$D$16</f>
        <v>5.7282400000000007E-7</v>
      </c>
      <c r="J167">
        <f>'Transpo perseq'!P167*Pondération!$D$4</f>
        <v>6.3388800000000002E-8</v>
      </c>
      <c r="K167">
        <f>'Transpo perseq'!T167*Pondération!$D$5</f>
        <v>2.8905856709801009E-7</v>
      </c>
      <c r="L167">
        <f>'Transpo perseq'!X167*Pondération!$D$7</f>
        <v>-1.178777590743057E-6</v>
      </c>
      <c r="M167">
        <f>'Transpo perseq'!Y167*Pondération!$D$13</f>
        <v>1.5278687584077147E-5</v>
      </c>
      <c r="N167">
        <f>'Transpo perseq'!Z167*Pondération!$D$3</f>
        <v>2.3375009717479309E-9</v>
      </c>
      <c r="O167">
        <f>'Transpo perseq'!AA167*Pondération!$D$6</f>
        <v>1.423746537871927E-6</v>
      </c>
      <c r="P167">
        <f>'Transpo perseq'!AB167*Pondération!$D$8</f>
        <v>9.0467767457058109E-7</v>
      </c>
      <c r="Q167">
        <f>'Transpo perseq'!AC167*Pondération!$D$10</f>
        <v>-6.2880757101395652E-7</v>
      </c>
      <c r="R167">
        <f>'Transpo perseq'!AD167*Pondération!$D$9</f>
        <v>3.4622196397316759E-8</v>
      </c>
      <c r="S167">
        <f>'Transpo perseq'!AE167*Pondération!$D$11</f>
        <v>2.9243471534198841E-5</v>
      </c>
      <c r="U167">
        <f t="shared" si="2"/>
        <v>5.0866576433428554E-5</v>
      </c>
    </row>
    <row r="168" spans="1:21" x14ac:dyDescent="0.3">
      <c r="A168" t="s">
        <v>1</v>
      </c>
      <c r="B168" t="s">
        <v>37</v>
      </c>
      <c r="C168" t="s">
        <v>93</v>
      </c>
      <c r="D168">
        <f>'Transpo perseq'!D168*Pondération!$D$17</f>
        <v>2.3807999999999997E-7</v>
      </c>
      <c r="E168">
        <f>'Transpo perseq'!E168*Pondération!$D$2</f>
        <v>1.9577376000000004E-6</v>
      </c>
      <c r="F168">
        <f>'Transpo perseq'!I168*Pondération!$D$12</f>
        <v>2.0367360000000001E-7</v>
      </c>
      <c r="G168">
        <f>'Transpo perseq'!M168*Pondération!$D$15</f>
        <v>2.7910400000000003E-9</v>
      </c>
      <c r="H168">
        <f>'Transpo perseq'!N168*Pondération!$D$14</f>
        <v>7.6723200000000002E-8</v>
      </c>
      <c r="I168">
        <f>'Transpo perseq'!O168*Pondération!$D$16</f>
        <v>1.151584E-7</v>
      </c>
      <c r="J168">
        <f>'Transpo perseq'!P168*Pondération!$D$4</f>
        <v>3.9532799999999998E-7</v>
      </c>
      <c r="K168">
        <f>'Transpo perseq'!T168*Pondération!$D$5</f>
        <v>2.8722663853567372E-6</v>
      </c>
      <c r="L168">
        <f>'Transpo perseq'!X168*Pondération!$D$7</f>
        <v>1.7464561828643912E-7</v>
      </c>
      <c r="M168">
        <f>'Transpo perseq'!Y168*Pondération!$D$13</f>
        <v>1.9686224757242127E-7</v>
      </c>
      <c r="N168">
        <f>'Transpo perseq'!Z168*Pondération!$D$3</f>
        <v>1.117166316033959E-15</v>
      </c>
      <c r="O168">
        <f>'Transpo perseq'!AA168*Pondération!$D$6</f>
        <v>3.4365644761053348E-7</v>
      </c>
      <c r="P168">
        <f>'Transpo perseq'!AB168*Pondération!$D$8</f>
        <v>1.9980476102015344E-7</v>
      </c>
      <c r="Q168">
        <f>'Transpo perseq'!AC168*Pondération!$D$10</f>
        <v>1.5371578901050645E-6</v>
      </c>
      <c r="R168">
        <f>'Transpo perseq'!AD168*Pondération!$D$9</f>
        <v>1.3786036980700374E-6</v>
      </c>
      <c r="S168">
        <f>'Transpo perseq'!AE168*Pondération!$D$11</f>
        <v>7.7183984219724323E-8</v>
      </c>
      <c r="U168">
        <f t="shared" si="2"/>
        <v>9.769672873358278E-6</v>
      </c>
    </row>
    <row r="169" spans="1:21" x14ac:dyDescent="0.3">
      <c r="A169" t="s">
        <v>1</v>
      </c>
      <c r="B169" t="s">
        <v>37</v>
      </c>
      <c r="C169" t="s">
        <v>57</v>
      </c>
      <c r="D169">
        <f>'Transpo perseq'!D169*Pondération!$D$17</f>
        <v>1.7657599999999998E-5</v>
      </c>
      <c r="E169">
        <f>'Transpo perseq'!E169*Pondération!$D$2</f>
        <v>6.9076800000000002E-5</v>
      </c>
      <c r="F169">
        <f>'Transpo perseq'!I169*Pondération!$D$12</f>
        <v>1.1765759999999999E-5</v>
      </c>
      <c r="G169">
        <f>'Transpo perseq'!M169*Pondération!$D$15</f>
        <v>1.3708800000000002E-7</v>
      </c>
      <c r="H169">
        <f>'Transpo perseq'!N169*Pondération!$D$14</f>
        <v>1.1745280000000001E-5</v>
      </c>
      <c r="I169">
        <f>'Transpo perseq'!O169*Pondération!$D$16</f>
        <v>1.7986080000000002E-5</v>
      </c>
      <c r="J169">
        <f>'Transpo perseq'!P169*Pondération!$D$4</f>
        <v>6.6796799999999996E-7</v>
      </c>
      <c r="K169">
        <f>'Transpo perseq'!T169*Pondération!$D$5</f>
        <v>2.3552765503833044E-6</v>
      </c>
      <c r="L169">
        <f>'Transpo perseq'!X169*Pondération!$D$7</f>
        <v>1.1155107836095344E-7</v>
      </c>
      <c r="M169">
        <f>'Transpo perseq'!Y169*Pondération!$D$13</f>
        <v>1.1752916298245169E-6</v>
      </c>
      <c r="N169">
        <f>'Transpo perseq'!Z169*Pondération!$D$3</f>
        <v>6.1528217471600535E-16</v>
      </c>
      <c r="O169">
        <f>'Transpo perseq'!AA169*Pondération!$D$6</f>
        <v>8.8640929390675834E-6</v>
      </c>
      <c r="P169">
        <f>'Transpo perseq'!AB169*Pondération!$D$8</f>
        <v>1.7613170710580538E-5</v>
      </c>
      <c r="Q169">
        <f>'Transpo perseq'!AC169*Pondération!$D$10</f>
        <v>4.5171470196805887E-5</v>
      </c>
      <c r="R169">
        <f>'Transpo perseq'!AD169*Pondération!$D$9</f>
        <v>2.7980948235088926E-7</v>
      </c>
      <c r="S169">
        <f>'Transpo perseq'!AE169*Pondération!$D$11</f>
        <v>1.8244790706791944E-7</v>
      </c>
      <c r="U169">
        <f t="shared" si="2"/>
        <v>2.0478968649505688E-4</v>
      </c>
    </row>
    <row r="170" spans="1:21" x14ac:dyDescent="0.3">
      <c r="A170" t="s">
        <v>1</v>
      </c>
      <c r="B170" t="s">
        <v>38</v>
      </c>
      <c r="C170" t="s">
        <v>70</v>
      </c>
      <c r="D170">
        <f>'Transpo perseq'!D170*Pondération!$D$17</f>
        <v>3.5116800000000001E-4</v>
      </c>
      <c r="E170">
        <f>'Transpo perseq'!E170*Pondération!$D$2</f>
        <v>1.6612127999999999E-3</v>
      </c>
      <c r="F170">
        <f>'Transpo perseq'!I170*Pondération!$D$12</f>
        <v>1.2748799999999998E-4</v>
      </c>
      <c r="G170">
        <f>'Transpo perseq'!M170*Pondération!$D$15</f>
        <v>5.3312000000000005E-7</v>
      </c>
      <c r="H170">
        <f>'Transpo perseq'!N170*Pondération!$D$14</f>
        <v>6.3462400000000011E-5</v>
      </c>
      <c r="I170">
        <f>'Transpo perseq'!O170*Pondération!$D$16</f>
        <v>9.6163200000000008E-5</v>
      </c>
      <c r="J170">
        <f>'Transpo perseq'!P170*Pondération!$D$4</f>
        <v>4.2599999999999999E-5</v>
      </c>
      <c r="K170">
        <f>'Transpo perseq'!T170*Pondération!$D$5</f>
        <v>6.3814763307578598E-5</v>
      </c>
      <c r="L170">
        <f>'Transpo perseq'!X170*Pondération!$D$7</f>
        <v>1.1232732305522155E-4</v>
      </c>
      <c r="M170">
        <f>'Transpo perseq'!Y170*Pondération!$D$13</f>
        <v>9.160802280079136E-6</v>
      </c>
      <c r="N170">
        <f>'Transpo perseq'!Z170*Pondération!$D$3</f>
        <v>1.7731319960547347E-12</v>
      </c>
      <c r="O170">
        <f>'Transpo perseq'!AA170*Pondération!$D$6</f>
        <v>5.0327309430803148E-4</v>
      </c>
      <c r="P170">
        <f>'Transpo perseq'!AB170*Pondération!$D$8</f>
        <v>1.5376048474727017E-4</v>
      </c>
      <c r="Q170">
        <f>'Transpo perseq'!AC170*Pondération!$D$10</f>
        <v>1.0377197699857372E-3</v>
      </c>
      <c r="R170">
        <f>'Transpo perseq'!AD170*Pondération!$D$9</f>
        <v>1.4087937017991639E-3</v>
      </c>
      <c r="S170">
        <f>'Transpo perseq'!AE170*Pondération!$D$11</f>
        <v>7.5422991724369276E-5</v>
      </c>
      <c r="U170">
        <f t="shared" si="2"/>
        <v>5.7069004529805827E-3</v>
      </c>
    </row>
    <row r="171" spans="1:21" x14ac:dyDescent="0.3">
      <c r="A171" t="s">
        <v>1</v>
      </c>
      <c r="B171" t="s">
        <v>38</v>
      </c>
      <c r="C171" t="s">
        <v>71</v>
      </c>
      <c r="D171">
        <f>'Transpo perseq'!D171*Pondération!$D$17</f>
        <v>2.3014400000000001E-5</v>
      </c>
      <c r="E171">
        <f>'Transpo perseq'!E171*Pondération!$D$2</f>
        <v>1.0883808E-4</v>
      </c>
      <c r="F171">
        <f>'Transpo perseq'!I171*Pondération!$D$12</f>
        <v>8.3558399999999999E-6</v>
      </c>
      <c r="G171">
        <f>'Transpo perseq'!M171*Pondération!$D$15</f>
        <v>3.4988800000000006E-8</v>
      </c>
      <c r="H171">
        <f>'Transpo perseq'!N171*Pondération!$D$14</f>
        <v>4.1676800000000002E-6</v>
      </c>
      <c r="I171">
        <f>'Transpo perseq'!O171*Pondération!$D$16</f>
        <v>6.2921600000000002E-6</v>
      </c>
      <c r="J171">
        <f>'Transpo perseq'!P171*Pondération!$D$4</f>
        <v>2.787744E-6</v>
      </c>
      <c r="K171">
        <f>'Transpo perseq'!T171*Pondération!$D$5</f>
        <v>4.1822104766548698E-6</v>
      </c>
      <c r="L171">
        <f>'Transpo perseq'!X171*Pondération!$D$7</f>
        <v>7.3615646748054558E-6</v>
      </c>
      <c r="M171">
        <f>'Transpo perseq'!Y171*Pondération!$D$13</f>
        <v>6.0036896298823341E-7</v>
      </c>
      <c r="N171">
        <f>'Transpo perseq'!Z171*Pondération!$D$3</f>
        <v>1.1620526075839021E-13</v>
      </c>
      <c r="O171">
        <f>'Transpo perseq'!AA171*Pondération!$D$6</f>
        <v>3.2982869457475482E-5</v>
      </c>
      <c r="P171">
        <f>'Transpo perseq'!AB171*Pondération!$D$8</f>
        <v>1.0076958322419964E-5</v>
      </c>
      <c r="Q171">
        <f>'Transpo perseq'!AC171*Pondération!$D$10</f>
        <v>6.8008753287200863E-5</v>
      </c>
      <c r="R171">
        <f>'Transpo perseq'!AD171*Pondération!$D$9</f>
        <v>9.2327722829775309E-5</v>
      </c>
      <c r="S171">
        <f>'Transpo perseq'!AE171*Pondération!$D$11</f>
        <v>4.9429757288294621E-6</v>
      </c>
      <c r="U171">
        <f t="shared" si="2"/>
        <v>3.7397431665635485E-4</v>
      </c>
    </row>
    <row r="172" spans="1:21" x14ac:dyDescent="0.3">
      <c r="A172" t="s">
        <v>1</v>
      </c>
      <c r="B172" t="s">
        <v>38</v>
      </c>
      <c r="C172" t="s">
        <v>75</v>
      </c>
      <c r="D172">
        <f>'Transpo perseq'!D172*Pondération!$D$17</f>
        <v>4.7814399999999997E-7</v>
      </c>
      <c r="E172">
        <f>'Transpo perseq'!E172*Pondération!$D$2</f>
        <v>1.5702336000000001E-6</v>
      </c>
      <c r="F172">
        <f>'Transpo perseq'!I172*Pondération!$D$12</f>
        <v>1.8462719999999999E-7</v>
      </c>
      <c r="G172">
        <f>'Transpo perseq'!M172*Pondération!$D$15</f>
        <v>1.64864E-9</v>
      </c>
      <c r="H172">
        <f>'Transpo perseq'!N172*Pondération!$D$14</f>
        <v>1.174528E-7</v>
      </c>
      <c r="I172">
        <f>'Transpo perseq'!O172*Pondération!$D$16</f>
        <v>1.7689280000000001E-7</v>
      </c>
      <c r="J172">
        <f>'Transpo perseq'!P172*Pondération!$D$4</f>
        <v>7.1567999999999998E-6</v>
      </c>
      <c r="K172">
        <f>'Transpo perseq'!T172*Pondération!$D$5</f>
        <v>8.2125256276786668E-8</v>
      </c>
      <c r="L172">
        <f>'Transpo perseq'!X172*Pondération!$D$7</f>
        <v>3.2566768052933453E-8</v>
      </c>
      <c r="M172">
        <f>'Transpo perseq'!Y172*Pondération!$D$13</f>
        <v>2.2535928286399886E-8</v>
      </c>
      <c r="N172">
        <f>'Transpo perseq'!Z172*Pondération!$D$3</f>
        <v>3.7757275789215924E-15</v>
      </c>
      <c r="O172">
        <f>'Transpo perseq'!AA172*Pondération!$D$6</f>
        <v>1.1883048014056355E-6</v>
      </c>
      <c r="P172">
        <f>'Transpo perseq'!AB172*Pondération!$D$8</f>
        <v>2.7005148759551298E-7</v>
      </c>
      <c r="Q172">
        <f>'Transpo perseq'!AC172*Pondération!$D$10</f>
        <v>1.0201516554792229E-6</v>
      </c>
      <c r="R172">
        <f>'Transpo perseq'!AD172*Pondération!$D$9</f>
        <v>1.2490344945607354E-6</v>
      </c>
      <c r="S172">
        <f>'Transpo perseq'!AE172*Pondération!$D$11</f>
        <v>3.9760064909747654E-7</v>
      </c>
      <c r="U172">
        <f t="shared" si="2"/>
        <v>1.3948170084530428E-5</v>
      </c>
    </row>
    <row r="173" spans="1:21" x14ac:dyDescent="0.3">
      <c r="A173" t="s">
        <v>1</v>
      </c>
      <c r="B173" t="s">
        <v>38</v>
      </c>
      <c r="C173" t="s">
        <v>59</v>
      </c>
      <c r="D173">
        <f>'Transpo perseq'!D173*Pondération!$D$17</f>
        <v>1.06144E-6</v>
      </c>
      <c r="E173">
        <f>'Transpo perseq'!E173*Pondération!$D$2</f>
        <v>1.0277280000000001E-5</v>
      </c>
      <c r="F173">
        <f>'Transpo perseq'!I173*Pondération!$D$12</f>
        <v>1.8585599999999997E-5</v>
      </c>
      <c r="G173">
        <f>'Transpo perseq'!M173*Pondération!$D$15</f>
        <v>2.4371200000000001E-7</v>
      </c>
      <c r="H173">
        <f>'Transpo perseq'!N173*Pondération!$D$14</f>
        <v>4.3665920000000006E-7</v>
      </c>
      <c r="I173">
        <f>'Transpo perseq'!O173*Pondération!$D$16</f>
        <v>5.2652320000000005E-7</v>
      </c>
      <c r="J173">
        <f>'Transpo perseq'!P173*Pondération!$D$4</f>
        <v>7.1567999999999996E-7</v>
      </c>
      <c r="K173">
        <f>'Transpo perseq'!T173*Pondération!$D$5</f>
        <v>4.5736420705368563E-6</v>
      </c>
      <c r="L173">
        <f>'Transpo perseq'!X173*Pondération!$D$7</f>
        <v>1.2498485795147343E-6</v>
      </c>
      <c r="M173">
        <f>'Transpo perseq'!Y173*Pondération!$D$13</f>
        <v>4.9170849677182667E-9</v>
      </c>
      <c r="N173">
        <f>'Transpo perseq'!Z173*Pondération!$D$3</f>
        <v>1.9293406093214838E-14</v>
      </c>
      <c r="O173">
        <f>'Transpo perseq'!AA173*Pondération!$D$6</f>
        <v>1.0989688491591894E-6</v>
      </c>
      <c r="P173">
        <f>'Transpo perseq'!AB173*Pondération!$D$8</f>
        <v>9.4960537002944898E-7</v>
      </c>
      <c r="Q173">
        <f>'Transpo perseq'!AC173*Pondération!$D$10</f>
        <v>9.4819825611732044E-6</v>
      </c>
      <c r="R173">
        <f>'Transpo perseq'!AD173*Pondération!$D$9</f>
        <v>2.323612000361459E-7</v>
      </c>
      <c r="S173">
        <f>'Transpo perseq'!AE173*Pondération!$D$11</f>
        <v>2.135170036518718E-5</v>
      </c>
      <c r="U173">
        <f t="shared" si="2"/>
        <v>7.0789920499897893E-5</v>
      </c>
    </row>
    <row r="174" spans="1:21" x14ac:dyDescent="0.3">
      <c r="A174" t="s">
        <v>1</v>
      </c>
      <c r="B174" t="s">
        <v>38</v>
      </c>
      <c r="C174" t="s">
        <v>56</v>
      </c>
      <c r="D174">
        <f>'Transpo perseq'!D174*Pondération!$D$17</f>
        <v>2.7676799999999999E-5</v>
      </c>
      <c r="E174">
        <f>'Transpo perseq'!E174*Pondération!$D$2</f>
        <v>1.078272E-4</v>
      </c>
      <c r="F174">
        <f>'Transpo perseq'!I174*Pondération!$D$12</f>
        <v>2.1043199999999999E-5</v>
      </c>
      <c r="G174">
        <f>'Transpo perseq'!M174*Pondération!$D$15</f>
        <v>5.1520000000000001E-5</v>
      </c>
      <c r="H174">
        <f>'Transpo perseq'!N174*Pondération!$D$14</f>
        <v>9.6140800000000003E-6</v>
      </c>
      <c r="I174">
        <f>'Transpo perseq'!O174*Pondération!$D$16</f>
        <v>1.2643679999999999E-5</v>
      </c>
      <c r="J174">
        <f>'Transpo perseq'!P174*Pondération!$D$4</f>
        <v>2.2663199999999999E-6</v>
      </c>
      <c r="K174">
        <f>'Transpo perseq'!T174*Pondération!$D$5</f>
        <v>3.9446214627756963E-6</v>
      </c>
      <c r="L174">
        <f>'Transpo perseq'!X174*Pondération!$D$7</f>
        <v>8.3957910151905844E-6</v>
      </c>
      <c r="M174">
        <f>'Transpo perseq'!Y174*Pondération!$D$13</f>
        <v>1.8217345671279876E-4</v>
      </c>
      <c r="N174">
        <f>'Transpo perseq'!Z174*Pondération!$D$3</f>
        <v>4.5643208571552241E-7</v>
      </c>
      <c r="O174">
        <f>'Transpo perseq'!AA174*Pondération!$D$6</f>
        <v>6.4153904548403852E-5</v>
      </c>
      <c r="P174">
        <f>'Transpo perseq'!AB174*Pondération!$D$8</f>
        <v>2.0315249218759715E-5</v>
      </c>
      <c r="Q174">
        <f>'Transpo perseq'!AC174*Pondération!$D$10</f>
        <v>6.1620260778971113E-5</v>
      </c>
      <c r="R174">
        <f>'Transpo perseq'!AD174*Pondération!$D$9</f>
        <v>1.0304678209111265E-5</v>
      </c>
      <c r="S174">
        <f>'Transpo perseq'!AE174*Pondération!$D$11</f>
        <v>4.3271487184060597E-3</v>
      </c>
      <c r="U174">
        <f t="shared" si="2"/>
        <v>4.9111043924377866E-3</v>
      </c>
    </row>
    <row r="175" spans="1:21" x14ac:dyDescent="0.3">
      <c r="A175" t="s">
        <v>1</v>
      </c>
      <c r="B175" t="s">
        <v>38</v>
      </c>
      <c r="C175" t="s">
        <v>80</v>
      </c>
      <c r="D175">
        <f>'Transpo perseq'!D175*Pondération!$D$17</f>
        <v>1.8664326290254024E-3</v>
      </c>
      <c r="E175">
        <f>'Transpo perseq'!E175*Pondération!$D$2</f>
        <v>1.7624754299240828E-3</v>
      </c>
      <c r="F175">
        <f>'Transpo perseq'!I175*Pondération!$D$12</f>
        <v>1.8787908905751243E-4</v>
      </c>
      <c r="G175">
        <f>'Transpo perseq'!M175*Pondération!$D$15</f>
        <v>2.9085318977415992E-4</v>
      </c>
      <c r="H175">
        <f>'Transpo perseq'!N175*Pondération!$D$14</f>
        <v>5.0489587616012101E-4</v>
      </c>
      <c r="I175">
        <f>'Transpo perseq'!O175*Pondération!$D$16</f>
        <v>1.5546215467899408E-3</v>
      </c>
      <c r="J175">
        <f>'Transpo perseq'!P175*Pondération!$D$4</f>
        <v>9.9396089953594691E-6</v>
      </c>
      <c r="K175">
        <f>'Transpo perseq'!T175*Pondération!$D$5</f>
        <v>3.5413789950166032E-5</v>
      </c>
      <c r="L175">
        <f>'Transpo perseq'!X175*Pondération!$D$7</f>
        <v>1.5278648361694118E-5</v>
      </c>
      <c r="M175">
        <f>'Transpo perseq'!Y175*Pondération!$D$13</f>
        <v>7.7109898841229267E-4</v>
      </c>
      <c r="N175">
        <f>'Transpo perseq'!Z175*Pondération!$D$3</f>
        <v>1.0274120892951832E-6</v>
      </c>
      <c r="O175">
        <f>'Transpo perseq'!AA175*Pondération!$D$6</f>
        <v>1.7532345683720948E-3</v>
      </c>
      <c r="P175">
        <f>'Transpo perseq'!AB175*Pondération!$D$8</f>
        <v>8.0672481134472273E-5</v>
      </c>
      <c r="Q175">
        <f>'Transpo perseq'!AC175*Pondération!$D$10</f>
        <v>1.4229553290498058E-4</v>
      </c>
      <c r="R175">
        <f>'Transpo perseq'!AD175*Pondération!$D$9</f>
        <v>2.9514258836692869E-5</v>
      </c>
      <c r="S175">
        <f>'Transpo perseq'!AE175*Pondération!$D$11</f>
        <v>6.456458150826158E-3</v>
      </c>
      <c r="U175">
        <f t="shared" si="2"/>
        <v>1.5462091200614425E-2</v>
      </c>
    </row>
    <row r="176" spans="1:21" x14ac:dyDescent="0.3">
      <c r="A176" t="s">
        <v>1</v>
      </c>
      <c r="B176" t="s">
        <v>38</v>
      </c>
      <c r="C176" t="s">
        <v>57</v>
      </c>
      <c r="D176">
        <f>'Transpo perseq'!D176*Pondération!$D$17</f>
        <v>3.6907332645744735E-6</v>
      </c>
      <c r="E176">
        <f>'Transpo perseq'!E176*Pondération!$D$2</f>
        <v>1.4394829538063613E-5</v>
      </c>
      <c r="F176">
        <f>'Transpo perseq'!I176*Pondération!$D$12</f>
        <v>2.4561710286793605E-6</v>
      </c>
      <c r="G176">
        <f>'Transpo perseq'!M176*Pondération!$D$15</f>
        <v>2.8598210941037474E-8</v>
      </c>
      <c r="H176">
        <f>'Transpo perseq'!N176*Pondération!$D$14</f>
        <v>2.447976215203976E-6</v>
      </c>
      <c r="I176">
        <f>'Transpo perseq'!O176*Pondération!$D$16</f>
        <v>3.7547347583673623E-6</v>
      </c>
      <c r="J176">
        <f>'Transpo perseq'!P176*Pondération!$D$4</f>
        <v>1.3924082745021609E-7</v>
      </c>
      <c r="K176">
        <f>'Transpo perseq'!T176*Pondération!$D$5</f>
        <v>4.9104714257853277E-7</v>
      </c>
      <c r="L176">
        <f>'Transpo perseq'!X176*Pondération!$D$7</f>
        <v>2.3257072835793135E-8</v>
      </c>
      <c r="M176">
        <f>'Transpo perseq'!Y176*Pondération!$D$13</f>
        <v>2.450343236457213E-7</v>
      </c>
      <c r="N176">
        <f>'Transpo perseq'!Z176*Pondération!$D$3</f>
        <v>1.2827901408207459E-16</v>
      </c>
      <c r="O176">
        <f>'Transpo perseq'!AA176*Pondération!$D$6</f>
        <v>1.848057931274068E-6</v>
      </c>
      <c r="P176">
        <f>'Transpo perseq'!AB176*Pondération!$D$8</f>
        <v>3.6721365683239774E-6</v>
      </c>
      <c r="Q176">
        <f>'Transpo perseq'!AC176*Pondération!$D$10</f>
        <v>9.4177141799348681E-6</v>
      </c>
      <c r="R176">
        <f>'Transpo perseq'!AD176*Pondération!$D$9</f>
        <v>5.8336948479541395E-8</v>
      </c>
      <c r="S176">
        <f>'Transpo perseq'!AE176*Pondération!$D$11</f>
        <v>3.8038218238347669E-8</v>
      </c>
      <c r="U176">
        <f t="shared" si="2"/>
        <v>4.270590622871916E-5</v>
      </c>
    </row>
    <row r="177" spans="1:21" x14ac:dyDescent="0.3">
      <c r="A177" t="s">
        <v>1</v>
      </c>
      <c r="B177" t="s">
        <v>39</v>
      </c>
      <c r="C177" t="s">
        <v>72</v>
      </c>
      <c r="D177">
        <f>'Transpo perseq'!D177*Pondération!$D$17</f>
        <v>9.1660799999999996E-4</v>
      </c>
      <c r="E177">
        <f>'Transpo perseq'!E177*Pondération!$D$2</f>
        <v>5.5261440000000002E-3</v>
      </c>
      <c r="F177">
        <f>'Transpo perseq'!I177*Pondération!$D$12</f>
        <v>6.4204799999999988E-4</v>
      </c>
      <c r="G177">
        <f>'Transpo perseq'!M177*Pondération!$D$15</f>
        <v>2.4371200000000001E-6</v>
      </c>
      <c r="H177">
        <f>'Transpo perseq'!N177*Pondération!$D$14</f>
        <v>1.970176E-4</v>
      </c>
      <c r="I177">
        <f>'Transpo perseq'!O177*Pondération!$D$16</f>
        <v>2.926448E-4</v>
      </c>
      <c r="J177">
        <f>'Transpo perseq'!P177*Pondération!$D$4</f>
        <v>1.1928E-4</v>
      </c>
      <c r="K177">
        <f>'Transpo perseq'!T177*Pondération!$D$5</f>
        <v>2.3388781777829542E-4</v>
      </c>
      <c r="L177">
        <f>'Transpo perseq'!X177*Pondération!$D$7</f>
        <v>2.9877915962940582E-4</v>
      </c>
      <c r="M177">
        <f>'Transpo perseq'!Y177*Pondération!$D$13</f>
        <v>2.009525726695215E-5</v>
      </c>
      <c r="N177">
        <f>'Transpo perseq'!Z177*Pondération!$D$3</f>
        <v>6.3287594224089152E-12</v>
      </c>
      <c r="O177">
        <f>'Transpo perseq'!AA177*Pondération!$D$6</f>
        <v>1.3706140437817196E-3</v>
      </c>
      <c r="P177">
        <f>'Transpo perseq'!AB177*Pondération!$D$8</f>
        <v>5.6608557699553298E-4</v>
      </c>
      <c r="Q177">
        <f>'Transpo perseq'!AC177*Pondération!$D$10</f>
        <v>3.9972719698352756E-3</v>
      </c>
      <c r="R177">
        <f>'Transpo perseq'!AD177*Pondération!$D$9</f>
        <v>3.1231424168210207E-4</v>
      </c>
      <c r="S177">
        <f>'Transpo perseq'!AE177*Pondération!$D$11</f>
        <v>2.2152680045747859E-4</v>
      </c>
      <c r="U177">
        <f t="shared" si="2"/>
        <v>1.471675439375552E-2</v>
      </c>
    </row>
    <row r="178" spans="1:21" x14ac:dyDescent="0.3">
      <c r="A178" t="s">
        <v>1</v>
      </c>
      <c r="B178" t="s">
        <v>39</v>
      </c>
      <c r="C178" t="s">
        <v>58</v>
      </c>
      <c r="D178">
        <f>'Transpo perseq'!D178*Pondération!$D$17</f>
        <v>3.7894399999999999E-6</v>
      </c>
      <c r="E178">
        <f>'Transpo perseq'!E178*Pondération!$D$2</f>
        <v>3.3426432000000003E-5</v>
      </c>
      <c r="F178">
        <f>'Transpo perseq'!I178*Pondération!$D$12</f>
        <v>9.8303999999999978E-7</v>
      </c>
      <c r="G178">
        <f>'Transpo perseq'!M178*Pondération!$D$15</f>
        <v>9.2288000000000002E-9</v>
      </c>
      <c r="H178">
        <f>'Transpo perseq'!N178*Pondération!$D$14</f>
        <v>1.1792639999999999E-6</v>
      </c>
      <c r="I178">
        <f>'Transpo perseq'!O178*Pondération!$D$16</f>
        <v>1.7214400000000002E-6</v>
      </c>
      <c r="J178">
        <f>'Transpo perseq'!P178*Pondération!$D$4</f>
        <v>1.3972799999999999E-7</v>
      </c>
      <c r="K178">
        <f>'Transpo perseq'!T178*Pondération!$D$5</f>
        <v>1.1014635956543748E-6</v>
      </c>
      <c r="L178">
        <f>'Transpo perseq'!X178*Pondération!$D$7</f>
        <v>5.0577869580985212E-7</v>
      </c>
      <c r="M178">
        <f>'Transpo perseq'!Y178*Pondération!$D$13</f>
        <v>6.7029315023319388E-8</v>
      </c>
      <c r="N178">
        <f>'Transpo perseq'!Z178*Pondération!$D$3</f>
        <v>1.2694927323301134E-15</v>
      </c>
      <c r="O178">
        <f>'Transpo perseq'!AA178*Pondération!$D$6</f>
        <v>6.2460449780154239E-6</v>
      </c>
      <c r="P178">
        <f>'Transpo perseq'!AB178*Pondération!$D$8</f>
        <v>3.0653525713144003E-6</v>
      </c>
      <c r="Q178">
        <f>'Transpo perseq'!AC178*Pondération!$D$10</f>
        <v>1.8046060781617623E-5</v>
      </c>
      <c r="R178">
        <f>'Transpo perseq'!AD178*Pondération!$D$9</f>
        <v>5.1599357815052264E-7</v>
      </c>
      <c r="S178">
        <f>'Transpo perseq'!AE178*Pondération!$D$11</f>
        <v>3.2256609932913325E-6</v>
      </c>
      <c r="U178">
        <f t="shared" si="2"/>
        <v>7.4021957310146331E-5</v>
      </c>
    </row>
    <row r="179" spans="1:21" x14ac:dyDescent="0.3">
      <c r="A179" t="s">
        <v>1</v>
      </c>
      <c r="B179" t="s">
        <v>39</v>
      </c>
      <c r="C179" t="s">
        <v>56</v>
      </c>
      <c r="D179">
        <f>'Transpo perseq'!D179*Pondération!$D$17</f>
        <v>4.2060799999999999E-10</v>
      </c>
      <c r="E179">
        <f>'Transpo perseq'!E179*Pondération!$D$2</f>
        <v>1.6072992000000002E-9</v>
      </c>
      <c r="F179">
        <f>'Transpo perseq'!I179*Pondération!$D$12</f>
        <v>1.2257279999999998E-10</v>
      </c>
      <c r="G179">
        <f>'Transpo perseq'!M179*Pondération!$D$15</f>
        <v>9.632000000000001E-11</v>
      </c>
      <c r="H179">
        <f>'Transpo perseq'!N179*Pondération!$D$14</f>
        <v>2.074368E-10</v>
      </c>
      <c r="I179">
        <f>'Transpo perseq'!O179*Pondération!$D$16</f>
        <v>2.8908319999999998E-10</v>
      </c>
      <c r="J179">
        <f>'Transpo perseq'!P179*Pondération!$D$4</f>
        <v>3.2103359999999999E-11</v>
      </c>
      <c r="K179">
        <f>'Transpo perseq'!T179*Pondération!$D$5</f>
        <v>1.4587517661909263E-10</v>
      </c>
      <c r="L179">
        <f>'Transpo perseq'!X179*Pondération!$D$7</f>
        <v>-5.9411299369749807E-10</v>
      </c>
      <c r="M179">
        <f>'Transpo perseq'!Y179*Pondération!$D$13</f>
        <v>7.7043707305872082E-9</v>
      </c>
      <c r="N179">
        <f>'Transpo perseq'!Z179*Pondération!$D$3</f>
        <v>1.1882296636162024E-12</v>
      </c>
      <c r="O179">
        <f>'Transpo perseq'!AA179*Pondération!$D$6</f>
        <v>7.1930839024012881E-10</v>
      </c>
      <c r="P179">
        <f>'Transpo perseq'!AB179*Pondération!$D$8</f>
        <v>4.5654264089688571E-10</v>
      </c>
      <c r="Q179">
        <f>'Transpo perseq'!AC179*Pondération!$D$10</f>
        <v>-3.1484253799032718E-10</v>
      </c>
      <c r="R179">
        <f>'Transpo perseq'!AD179*Pondération!$D$9</f>
        <v>1.7559202370080932E-11</v>
      </c>
      <c r="S179">
        <f>'Transpo perseq'!AE179*Pondération!$D$11</f>
        <v>1.4863542194658521E-8</v>
      </c>
      <c r="U179">
        <f t="shared" si="2"/>
        <v>2.5774854393347708E-8</v>
      </c>
    </row>
    <row r="180" spans="1:21" x14ac:dyDescent="0.3">
      <c r="A180" t="s">
        <v>1</v>
      </c>
      <c r="B180" t="s">
        <v>39</v>
      </c>
      <c r="C180" t="s">
        <v>57</v>
      </c>
      <c r="D180">
        <f>'Transpo perseq'!D180*Pondération!$D$17</f>
        <v>5.8726399999999997E-6</v>
      </c>
      <c r="E180">
        <f>'Transpo perseq'!E180*Pondération!$D$2</f>
        <v>2.2879584000000003E-5</v>
      </c>
      <c r="F180">
        <f>'Transpo perseq'!I180*Pondération!$D$12</f>
        <v>3.9014399999999999E-6</v>
      </c>
      <c r="G180">
        <f>'Transpo perseq'!M180*Pondération!$D$15</f>
        <v>4.5696000000000001E-8</v>
      </c>
      <c r="H180">
        <f>'Transpo perseq'!N180*Pondération!$D$14</f>
        <v>3.8929919999999996E-6</v>
      </c>
      <c r="I180">
        <f>'Transpo perseq'!O180*Pondération!$D$16</f>
        <v>5.99536E-6</v>
      </c>
      <c r="J180">
        <f>'Transpo perseq'!P180*Pondération!$D$4</f>
        <v>2.2152000000000001E-7</v>
      </c>
      <c r="K180">
        <f>'Transpo perseq'!T180*Pondération!$D$5</f>
        <v>7.810245905520522E-7</v>
      </c>
      <c r="L180">
        <f>'Transpo perseq'!X180*Pondération!$D$7</f>
        <v>3.699104263927085E-8</v>
      </c>
      <c r="M180">
        <f>'Transpo perseq'!Y180*Pondération!$D$13</f>
        <v>3.8973413284039506E-7</v>
      </c>
      <c r="N180">
        <f>'Transpo perseq'!Z180*Pondération!$D$3</f>
        <v>2.0403145800578659E-16</v>
      </c>
      <c r="O180">
        <f>'Transpo perseq'!AA180*Pondération!$D$6</f>
        <v>2.9393892437913149E-6</v>
      </c>
      <c r="P180">
        <f>'Transpo perseq'!AB180*Pondération!$D$8</f>
        <v>5.8406387310720787E-6</v>
      </c>
      <c r="Q180">
        <f>'Transpo perseq'!AC180*Pondération!$D$10</f>
        <v>1.4979145021994515E-5</v>
      </c>
      <c r="R180">
        <f>'Transpo perseq'!AD180*Pondération!$D$9</f>
        <v>9.2786592873826133E-8</v>
      </c>
      <c r="S180">
        <f>'Transpo perseq'!AE180*Pondération!$D$11</f>
        <v>6.0500879139484692E-8</v>
      </c>
      <c r="U180">
        <f t="shared" si="2"/>
        <v>6.792944223510698E-5</v>
      </c>
    </row>
    <row r="181" spans="1:21" x14ac:dyDescent="0.3">
      <c r="A181" t="s">
        <v>1</v>
      </c>
      <c r="B181" t="s">
        <v>39</v>
      </c>
      <c r="C181" t="s">
        <v>81</v>
      </c>
      <c r="D181">
        <f>'Transpo perseq'!D181*Pondération!$D$17</f>
        <v>1.6070399999999999E-6</v>
      </c>
      <c r="E181">
        <f>'Transpo perseq'!E181*Pondération!$D$2</f>
        <v>1.9004544000000001E-5</v>
      </c>
      <c r="F181">
        <f>'Transpo perseq'!I181*Pondération!$D$12</f>
        <v>4.2393599999999993E-6</v>
      </c>
      <c r="G181">
        <f>'Transpo perseq'!M181*Pondération!$D$15</f>
        <v>3.5078400000000007E-8</v>
      </c>
      <c r="H181">
        <f>'Transpo perseq'!N181*Pondération!$D$14</f>
        <v>7.1987200000000006E-7</v>
      </c>
      <c r="I181">
        <f>'Transpo perseq'!O181*Pondération!$D$16</f>
        <v>1.0150560000000001E-6</v>
      </c>
      <c r="J181">
        <f>'Transpo perseq'!P181*Pondération!$D$4</f>
        <v>2.4810239999999998E-7</v>
      </c>
      <c r="K181">
        <f>'Transpo perseq'!T181*Pondération!$D$5</f>
        <v>8.3231224708096578E-7</v>
      </c>
      <c r="L181">
        <f>'Transpo perseq'!X181*Pondération!$D$7</f>
        <v>3.9697876780615469E-7</v>
      </c>
      <c r="M181">
        <f>'Transpo perseq'!Y181*Pondération!$D$13</f>
        <v>5.0094749691232601E-8</v>
      </c>
      <c r="N181">
        <f>'Transpo perseq'!Z181*Pondération!$D$3</f>
        <v>1.257185239396941E-9</v>
      </c>
      <c r="O181">
        <f>'Transpo perseq'!AA181*Pondération!$D$6</f>
        <v>1.8277711477111582E-6</v>
      </c>
      <c r="P181">
        <f>'Transpo perseq'!AB181*Pondération!$D$8</f>
        <v>1.8681635631159959E-6</v>
      </c>
      <c r="Q181">
        <f>'Transpo perseq'!AC181*Pondération!$D$10</f>
        <v>1.7984728302027999E-5</v>
      </c>
      <c r="R181">
        <f>'Transpo perseq'!AD181*Pondération!$D$9</f>
        <v>1.5347749944655662E-6</v>
      </c>
      <c r="S181">
        <f>'Transpo perseq'!AE181*Pondération!$D$11</f>
        <v>9.4211001540413261E-7</v>
      </c>
      <c r="U181">
        <f t="shared" si="2"/>
        <v>5.230724377254259E-5</v>
      </c>
    </row>
    <row r="182" spans="1:21" x14ac:dyDescent="0.3">
      <c r="A182" t="s">
        <v>1</v>
      </c>
      <c r="B182" t="s">
        <v>40</v>
      </c>
      <c r="C182" t="s">
        <v>72</v>
      </c>
      <c r="D182">
        <f>'Transpo perseq'!D182*Pondération!$D$17</f>
        <v>8.6998399999999997E-5</v>
      </c>
      <c r="E182">
        <f>'Transpo perseq'!E182*Pondération!$D$2</f>
        <v>4.4815680000000007E-4</v>
      </c>
      <c r="F182">
        <f>'Transpo perseq'!I182*Pondération!$D$12</f>
        <v>3.0719999999999997E-5</v>
      </c>
      <c r="G182">
        <f>'Transpo perseq'!M182*Pondération!$D$15</f>
        <v>1.4470400000000002E-7</v>
      </c>
      <c r="H182">
        <f>'Transpo perseq'!N182*Pondération!$D$14</f>
        <v>1.6860159999999999E-5</v>
      </c>
      <c r="I182">
        <f>'Transpo perseq'!O182*Pondération!$D$16</f>
        <v>2.5524800000000003E-5</v>
      </c>
      <c r="J182">
        <f>'Transpo perseq'!P182*Pondération!$D$4</f>
        <v>1.0496640000000002E-5</v>
      </c>
      <c r="K182">
        <f>'Transpo perseq'!T182*Pondération!$D$5</f>
        <v>1.456053253011983E-5</v>
      </c>
      <c r="L182">
        <f>'Transpo perseq'!X182*Pondération!$D$7</f>
        <v>2.6292229922118872E-5</v>
      </c>
      <c r="M182">
        <f>'Transpo perseq'!Y182*Pondération!$D$13</f>
        <v>1.9569954229385246E-6</v>
      </c>
      <c r="N182">
        <f>'Transpo perseq'!Z182*Pondération!$D$3</f>
        <v>6.2481119924346682E-13</v>
      </c>
      <c r="O182">
        <f>'Transpo perseq'!AA182*Pondération!$D$6</f>
        <v>1.3305514431687345E-4</v>
      </c>
      <c r="P182">
        <f>'Transpo perseq'!AB182*Pondération!$D$8</f>
        <v>4.0417403126622337E-5</v>
      </c>
      <c r="Q182">
        <f>'Transpo perseq'!AC182*Pondération!$D$10</f>
        <v>2.6903696145954599E-4</v>
      </c>
      <c r="R182">
        <f>'Transpo perseq'!AD182*Pondération!$D$9</f>
        <v>3.1334920109210592E-5</v>
      </c>
      <c r="S182">
        <f>'Transpo perseq'!AE182*Pondération!$D$11</f>
        <v>1.8870062799726618E-5</v>
      </c>
      <c r="U182">
        <f t="shared" si="2"/>
        <v>1.1544257543119676E-3</v>
      </c>
    </row>
    <row r="183" spans="1:21" x14ac:dyDescent="0.3">
      <c r="A183" t="s">
        <v>1</v>
      </c>
      <c r="B183" t="s">
        <v>40</v>
      </c>
      <c r="C183" t="s">
        <v>73</v>
      </c>
      <c r="D183">
        <f>'Transpo perseq'!D183*Pondération!$D$17</f>
        <v>8.12448E-7</v>
      </c>
      <c r="E183">
        <f>'Transpo perseq'!E183*Pondération!$D$2</f>
        <v>3.7739520000000006E-6</v>
      </c>
      <c r="F183">
        <f>'Transpo perseq'!I183*Pondération!$D$12</f>
        <v>2.8784639999999999E-7</v>
      </c>
      <c r="G183">
        <f>'Transpo perseq'!M183*Pondération!$D$15</f>
        <v>1.3171200000000001E-9</v>
      </c>
      <c r="H183">
        <f>'Transpo perseq'!N183*Pondération!$D$14</f>
        <v>1.4681600000000001E-7</v>
      </c>
      <c r="I183">
        <f>'Transpo perseq'!O183*Pondération!$D$16</f>
        <v>2.2141280000000001E-7</v>
      </c>
      <c r="J183">
        <f>'Transpo perseq'!P183*Pondération!$D$4</f>
        <v>9.6446399999999997E-8</v>
      </c>
      <c r="K183">
        <f>'Transpo perseq'!T183*Pondération!$D$5</f>
        <v>1.4546841160291456E-7</v>
      </c>
      <c r="L183">
        <f>'Transpo perseq'!X183*Pondération!$D$7</f>
        <v>2.4296536394643149E-7</v>
      </c>
      <c r="M183">
        <f>'Transpo perseq'!Y183*Pondération!$D$13</f>
        <v>2.2563009275204672E-8</v>
      </c>
      <c r="N183">
        <f>'Transpo perseq'!Z183*Pondération!$D$3</f>
        <v>3.9998345019925405E-15</v>
      </c>
      <c r="O183">
        <f>'Transpo perseq'!AA183*Pondération!$D$6</f>
        <v>1.1608811355484443E-6</v>
      </c>
      <c r="P183">
        <f>'Transpo perseq'!AB183*Pondération!$D$8</f>
        <v>3.5450636725382054E-7</v>
      </c>
      <c r="Q183">
        <f>'Transpo perseq'!AC183*Pondération!$D$10</f>
        <v>2.352438552163295E-6</v>
      </c>
      <c r="R183">
        <f>'Transpo perseq'!AD183*Pondération!$D$9</f>
        <v>3.1839045616238936E-6</v>
      </c>
      <c r="S183">
        <f>'Transpo perseq'!AE183*Pondération!$D$11</f>
        <v>1.7122466883490006E-7</v>
      </c>
      <c r="U183">
        <f t="shared" si="2"/>
        <v>1.2974190794248739E-5</v>
      </c>
    </row>
    <row r="184" spans="1:21" x14ac:dyDescent="0.3">
      <c r="A184" t="s">
        <v>1</v>
      </c>
      <c r="B184" t="s">
        <v>40</v>
      </c>
      <c r="C184" t="s">
        <v>84</v>
      </c>
      <c r="D184">
        <f>'Transpo perseq'!D184*Pondération!$D$17</f>
        <v>1.5872E-5</v>
      </c>
      <c r="E184">
        <f>'Transpo perseq'!E184*Pondération!$D$2</f>
        <v>5.1554880000000002E-5</v>
      </c>
      <c r="F184">
        <f>'Transpo perseq'!I184*Pondération!$D$12</f>
        <v>4.2393599999999993E-6</v>
      </c>
      <c r="G184">
        <f>'Transpo perseq'!M184*Pondération!$D$15</f>
        <v>3.8348800000000005E-7</v>
      </c>
      <c r="H184">
        <f>'Transpo perseq'!N184*Pondération!$D$14</f>
        <v>2.7895040000000003E-6</v>
      </c>
      <c r="I184">
        <f>'Transpo perseq'!O184*Pondération!$D$16</f>
        <v>4.1670719999999995E-6</v>
      </c>
      <c r="J184">
        <f>'Transpo perseq'!P184*Pondération!$D$4</f>
        <v>7.6339199999999989E-4</v>
      </c>
      <c r="K184">
        <f>'Transpo perseq'!T184*Pondération!$D$5</f>
        <v>3.2246000728692107E-6</v>
      </c>
      <c r="L184">
        <f>'Transpo perseq'!X184*Pondération!$D$7</f>
        <v>0</v>
      </c>
      <c r="M184">
        <f>'Transpo perseq'!Y184*Pondération!$D$13</f>
        <v>0</v>
      </c>
      <c r="N184">
        <f>'Transpo perseq'!Z184*Pondération!$D$3</f>
        <v>0</v>
      </c>
      <c r="O184">
        <f>'Transpo perseq'!AA184*Pondération!$D$6</f>
        <v>2.0452630276071958E-5</v>
      </c>
      <c r="P184">
        <f>'Transpo perseq'!AB184*Pondération!$D$8</f>
        <v>6.644515061454168E-6</v>
      </c>
      <c r="Q184">
        <f>'Transpo perseq'!AC184*Pondération!$D$10</f>
        <v>6.6515841241978146E-5</v>
      </c>
      <c r="R184">
        <f>'Transpo perseq'!AD184*Pondération!$D$9</f>
        <v>2.4907705624854871E-7</v>
      </c>
      <c r="S184">
        <f>'Transpo perseq'!AE184*Pondération!$D$11</f>
        <v>1.8911743259459915E-5</v>
      </c>
      <c r="U184">
        <f t="shared" si="2"/>
        <v>9.5839671096808186E-4</v>
      </c>
    </row>
    <row r="185" spans="1:21" x14ac:dyDescent="0.3">
      <c r="A185" t="s">
        <v>1</v>
      </c>
      <c r="B185" t="s">
        <v>40</v>
      </c>
      <c r="C185" t="s">
        <v>79</v>
      </c>
      <c r="D185">
        <f>'Transpo perseq'!D185*Pondération!$D$17</f>
        <v>6.3984000000000004E-6</v>
      </c>
      <c r="E185">
        <f>'Transpo perseq'!E185*Pondération!$D$2</f>
        <v>5.9641920000000004E-5</v>
      </c>
      <c r="F185">
        <f>'Transpo perseq'!I185*Pondération!$D$12</f>
        <v>2.4238079999999996E-5</v>
      </c>
      <c r="G185">
        <f>'Transpo perseq'!M185*Pondération!$D$15</f>
        <v>2.67008E-7</v>
      </c>
      <c r="H185">
        <f>'Transpo perseq'!N185*Pondération!$D$14</f>
        <v>2.3016960000000002E-6</v>
      </c>
      <c r="I185">
        <f>'Transpo perseq'!O185*Pondération!$D$16</f>
        <v>3.223248E-6</v>
      </c>
      <c r="J185">
        <f>'Transpo perseq'!P185*Pondération!$D$4</f>
        <v>1.121232E-6</v>
      </c>
      <c r="K185">
        <f>'Transpo perseq'!T185*Pondération!$D$5</f>
        <v>4.8706007064602424E-6</v>
      </c>
      <c r="L185">
        <f>'Transpo perseq'!X185*Pondération!$D$7</f>
        <v>1.1740148577057126E-6</v>
      </c>
      <c r="M185">
        <f>'Transpo perseq'!Y185*Pondération!$D$13</f>
        <v>1.931948368244624E-7</v>
      </c>
      <c r="N185">
        <f>'Transpo perseq'!Z185*Pondération!$D$3</f>
        <v>1.4008616643723778E-8</v>
      </c>
      <c r="O185">
        <f>'Transpo perseq'!AA185*Pondération!$D$6</f>
        <v>1.1426229561537953E-5</v>
      </c>
      <c r="P185">
        <f>'Transpo perseq'!AB185*Pondération!$D$8</f>
        <v>5.6651403547507802E-6</v>
      </c>
      <c r="Q185">
        <f>'Transpo perseq'!AC185*Pondération!$D$10</f>
        <v>6.5859823192177124E-5</v>
      </c>
      <c r="R185">
        <f>'Transpo perseq'!AD185*Pondération!$D$9</f>
        <v>1.6589819896668096E-5</v>
      </c>
      <c r="S185">
        <f>'Transpo perseq'!AE185*Pondération!$D$11</f>
        <v>5.0618860889677996E-6</v>
      </c>
      <c r="U185">
        <f t="shared" si="2"/>
        <v>2.0804630211173589E-4</v>
      </c>
    </row>
    <row r="186" spans="1:21" x14ac:dyDescent="0.3">
      <c r="A186" t="s">
        <v>1</v>
      </c>
      <c r="B186" t="s">
        <v>40</v>
      </c>
      <c r="C186" t="s">
        <v>56</v>
      </c>
      <c r="D186">
        <f>'Transpo perseq'!D186*Pondération!$D$17</f>
        <v>2.9958399999999999E-7</v>
      </c>
      <c r="E186">
        <f>'Transpo perseq'!E186*Pondération!$D$2</f>
        <v>1.09512E-6</v>
      </c>
      <c r="F186">
        <f>'Transpo perseq'!I186*Pondération!$D$12</f>
        <v>8.6015999999999994E-8</v>
      </c>
      <c r="G186">
        <f>'Transpo perseq'!M186*Pondération!$D$15</f>
        <v>1.1558400000000001E-7</v>
      </c>
      <c r="H186">
        <f>'Transpo perseq'!N186*Pondération!$D$14</f>
        <v>1.368704E-7</v>
      </c>
      <c r="I186">
        <f>'Transpo perseq'!O186*Pondération!$D$16</f>
        <v>1.8876480000000003E-7</v>
      </c>
      <c r="J186">
        <f>'Transpo perseq'!P186*Pondération!$D$4</f>
        <v>2.1538559999999997E-8</v>
      </c>
      <c r="K186">
        <f>'Transpo perseq'!T186*Pondération!$D$5</f>
        <v>8.9485959211975774E-8</v>
      </c>
      <c r="L186">
        <f>'Transpo perseq'!X186*Pondération!$D$7</f>
        <v>-3.2428675227602434E-7</v>
      </c>
      <c r="M186">
        <f>'Transpo perseq'!Y186*Pondération!$D$13</f>
        <v>4.6052875415578908E-6</v>
      </c>
      <c r="N186">
        <f>'Transpo perseq'!Z186*Pondération!$D$3</f>
        <v>1.6232648014021451E-9</v>
      </c>
      <c r="O186">
        <f>'Transpo perseq'!AA186*Pondération!$D$6</f>
        <v>5.6512497739814929E-7</v>
      </c>
      <c r="P186">
        <f>'Transpo perseq'!AB186*Pondération!$D$8</f>
        <v>2.9822366156471933E-7</v>
      </c>
      <c r="Q186">
        <f>'Transpo perseq'!AC186*Pondération!$D$10</f>
        <v>-9.8466867491556881E-8</v>
      </c>
      <c r="R186">
        <f>'Transpo perseq'!AD186*Pondération!$D$9</f>
        <v>1.9203976132049363E-8</v>
      </c>
      <c r="S186">
        <f>'Transpo perseq'!AE186*Pondération!$D$11</f>
        <v>2.0144375904728435E-5</v>
      </c>
      <c r="U186">
        <f t="shared" si="2"/>
        <v>2.7244049425627042E-5</v>
      </c>
    </row>
    <row r="187" spans="1:21" x14ac:dyDescent="0.3">
      <c r="A187" t="s">
        <v>1</v>
      </c>
      <c r="B187" t="s">
        <v>40</v>
      </c>
      <c r="C187" t="s">
        <v>57</v>
      </c>
      <c r="D187">
        <f>'Transpo perseq'!D187*Pondération!$D$17</f>
        <v>2.7116920423857915E-4</v>
      </c>
      <c r="E187">
        <f>'Transpo perseq'!E187*Pondération!$D$2</f>
        <v>1.5681706020110532E-3</v>
      </c>
      <c r="F187">
        <f>'Transpo perseq'!I187*Pondération!$D$12</f>
        <v>2.6676259251785133E-4</v>
      </c>
      <c r="G187">
        <f>'Transpo perseq'!M187*Pondération!$D$15</f>
        <v>2.1566451320005314E-7</v>
      </c>
      <c r="H187">
        <f>'Transpo perseq'!N187*Pondération!$D$14</f>
        <v>1.6660890165423584E-4</v>
      </c>
      <c r="I187">
        <f>'Transpo perseq'!O187*Pondération!$D$16</f>
        <v>2.5296722245504938E-4</v>
      </c>
      <c r="J187">
        <f>'Transpo perseq'!P187*Pondération!$D$4</f>
        <v>1.3875879844484032E-5</v>
      </c>
      <c r="K187">
        <f>'Transpo perseq'!T187*Pondération!$D$5</f>
        <v>4.0145755156304373E-5</v>
      </c>
      <c r="L187">
        <f>'Transpo perseq'!X187*Pondération!$D$7</f>
        <v>1.0973719037569592E-6</v>
      </c>
      <c r="M187">
        <f>'Transpo perseq'!Y187*Pondération!$D$13</f>
        <v>5.7224453277277587E-7</v>
      </c>
      <c r="N187">
        <f>'Transpo perseq'!Z187*Pondération!$D$3</f>
        <v>5.7362275671933546E-15</v>
      </c>
      <c r="O187">
        <f>'Transpo perseq'!AA187*Pondération!$D$6</f>
        <v>1.1710647224268726E-4</v>
      </c>
      <c r="P187">
        <f>'Transpo perseq'!AB187*Pondération!$D$8</f>
        <v>3.6604630375056287E-4</v>
      </c>
      <c r="Q187">
        <f>'Transpo perseq'!AC187*Pondération!$D$10</f>
        <v>1.0434610879690436E-3</v>
      </c>
      <c r="R187">
        <f>'Transpo perseq'!AD187*Pondération!$D$9</f>
        <v>2.424841495422868E-6</v>
      </c>
      <c r="S187">
        <f>'Transpo perseq'!AE187*Pondération!$D$11</f>
        <v>6.3899250765864294E-7</v>
      </c>
      <c r="U187">
        <f t="shared" si="2"/>
        <v>4.1112631367983994E-3</v>
      </c>
    </row>
    <row r="188" spans="1:21" x14ac:dyDescent="0.3">
      <c r="A188" t="s">
        <v>1</v>
      </c>
      <c r="B188" t="s">
        <v>41</v>
      </c>
      <c r="C188" t="s">
        <v>72</v>
      </c>
      <c r="D188">
        <f>'Transpo perseq'!D188*Pondération!$D$17</f>
        <v>1.4086400000000001E-4</v>
      </c>
      <c r="E188">
        <f>'Transpo perseq'!E188*Pondération!$D$2</f>
        <v>7.2446399999999997E-4</v>
      </c>
      <c r="F188">
        <f>'Transpo perseq'!I188*Pondération!$D$12</f>
        <v>4.9766399999999998E-5</v>
      </c>
      <c r="G188">
        <f>'Transpo perseq'!M188*Pondération!$D$15</f>
        <v>2.3475199999999998E-7</v>
      </c>
      <c r="H188">
        <f>'Transpo perseq'!N188*Pondération!$D$14</f>
        <v>2.7326720000000002E-5</v>
      </c>
      <c r="I188">
        <f>'Transpo perseq'!O188*Pondération!$D$16</f>
        <v>4.1255199999999998E-5</v>
      </c>
      <c r="J188">
        <f>'Transpo perseq'!P188*Pondération!$D$4</f>
        <v>1.6971839999999998E-5</v>
      </c>
      <c r="K188">
        <f>'Transpo perseq'!T188*Pondération!$D$5</f>
        <v>2.3573757676461467E-5</v>
      </c>
      <c r="L188">
        <f>'Transpo perseq'!X188*Pondération!$D$7</f>
        <v>4.2567709573055614E-5</v>
      </c>
      <c r="M188">
        <f>'Transpo perseq'!Y188*Pondération!$D$13</f>
        <v>3.1684701854523046E-6</v>
      </c>
      <c r="N188">
        <f>'Transpo perseq'!Z188*Pondération!$D$3</f>
        <v>1.0115987668332336E-12</v>
      </c>
      <c r="O188">
        <f>'Transpo perseq'!AA188*Pondération!$D$6</f>
        <v>2.1542584448330589E-4</v>
      </c>
      <c r="P188">
        <f>'Transpo perseq'!AB188*Pondération!$D$8</f>
        <v>6.5438490272448594E-5</v>
      </c>
      <c r="Q188">
        <f>'Transpo perseq'!AC188*Pondération!$D$10</f>
        <v>4.3558248053855774E-4</v>
      </c>
      <c r="R188">
        <f>'Transpo perseq'!AD188*Pondération!$D$9</f>
        <v>5.0732707386167256E-5</v>
      </c>
      <c r="S188">
        <f>'Transpo perseq'!AE188*Pondération!$D$11</f>
        <v>3.0551544499794651E-5</v>
      </c>
      <c r="U188">
        <f t="shared" si="2"/>
        <v>1.8679239176268422E-3</v>
      </c>
    </row>
    <row r="189" spans="1:21" x14ac:dyDescent="0.3">
      <c r="A189" t="s">
        <v>1</v>
      </c>
      <c r="B189" t="s">
        <v>41</v>
      </c>
      <c r="C189" t="s">
        <v>58</v>
      </c>
      <c r="D189">
        <f>'Transpo perseq'!D189*Pondération!$D$17</f>
        <v>2.8966399999999998E-6</v>
      </c>
      <c r="E189">
        <f>'Transpo perseq'!E189*Pondération!$D$2</f>
        <v>2.3755680000000002E-5</v>
      </c>
      <c r="F189">
        <f>'Transpo perseq'!I189*Pondération!$D$12</f>
        <v>7.1884799999999995E-7</v>
      </c>
      <c r="G189">
        <f>'Transpo perseq'!M189*Pondération!$D$15</f>
        <v>2.2579200000000001E-8</v>
      </c>
      <c r="H189">
        <f>'Transpo perseq'!N189*Pondération!$D$14</f>
        <v>7.5302400000000006E-7</v>
      </c>
      <c r="I189">
        <f>'Transpo perseq'!O189*Pondération!$D$16</f>
        <v>1.115968E-6</v>
      </c>
      <c r="J189">
        <f>'Transpo perseq'!P189*Pondération!$D$4</f>
        <v>2.8524959999999997E-7</v>
      </c>
      <c r="K189">
        <f>'Transpo perseq'!T189*Pondération!$D$5</f>
        <v>7.779146952356498E-7</v>
      </c>
      <c r="L189">
        <f>'Transpo perseq'!X189*Pondération!$D$7</f>
        <v>2.1503074560028411E-8</v>
      </c>
      <c r="M189">
        <f>'Transpo perseq'!Y189*Pondération!$D$13</f>
        <v>8.7190329008274881E-8</v>
      </c>
      <c r="N189">
        <f>'Transpo perseq'!Z189*Pondération!$D$3</f>
        <v>6.8118853953764606E-14</v>
      </c>
      <c r="O189">
        <f>'Transpo perseq'!AA189*Pondération!$D$6</f>
        <v>1.734129982817448E-5</v>
      </c>
      <c r="P189">
        <f>'Transpo perseq'!AB189*Pondération!$D$8</f>
        <v>2.0564104643391801E-6</v>
      </c>
      <c r="Q189">
        <f>'Transpo perseq'!AC189*Pondération!$D$10</f>
        <v>1.3557526096566467E-5</v>
      </c>
      <c r="R189">
        <f>'Transpo perseq'!AD189*Pondération!$D$9</f>
        <v>2.1987246284843794E-6</v>
      </c>
      <c r="S189">
        <f>'Transpo perseq'!AE189*Pondération!$D$11</f>
        <v>4.7822713807395886E-5</v>
      </c>
      <c r="U189">
        <f t="shared" si="2"/>
        <v>1.134112717918832E-4</v>
      </c>
    </row>
    <row r="190" spans="1:21" x14ac:dyDescent="0.3">
      <c r="A190" t="s">
        <v>1</v>
      </c>
      <c r="B190" t="s">
        <v>41</v>
      </c>
      <c r="C190" t="s">
        <v>84</v>
      </c>
      <c r="D190">
        <f>'Transpo perseq'!D190*Pondération!$D$17</f>
        <v>2.4502400000000001E-5</v>
      </c>
      <c r="E190">
        <f>'Transpo perseq'!E190*Pondération!$D$2</f>
        <v>7.952256E-5</v>
      </c>
      <c r="F190">
        <f>'Transpo perseq'!I190*Pondération!$D$12</f>
        <v>6.5126399999999995E-6</v>
      </c>
      <c r="G190">
        <f>'Transpo perseq'!M190*Pondération!$D$15</f>
        <v>5.9136000000000002E-7</v>
      </c>
      <c r="H190">
        <f>'Transpo perseq'!N190*Pondération!$D$14</f>
        <v>4.2955520000000004E-6</v>
      </c>
      <c r="I190">
        <f>'Transpo perseq'!O190*Pondération!$D$16</f>
        <v>6.4108800000000002E-6</v>
      </c>
      <c r="J190">
        <f>'Transpo perseq'!P190*Pondération!$D$4</f>
        <v>1.1757599999999999E-3</v>
      </c>
      <c r="K190">
        <f>'Transpo perseq'!T190*Pondération!$D$5</f>
        <v>4.9609231890295254E-6</v>
      </c>
      <c r="L190">
        <f>'Transpo perseq'!X190*Pondération!$D$7</f>
        <v>0</v>
      </c>
      <c r="M190">
        <f>'Transpo perseq'!Y190*Pondération!$D$13</f>
        <v>0</v>
      </c>
      <c r="N190">
        <f>'Transpo perseq'!Z190*Pondération!$D$3</f>
        <v>0</v>
      </c>
      <c r="O190">
        <f>'Transpo perseq'!AA190*Pondération!$D$6</f>
        <v>3.1465585040110735E-5</v>
      </c>
      <c r="P190">
        <f>'Transpo perseq'!AB190*Pondération!$D$8</f>
        <v>1.0222330863775655E-5</v>
      </c>
      <c r="Q190">
        <f>'Transpo perseq'!AC190*Pondération!$D$10</f>
        <v>1.0233206344919714E-4</v>
      </c>
      <c r="R190">
        <f>'Transpo perseq'!AD190*Pondération!$D$9</f>
        <v>3.8319547115161225E-7</v>
      </c>
      <c r="S190">
        <f>'Transpo perseq'!AE190*Pondération!$D$11</f>
        <v>2.909498962993833E-5</v>
      </c>
      <c r="U190">
        <f t="shared" si="2"/>
        <v>1.4760544796432031E-3</v>
      </c>
    </row>
    <row r="191" spans="1:21" x14ac:dyDescent="0.3">
      <c r="A191" t="s">
        <v>1</v>
      </c>
      <c r="B191" t="s">
        <v>41</v>
      </c>
      <c r="C191" t="s">
        <v>79</v>
      </c>
      <c r="D191">
        <f>'Transpo perseq'!D191*Pondération!$D$17</f>
        <v>6.3984000000000004E-6</v>
      </c>
      <c r="E191">
        <f>'Transpo perseq'!E191*Pondération!$D$2</f>
        <v>5.9641920000000004E-5</v>
      </c>
      <c r="F191">
        <f>'Transpo perseq'!I191*Pondération!$D$12</f>
        <v>2.4238079999999996E-5</v>
      </c>
      <c r="G191">
        <f>'Transpo perseq'!M191*Pondération!$D$15</f>
        <v>2.67008E-7</v>
      </c>
      <c r="H191">
        <f>'Transpo perseq'!N191*Pondération!$D$14</f>
        <v>2.3016960000000002E-6</v>
      </c>
      <c r="I191">
        <f>'Transpo perseq'!O191*Pondération!$D$16</f>
        <v>3.223248E-6</v>
      </c>
      <c r="J191">
        <f>'Transpo perseq'!P191*Pondération!$D$4</f>
        <v>1.121232E-6</v>
      </c>
      <c r="K191">
        <f>'Transpo perseq'!T191*Pondération!$D$5</f>
        <v>4.8706007064602424E-6</v>
      </c>
      <c r="L191">
        <f>'Transpo perseq'!X191*Pondération!$D$7</f>
        <v>1.1740148577057126E-6</v>
      </c>
      <c r="M191">
        <f>'Transpo perseq'!Y191*Pondération!$D$13</f>
        <v>1.931948368244624E-7</v>
      </c>
      <c r="N191">
        <f>'Transpo perseq'!Z191*Pondération!$D$3</f>
        <v>1.4008616643723778E-8</v>
      </c>
      <c r="O191">
        <f>'Transpo perseq'!AA191*Pondération!$D$6</f>
        <v>1.1426229561537953E-5</v>
      </c>
      <c r="P191">
        <f>'Transpo perseq'!AB191*Pondération!$D$8</f>
        <v>5.6651403547507802E-6</v>
      </c>
      <c r="Q191">
        <f>'Transpo perseq'!AC191*Pondération!$D$10</f>
        <v>6.5859823192177124E-5</v>
      </c>
      <c r="R191">
        <f>'Transpo perseq'!AD191*Pondération!$D$9</f>
        <v>1.6589819896668096E-5</v>
      </c>
      <c r="S191">
        <f>'Transpo perseq'!AE191*Pondération!$D$11</f>
        <v>5.0618860889677996E-6</v>
      </c>
      <c r="U191">
        <f t="shared" si="2"/>
        <v>2.0804630211173589E-4</v>
      </c>
    </row>
    <row r="192" spans="1:21" x14ac:dyDescent="0.3">
      <c r="A192" t="s">
        <v>1</v>
      </c>
      <c r="B192" t="s">
        <v>41</v>
      </c>
      <c r="C192" t="s">
        <v>56</v>
      </c>
      <c r="D192">
        <f>'Transpo perseq'!D192*Pondération!$D$17</f>
        <v>2.9958399999999999E-7</v>
      </c>
      <c r="E192">
        <f>'Transpo perseq'!E192*Pondération!$D$2</f>
        <v>1.09512E-6</v>
      </c>
      <c r="F192">
        <f>'Transpo perseq'!I192*Pondération!$D$12</f>
        <v>8.6015999999999994E-8</v>
      </c>
      <c r="G192">
        <f>'Transpo perseq'!M192*Pondération!$D$15</f>
        <v>1.1558400000000001E-7</v>
      </c>
      <c r="H192">
        <f>'Transpo perseq'!N192*Pondération!$D$14</f>
        <v>1.368704E-7</v>
      </c>
      <c r="I192">
        <f>'Transpo perseq'!O192*Pondération!$D$16</f>
        <v>1.8876480000000003E-7</v>
      </c>
      <c r="J192">
        <f>'Transpo perseq'!P192*Pondération!$D$4</f>
        <v>2.1538559999999997E-8</v>
      </c>
      <c r="K192">
        <f>'Transpo perseq'!T192*Pondération!$D$5</f>
        <v>8.9485959211975774E-8</v>
      </c>
      <c r="L192">
        <f>'Transpo perseq'!X192*Pondération!$D$7</f>
        <v>-3.2428675227602434E-7</v>
      </c>
      <c r="M192">
        <f>'Transpo perseq'!Y192*Pondération!$D$13</f>
        <v>4.6052875415578908E-6</v>
      </c>
      <c r="N192">
        <f>'Transpo perseq'!Z192*Pondération!$D$3</f>
        <v>1.6232648014021451E-9</v>
      </c>
      <c r="O192">
        <f>'Transpo perseq'!AA192*Pondération!$D$6</f>
        <v>5.6512497739814929E-7</v>
      </c>
      <c r="P192">
        <f>'Transpo perseq'!AB192*Pondération!$D$8</f>
        <v>2.9822366156471933E-7</v>
      </c>
      <c r="Q192">
        <f>'Transpo perseq'!AC192*Pondération!$D$10</f>
        <v>-9.8466867491556881E-8</v>
      </c>
      <c r="R192">
        <f>'Transpo perseq'!AD192*Pondération!$D$9</f>
        <v>1.9203976132049363E-8</v>
      </c>
      <c r="S192">
        <f>'Transpo perseq'!AE192*Pondération!$D$11</f>
        <v>2.0144375904728435E-5</v>
      </c>
      <c r="U192">
        <f t="shared" si="2"/>
        <v>2.7244049425627042E-5</v>
      </c>
    </row>
    <row r="193" spans="1:21" x14ac:dyDescent="0.3">
      <c r="A193" t="s">
        <v>1</v>
      </c>
      <c r="B193" t="s">
        <v>41</v>
      </c>
      <c r="C193" t="s">
        <v>57</v>
      </c>
      <c r="D193">
        <f>'Transpo perseq'!D193*Pondération!$D$17</f>
        <v>3.0752018153723309E-4</v>
      </c>
      <c r="E193">
        <f>'Transpo perseq'!E193*Pondération!$D$2</f>
        <v>1.7800002856425861E-3</v>
      </c>
      <c r="F193">
        <f>'Transpo perseq'!I193*Pondération!$D$12</f>
        <v>3.0279535749437489E-4</v>
      </c>
      <c r="G193">
        <f>'Transpo perseq'!M193*Pondération!$D$15</f>
        <v>2.386210910740169E-7</v>
      </c>
      <c r="H193">
        <f>'Transpo perseq'!N193*Pondération!$D$14</f>
        <v>1.8890144024539166E-4</v>
      </c>
      <c r="I193">
        <f>'Transpo perseq'!O193*Pondération!$D$16</f>
        <v>2.8680585016344778E-4</v>
      </c>
      <c r="J193">
        <f>'Transpo perseq'!P193*Pondération!$D$4</f>
        <v>1.5747490696780873E-5</v>
      </c>
      <c r="K193">
        <f>'Transpo perseq'!T193*Pondération!$D$5</f>
        <v>4.5540246320213258E-5</v>
      </c>
      <c r="L193">
        <f>'Transpo perseq'!X193*Pondération!$D$7</f>
        <v>1.2425470554207311E-6</v>
      </c>
      <c r="M193">
        <f>'Transpo perseq'!Y193*Pondération!$D$13</f>
        <v>5.9391403624208829E-7</v>
      </c>
      <c r="N193">
        <f>'Transpo perseq'!Z193*Pondération!$D$3</f>
        <v>6.4935366662693798E-15</v>
      </c>
      <c r="O193">
        <f>'Transpo perseq'!AA193*Pondération!$D$6</f>
        <v>1.3274594498592215E-4</v>
      </c>
      <c r="P193">
        <f>'Transpo perseq'!AB193*Pondération!$D$8</f>
        <v>4.1541971992259001E-4</v>
      </c>
      <c r="Q193">
        <f>'Transpo perseq'!AC193*Pondération!$D$10</f>
        <v>1.1844498708767583E-3</v>
      </c>
      <c r="R193">
        <f>'Transpo perseq'!AD193*Pondération!$D$9</f>
        <v>2.744020682537615E-6</v>
      </c>
      <c r="S193">
        <f>'Transpo perseq'!AE193*Pondération!$D$11</f>
        <v>7.1784398898833418E-7</v>
      </c>
      <c r="U193">
        <f t="shared" si="2"/>
        <v>4.6654633347460546E-3</v>
      </c>
    </row>
    <row r="194" spans="1:21" x14ac:dyDescent="0.3">
      <c r="A194" t="s">
        <v>1</v>
      </c>
      <c r="B194" t="s">
        <v>41</v>
      </c>
      <c r="C194" t="s">
        <v>82</v>
      </c>
      <c r="D194">
        <f>'Transpo perseq'!D194*Pondération!$D$17</f>
        <v>1.380218811221183E-6</v>
      </c>
      <c r="E194">
        <f>'Transpo perseq'!E194*Pondération!$D$2</f>
        <v>1.6275221241182268E-5</v>
      </c>
      <c r="F194">
        <f>'Transpo perseq'!I194*Pondération!$D$12</f>
        <v>3.6335514772702309E-6</v>
      </c>
      <c r="G194">
        <f>'Transpo perseq'!M194*Pondération!$D$15</f>
        <v>3.0080937366990226E-8</v>
      </c>
      <c r="H194">
        <f>'Transpo perseq'!N194*Pondération!$D$14</f>
        <v>6.1841220628508482E-7</v>
      </c>
      <c r="I194">
        <f>'Transpo perseq'!O194*Pondération!$D$16</f>
        <v>8.7045355675771263E-7</v>
      </c>
      <c r="J194">
        <f>'Transpo perseq'!P194*Pondération!$D$4</f>
        <v>2.1277051067750657E-7</v>
      </c>
      <c r="K194">
        <f>'Transpo perseq'!T194*Pondération!$D$5</f>
        <v>7.1341049749796991E-7</v>
      </c>
      <c r="L194">
        <f>'Transpo perseq'!X194*Pondération!$D$7</f>
        <v>3.4026751526241848E-7</v>
      </c>
      <c r="M194">
        <f>'Transpo perseq'!Y194*Pondération!$D$13</f>
        <v>4.2938356878199423E-8</v>
      </c>
      <c r="N194">
        <f>'Transpo perseq'!Z194*Pondération!$D$3</f>
        <v>1.0775873480545237E-9</v>
      </c>
      <c r="O194">
        <f>'Transpo perseq'!AA194*Pondération!$D$6</f>
        <v>1.5666609837524172E-6</v>
      </c>
      <c r="P194">
        <f>'Transpo perseq'!AB194*Pondération!$D$8</f>
        <v>1.6012830540994304E-6</v>
      </c>
      <c r="Q194">
        <f>'Transpo perseq'!AC194*Pondération!$D$10</f>
        <v>1.541548140173823E-5</v>
      </c>
      <c r="R194">
        <f>'Transpo perseq'!AD194*Pondération!$D$9</f>
        <v>1.3155214238276385E-6</v>
      </c>
      <c r="S194">
        <f>'Transpo perseq'!AE194*Pondération!$D$11</f>
        <v>8.0752287034640487E-7</v>
      </c>
      <c r="U194">
        <f t="shared" si="2"/>
        <v>4.4824872431511748E-5</v>
      </c>
    </row>
    <row r="195" spans="1:21" x14ac:dyDescent="0.3">
      <c r="A195" t="s">
        <v>1</v>
      </c>
      <c r="B195" t="s">
        <v>42</v>
      </c>
      <c r="C195" t="s">
        <v>72</v>
      </c>
      <c r="D195">
        <f>'Transpo perseq'!D195*Pondération!$D$17</f>
        <v>7.4399999999999998E-4</v>
      </c>
      <c r="E195">
        <f>'Transpo perseq'!E195*Pondération!$D$2</f>
        <v>3.9087360000000003E-3</v>
      </c>
      <c r="F195">
        <f>'Transpo perseq'!I195*Pondération!$D$12</f>
        <v>2.7340799999999994E-4</v>
      </c>
      <c r="G195">
        <f>'Transpo perseq'!M195*Pondération!$D$15</f>
        <v>1.1110400000000001E-6</v>
      </c>
      <c r="H195">
        <f>'Transpo perseq'!N195*Pondération!$D$14</f>
        <v>1.4492160000000002E-4</v>
      </c>
      <c r="I195">
        <f>'Transpo perseq'!O195*Pondération!$D$16</f>
        <v>2.1903840000000001E-4</v>
      </c>
      <c r="J195">
        <f>'Transpo perseq'!P195*Pondération!$D$4</f>
        <v>9.2356799999999983E-5</v>
      </c>
      <c r="K195">
        <f>'Transpo perseq'!T195*Pondération!$D$5</f>
        <v>1.2712087322348038E-4</v>
      </c>
      <c r="L195">
        <f>'Transpo perseq'!X195*Pondération!$D$7</f>
        <v>2.5032435814250931E-4</v>
      </c>
      <c r="M195">
        <f>'Transpo perseq'!Y195*Pondération!$D$13</f>
        <v>1.4411058607355881E-5</v>
      </c>
      <c r="N195">
        <f>'Transpo perseq'!Z195*Pondération!$D$3</f>
        <v>5.5514418477665484E-12</v>
      </c>
      <c r="O195">
        <f>'Transpo perseq'!AA195*Pondération!$D$6</f>
        <v>1.1425463296853831E-3</v>
      </c>
      <c r="P195">
        <f>'Transpo perseq'!AB195*Pondération!$D$8</f>
        <v>3.4726365079055887E-4</v>
      </c>
      <c r="Q195">
        <f>'Transpo perseq'!AC195*Pondération!$D$10</f>
        <v>2.37390803872752E-3</v>
      </c>
      <c r="R195">
        <f>'Transpo perseq'!AD195*Pondération!$D$9</f>
        <v>2.7753600172628041E-4</v>
      </c>
      <c r="S195">
        <f>'Transpo perseq'!AE195*Pondération!$D$11</f>
        <v>1.6608604478206526E-4</v>
      </c>
      <c r="U195">
        <f t="shared" si="2"/>
        <v>1.0082768201236596E-2</v>
      </c>
    </row>
    <row r="196" spans="1:21" x14ac:dyDescent="0.3">
      <c r="A196" t="s">
        <v>1</v>
      </c>
      <c r="B196" t="s">
        <v>42</v>
      </c>
      <c r="C196" t="s">
        <v>94</v>
      </c>
      <c r="D196">
        <f>'Transpo perseq'!D196*Pondération!$D$17</f>
        <v>2.46016E-4</v>
      </c>
      <c r="E196">
        <f>'Transpo perseq'!E196*Pondération!$D$2</f>
        <v>1.5601248E-3</v>
      </c>
      <c r="F196">
        <f>'Transpo perseq'!I196*Pondération!$D$12</f>
        <v>1.2718079999999999E-4</v>
      </c>
      <c r="G196">
        <f>'Transpo perseq'!M196*Pondération!$D$15</f>
        <v>3.6601599999999999E-7</v>
      </c>
      <c r="H196">
        <f>'Transpo perseq'!N196*Pondération!$D$14</f>
        <v>5.6832000000000001E-5</v>
      </c>
      <c r="I196">
        <f>'Transpo perseq'!O196*Pondération!$D$16</f>
        <v>8.5478399999999998E-5</v>
      </c>
      <c r="J196">
        <f>'Transpo perseq'!P196*Pondération!$D$4</f>
        <v>2.9445119999999998E-5</v>
      </c>
      <c r="K196">
        <f>'Transpo perseq'!T196*Pondération!$D$5</f>
        <v>4.6448713310718956E-5</v>
      </c>
      <c r="L196">
        <f>'Transpo perseq'!X196*Pondération!$D$7</f>
        <v>1.5671691127354121E-4</v>
      </c>
      <c r="M196">
        <f>'Transpo perseq'!Y196*Pondération!$D$13</f>
        <v>6.8310282318356276E-6</v>
      </c>
      <c r="N196">
        <f>'Transpo perseq'!Z196*Pondération!$D$3</f>
        <v>2.2950866700978395E-12</v>
      </c>
      <c r="O196">
        <f>'Transpo perseq'!AA196*Pondération!$D$6</f>
        <v>3.4122354723299799E-4</v>
      </c>
      <c r="P196">
        <f>'Transpo perseq'!AB196*Pondération!$D$8</f>
        <v>1.3219592499555706E-4</v>
      </c>
      <c r="Q196">
        <f>'Transpo perseq'!AC196*Pondération!$D$10</f>
        <v>1.0174254970637534E-3</v>
      </c>
      <c r="R196">
        <f>'Transpo perseq'!AD196*Pondération!$D$9</f>
        <v>1.0376871141616026E-4</v>
      </c>
      <c r="S196">
        <f>'Transpo perseq'!AE196*Pondération!$D$11</f>
        <v>3.0472528741126476E-5</v>
      </c>
      <c r="U196">
        <f t="shared" ref="U196:U259" si="3">SUM(D196:S196)</f>
        <v>3.9405260005607777E-3</v>
      </c>
    </row>
    <row r="197" spans="1:21" x14ac:dyDescent="0.3">
      <c r="A197" t="s">
        <v>1</v>
      </c>
      <c r="B197" t="s">
        <v>42</v>
      </c>
      <c r="C197" t="s">
        <v>58</v>
      </c>
      <c r="D197">
        <f>'Transpo perseq'!D197*Pondération!$D$17</f>
        <v>8.0252800000000012E-6</v>
      </c>
      <c r="E197">
        <f>'Transpo perseq'!E197*Pondération!$D$2</f>
        <v>7.0761599999999997E-5</v>
      </c>
      <c r="F197">
        <f>'Transpo perseq'!I197*Pondération!$D$12</f>
        <v>2.0797440000000001E-6</v>
      </c>
      <c r="G197">
        <f>'Transpo perseq'!M197*Pondération!$D$15</f>
        <v>1.9532799999999999E-8</v>
      </c>
      <c r="H197">
        <f>'Transpo perseq'!N197*Pondération!$D$14</f>
        <v>2.4958720000000002E-6</v>
      </c>
      <c r="I197">
        <f>'Transpo perseq'!O197*Pondération!$D$16</f>
        <v>3.6387679999999998E-6</v>
      </c>
      <c r="J197">
        <f>'Transpo perseq'!P197*Pondération!$D$4</f>
        <v>2.9547360000000002E-7</v>
      </c>
      <c r="K197">
        <f>'Transpo perseq'!T197*Pondération!$D$5</f>
        <v>2.3320863975082653E-6</v>
      </c>
      <c r="L197">
        <f>'Transpo perseq'!X197*Pondération!$D$7</f>
        <v>1.0708657292907465E-6</v>
      </c>
      <c r="M197">
        <f>'Transpo perseq'!Y197*Pondération!$D$13</f>
        <v>1.419185839794484E-7</v>
      </c>
      <c r="N197">
        <f>'Transpo perseq'!Z197*Pondération!$D$3</f>
        <v>2.6878480092152349E-15</v>
      </c>
      <c r="O197">
        <f>'Transpo perseq'!AA197*Pondération!$D$6</f>
        <v>1.3224510178024371E-5</v>
      </c>
      <c r="P197">
        <f>'Transpo perseq'!AB197*Pondération!$D$8</f>
        <v>6.490152796091563E-6</v>
      </c>
      <c r="Q197">
        <f>'Transpo perseq'!AC197*Pondération!$D$10</f>
        <v>3.8208228618227862E-5</v>
      </c>
      <c r="R197">
        <f>'Transpo perseq'!AD197*Pondération!$D$9</f>
        <v>1.0924933057742617E-6</v>
      </c>
      <c r="S197">
        <f>'Transpo perseq'!AE197*Pondération!$D$11</f>
        <v>6.8295676362854981E-6</v>
      </c>
      <c r="U197">
        <f t="shared" si="3"/>
        <v>1.5670609364786987E-4</v>
      </c>
    </row>
    <row r="198" spans="1:21" x14ac:dyDescent="0.3">
      <c r="A198" t="s">
        <v>1</v>
      </c>
      <c r="B198" t="s">
        <v>42</v>
      </c>
      <c r="C198" t="s">
        <v>56</v>
      </c>
      <c r="D198">
        <f>'Transpo perseq'!D198*Pondération!$D$17</f>
        <v>4.0076800000000002E-5</v>
      </c>
      <c r="E198">
        <f>'Transpo perseq'!E198*Pondération!$D$2</f>
        <v>2.5777440000000003E-4</v>
      </c>
      <c r="F198">
        <f>'Transpo perseq'!I198*Pondération!$D$12</f>
        <v>3.5327999999999998E-5</v>
      </c>
      <c r="G198">
        <f>'Transpo perseq'!M198*Pondération!$D$15</f>
        <v>9.0048000000000002E-5</v>
      </c>
      <c r="H198">
        <f>'Transpo perseq'!N198*Pondération!$D$14</f>
        <v>4.6602240000000005E-6</v>
      </c>
      <c r="I198">
        <f>'Transpo perseq'!O198*Pondération!$D$16</f>
        <v>8.1323199999999998E-6</v>
      </c>
      <c r="J198">
        <f>'Transpo perseq'!P198*Pondération!$D$4</f>
        <v>1.72104E-5</v>
      </c>
      <c r="K198">
        <f>'Transpo perseq'!T198*Pondération!$D$5</f>
        <v>2.8895482337243262E-6</v>
      </c>
      <c r="L198">
        <f>'Transpo perseq'!X198*Pondération!$D$7</f>
        <v>-6.5600357720841266E-5</v>
      </c>
      <c r="M198">
        <f>'Transpo perseq'!Y198*Pondération!$D$13</f>
        <v>-9.6586492094930302E-4</v>
      </c>
      <c r="N198">
        <f>'Transpo perseq'!Z198*Pondération!$D$3</f>
        <v>1.3223384803255343E-6</v>
      </c>
      <c r="O198">
        <f>'Transpo perseq'!AA198*Pondération!$D$6</f>
        <v>1.1821860583009132E-4</v>
      </c>
      <c r="P198">
        <f>'Transpo perseq'!AB198*Pondération!$D$8</f>
        <v>5.3756132045228631E-5</v>
      </c>
      <c r="Q198">
        <f>'Transpo perseq'!AC198*Pondération!$D$10</f>
        <v>-2.4441689483356621E-5</v>
      </c>
      <c r="R198">
        <f>'Transpo perseq'!AD198*Pondération!$D$9</f>
        <v>3.1082641224873429E-5</v>
      </c>
      <c r="S198">
        <f>'Transpo perseq'!AE198*Pondération!$D$11</f>
        <v>1.481093308183269E-2</v>
      </c>
      <c r="U198">
        <f t="shared" si="3"/>
        <v>1.4415525523493433E-2</v>
      </c>
    </row>
    <row r="199" spans="1:21" x14ac:dyDescent="0.3">
      <c r="A199" t="s">
        <v>1</v>
      </c>
      <c r="B199" t="s">
        <v>42</v>
      </c>
      <c r="C199" t="s">
        <v>57</v>
      </c>
      <c r="D199">
        <f>'Transpo perseq'!D199*Pondération!$D$17</f>
        <v>1.5772799999999999E-5</v>
      </c>
      <c r="E199">
        <f>'Transpo perseq'!E199*Pondération!$D$2</f>
        <v>6.1326719999999998E-5</v>
      </c>
      <c r="F199">
        <f>'Transpo perseq'!I199*Pondération!$D$12</f>
        <v>1.0506239999999999E-5</v>
      </c>
      <c r="G199">
        <f>'Transpo perseq'!M199*Pondération!$D$15</f>
        <v>1.2230400000000001E-7</v>
      </c>
      <c r="H199">
        <f>'Transpo perseq'!N199*Pondération!$D$14</f>
        <v>1.046656E-5</v>
      </c>
      <c r="I199">
        <f>'Transpo perseq'!O199*Pondération!$D$16</f>
        <v>1.6027200000000001E-5</v>
      </c>
      <c r="J199">
        <f>'Transpo perseq'!P199*Pondération!$D$4</f>
        <v>5.9640000000000002E-7</v>
      </c>
      <c r="K199">
        <f>'Transpo perseq'!T199*Pondération!$D$5</f>
        <v>2.097688984741331E-6</v>
      </c>
      <c r="L199">
        <f>'Transpo perseq'!X199*Pondération!$D$7</f>
        <v>9.9351164633175498E-8</v>
      </c>
      <c r="M199">
        <f>'Transpo perseq'!Y199*Pondération!$D$13</f>
        <v>1.0467544906097582E-6</v>
      </c>
      <c r="N199">
        <f>'Transpo perseq'!Z199*Pondération!$D$3</f>
        <v>5.4799112240106457E-16</v>
      </c>
      <c r="O199">
        <f>'Transpo perseq'!AA199*Pondération!$D$6</f>
        <v>7.8946610812982587E-6</v>
      </c>
      <c r="P199">
        <f>'Transpo perseq'!AB199*Pondération!$D$8</f>
        <v>1.5686885762922653E-5</v>
      </c>
      <c r="Q199">
        <f>'Transpo perseq'!AC199*Pondération!$D$10</f>
        <v>4.0231239699215054E-5</v>
      </c>
      <c r="R199">
        <f>'Transpo perseq'!AD199*Pondération!$D$9</f>
        <v>2.4920779212025563E-7</v>
      </c>
      <c r="S199">
        <f>'Transpo perseq'!AE199*Pondération!$D$11</f>
        <v>1.624942790192586E-7</v>
      </c>
      <c r="U199">
        <f t="shared" si="3"/>
        <v>1.8228650725510772E-4</v>
      </c>
    </row>
    <row r="200" spans="1:21" x14ac:dyDescent="0.3">
      <c r="A200" t="s">
        <v>1</v>
      </c>
      <c r="B200" t="s">
        <v>43</v>
      </c>
      <c r="C200" t="s">
        <v>87</v>
      </c>
      <c r="D200">
        <f>'Transpo perseq'!D200*Pondération!$D$17</f>
        <v>1.1193289890005218E-6</v>
      </c>
      <c r="E200">
        <f>'Transpo perseq'!E200*Pondération!$D$2</f>
        <v>9.8729697205392445E-6</v>
      </c>
      <c r="F200">
        <f>'Transpo perseq'!I200*Pondération!$D$12</f>
        <v>2.9008926262288616E-7</v>
      </c>
      <c r="G200">
        <f>'Transpo perseq'!M200*Pondération!$D$15</f>
        <v>2.7266649921397734E-9</v>
      </c>
      <c r="H200">
        <f>'Transpo perseq'!N200*Pondération!$D$14</f>
        <v>3.4805471076387986E-7</v>
      </c>
      <c r="I200">
        <f>'Transpo perseq'!O200*Pondération!$D$16</f>
        <v>5.0787678281056319E-7</v>
      </c>
      <c r="J200">
        <f>'Transpo perseq'!P200*Pondération!$D$4</f>
        <v>4.122132751112542E-8</v>
      </c>
      <c r="K200">
        <f>'Transpo perseq'!T200*Pondération!$D$5</f>
        <v>3.2525612238609101E-7</v>
      </c>
      <c r="L200">
        <f>'Transpo perseq'!X200*Pondération!$D$7</f>
        <v>1.4935365819954585E-7</v>
      </c>
      <c r="M200">
        <f>'Transpo perseq'!Y200*Pondération!$D$13</f>
        <v>1.9793386886952212E-8</v>
      </c>
      <c r="N200">
        <f>'Transpo perseq'!Z200*Pondération!$D$3</f>
        <v>3.7487419933266923E-16</v>
      </c>
      <c r="O200">
        <f>'Transpo perseq'!AA200*Pondération!$D$6</f>
        <v>1.8444226189713263E-6</v>
      </c>
      <c r="P200">
        <f>'Transpo perseq'!AB200*Pondération!$D$8</f>
        <v>9.0518170098906029E-7</v>
      </c>
      <c r="Q200">
        <f>'Transpo perseq'!AC200*Pondération!$D$10</f>
        <v>5.3289021782744607E-6</v>
      </c>
      <c r="R200">
        <f>'Transpo perseq'!AD200*Pondération!$D$9</f>
        <v>1.5237005659334205E-7</v>
      </c>
      <c r="S200">
        <f>'Transpo perseq'!AE200*Pondération!$D$11</f>
        <v>9.5251989348472354E-7</v>
      </c>
      <c r="U200">
        <f t="shared" si="3"/>
        <v>2.1860067074400732E-5</v>
      </c>
    </row>
    <row r="201" spans="1:21" x14ac:dyDescent="0.3">
      <c r="A201" t="s">
        <v>1</v>
      </c>
      <c r="B201" t="s">
        <v>43</v>
      </c>
      <c r="C201" t="s">
        <v>70</v>
      </c>
      <c r="D201">
        <f>'Transpo perseq'!D201*Pondération!$D$17</f>
        <v>5.3911945706181094E-3</v>
      </c>
      <c r="E201">
        <f>'Transpo perseq'!E201*Pondération!$D$2</f>
        <v>3.0434197622366228E-2</v>
      </c>
      <c r="F201">
        <f>'Transpo perseq'!I201*Pondération!$D$12</f>
        <v>2.1874264308979568E-3</v>
      </c>
      <c r="G201">
        <f>'Transpo perseq'!M201*Pondération!$D$15</f>
        <v>3.7161512762291678E-5</v>
      </c>
      <c r="H201">
        <f>'Transpo perseq'!N201*Pondération!$D$14</f>
        <v>1.2372013202384844E-3</v>
      </c>
      <c r="I201">
        <f>'Transpo perseq'!O201*Pondération!$D$16</f>
        <v>1.866718106975383E-3</v>
      </c>
      <c r="J201">
        <f>'Transpo perseq'!P201*Pondération!$D$4</f>
        <v>5.7560317603413751E-4</v>
      </c>
      <c r="K201">
        <f>'Transpo perseq'!T201*Pondération!$D$5</f>
        <v>8.8472850686745121E-4</v>
      </c>
      <c r="L201">
        <f>'Transpo perseq'!X201*Pondération!$D$7</f>
        <v>2.4934456831186389E-3</v>
      </c>
      <c r="M201">
        <f>'Transpo perseq'!Y201*Pondération!$D$13</f>
        <v>1.8693057209996042E-4</v>
      </c>
      <c r="N201">
        <f>'Transpo perseq'!Z201*Pondération!$D$3</f>
        <v>5.2775724895919936E-6</v>
      </c>
      <c r="O201">
        <f>'Transpo perseq'!AA201*Pondération!$D$6</f>
        <v>7.1640919302164603E-3</v>
      </c>
      <c r="P201">
        <f>'Transpo perseq'!AB201*Pondération!$D$8</f>
        <v>2.9161004369202396E-3</v>
      </c>
      <c r="Q201">
        <f>'Transpo perseq'!AC201*Pondération!$D$10</f>
        <v>2.1265277955115548E-2</v>
      </c>
      <c r="R201">
        <f>'Transpo perseq'!AD201*Pondération!$D$9</f>
        <v>1.7318324757032558E-2</v>
      </c>
      <c r="S201">
        <f>'Transpo perseq'!AE201*Pondération!$D$11</f>
        <v>1.709491983301197E-3</v>
      </c>
      <c r="U201">
        <f t="shared" si="3"/>
        <v>9.5673172137054244E-2</v>
      </c>
    </row>
    <row r="202" spans="1:21" x14ac:dyDescent="0.3">
      <c r="A202" t="s">
        <v>1</v>
      </c>
      <c r="B202" t="s">
        <v>43</v>
      </c>
      <c r="C202" t="s">
        <v>72</v>
      </c>
      <c r="D202">
        <f>'Transpo perseq'!D202*Pondération!$D$17</f>
        <v>1.9651164087494143E-3</v>
      </c>
      <c r="E202">
        <f>'Transpo perseq'!E202*Pondération!$D$2</f>
        <v>1.0362218252308025E-2</v>
      </c>
      <c r="F202">
        <f>'Transpo perseq'!I202*Pondération!$D$12</f>
        <v>7.2968340102994933E-4</v>
      </c>
      <c r="G202">
        <f>'Transpo perseq'!M202*Pondération!$D$15</f>
        <v>2.9553739619592161E-6</v>
      </c>
      <c r="H202">
        <f>'Transpo perseq'!N202*Pondération!$D$14</f>
        <v>3.8312811219041418E-4</v>
      </c>
      <c r="I202">
        <f>'Transpo perseq'!O202*Pondération!$D$16</f>
        <v>5.7853308290282002E-4</v>
      </c>
      <c r="J202">
        <f>'Transpo perseq'!P202*Pondération!$D$4</f>
        <v>2.439644987638031E-4</v>
      </c>
      <c r="K202">
        <f>'Transpo perseq'!T202*Pondération!$D$5</f>
        <v>3.3770881198141644E-4</v>
      </c>
      <c r="L202">
        <f>'Transpo perseq'!X202*Pondération!$D$7</f>
        <v>6.6115133274616744E-4</v>
      </c>
      <c r="M202">
        <f>'Transpo perseq'!Y202*Pondération!$D$13</f>
        <v>3.8131230022510579E-5</v>
      </c>
      <c r="N202">
        <f>'Transpo perseq'!Z202*Pondération!$D$3</f>
        <v>1.4655258243951787E-11</v>
      </c>
      <c r="O202">
        <f>'Transpo perseq'!AA202*Pondération!$D$6</f>
        <v>3.0178336601493173E-3</v>
      </c>
      <c r="P202">
        <f>'Transpo perseq'!AB202*Pondération!$D$8</f>
        <v>9.2080170452565305E-4</v>
      </c>
      <c r="Q202">
        <f>'Transpo perseq'!AC202*Pondération!$D$10</f>
        <v>6.297677997112892E-3</v>
      </c>
      <c r="R202">
        <f>'Transpo perseq'!AD202*Pondération!$D$9</f>
        <v>7.3257024891723534E-4</v>
      </c>
      <c r="S202">
        <f>'Transpo perseq'!AE202*Pondération!$D$11</f>
        <v>4.3921851511904129E-4</v>
      </c>
      <c r="U202">
        <f t="shared" si="3"/>
        <v>2.6710692645135876E-2</v>
      </c>
    </row>
    <row r="203" spans="1:21" x14ac:dyDescent="0.3">
      <c r="A203" t="s">
        <v>1</v>
      </c>
      <c r="B203" t="s">
        <v>43</v>
      </c>
      <c r="C203" t="s">
        <v>58</v>
      </c>
      <c r="D203">
        <f>'Transpo perseq'!D203*Pondération!$D$17</f>
        <v>1.3202219584626258E-5</v>
      </c>
      <c r="E203">
        <f>'Transpo perseq'!E203*Pondération!$D$2</f>
        <v>1.1644933302345177E-4</v>
      </c>
      <c r="F203">
        <f>'Transpo perseq'!I203*Pondération!$D$12</f>
        <v>3.4215339564370636E-6</v>
      </c>
      <c r="G203">
        <f>'Transpo perseq'!M203*Pondération!$D$15</f>
        <v>3.2160365999353041E-8</v>
      </c>
      <c r="H203">
        <f>'Transpo perseq'!N203*Pondération!$D$14</f>
        <v>4.1052226504661585E-6</v>
      </c>
      <c r="I203">
        <f>'Transpo perseq'!O203*Pondération!$D$16</f>
        <v>5.9902860325146583E-6</v>
      </c>
      <c r="J203">
        <f>'Transpo perseq'!P203*Pondération!$D$4</f>
        <v>4.8619576792843969E-7</v>
      </c>
      <c r="K203">
        <f>'Transpo perseq'!T203*Pondération!$D$5</f>
        <v>3.8363187152148578E-6</v>
      </c>
      <c r="L203">
        <f>'Transpo perseq'!X203*Pondération!$D$7</f>
        <v>1.7615909269698219E-6</v>
      </c>
      <c r="M203">
        <f>'Transpo perseq'!Y203*Pondération!$D$13</f>
        <v>2.33458297402217E-7</v>
      </c>
      <c r="N203">
        <f>'Transpo perseq'!Z203*Pondération!$D$3</f>
        <v>4.4215521485064905E-15</v>
      </c>
      <c r="O203">
        <f>'Transpo perseq'!AA203*Pondération!$D$6</f>
        <v>2.1754526740394719E-5</v>
      </c>
      <c r="P203">
        <f>'Transpo perseq'!AB203*Pondération!$D$8</f>
        <v>1.067640318251199E-5</v>
      </c>
      <c r="Q203">
        <f>'Transpo perseq'!AC203*Pondération!$D$10</f>
        <v>6.2853135578479924E-5</v>
      </c>
      <c r="R203">
        <f>'Transpo perseq'!AD203*Pondération!$D$9</f>
        <v>1.7971686296300324E-6</v>
      </c>
      <c r="S203">
        <f>'Transpo perseq'!AE203*Pondération!$D$11</f>
        <v>1.1234745920177591E-5</v>
      </c>
      <c r="U203">
        <f t="shared" si="3"/>
        <v>2.5783429937662643E-4</v>
      </c>
    </row>
    <row r="204" spans="1:21" x14ac:dyDescent="0.3">
      <c r="A204" t="s">
        <v>1</v>
      </c>
      <c r="B204" t="s">
        <v>43</v>
      </c>
      <c r="C204" t="s">
        <v>74</v>
      </c>
      <c r="D204">
        <f>'Transpo perseq'!D204*Pondération!$D$17</f>
        <v>5.7388793960978184E-6</v>
      </c>
      <c r="E204">
        <f>'Transpo perseq'!E204*Pondération!$D$2</f>
        <v>6.0548134158582183E-5</v>
      </c>
      <c r="F204">
        <f>'Transpo perseq'!I204*Pondération!$D$12</f>
        <v>2.6491536260211148E-5</v>
      </c>
      <c r="G204">
        <f>'Transpo perseq'!M204*Pondération!$D$15</f>
        <v>1.2326557308260697E-6</v>
      </c>
      <c r="H204">
        <f>'Transpo perseq'!N204*Pondération!$D$14</f>
        <v>2.2852075765083338E-6</v>
      </c>
      <c r="I204">
        <f>'Transpo perseq'!O204*Pondération!$D$16</f>
        <v>3.3669262531903814E-6</v>
      </c>
      <c r="J204">
        <f>'Transpo perseq'!P204*Pondération!$D$4</f>
        <v>8.805354185672997E-7</v>
      </c>
      <c r="K204">
        <f>'Transpo perseq'!T204*Pondération!$D$5</f>
        <v>4.6352528071193892E-6</v>
      </c>
      <c r="L204">
        <f>'Transpo perseq'!X204*Pondération!$D$7</f>
        <v>4.1990562897221086E-6</v>
      </c>
      <c r="M204">
        <f>'Transpo perseq'!Y204*Pondération!$D$13</f>
        <v>2.8097628386961508E-8</v>
      </c>
      <c r="N204">
        <f>'Transpo perseq'!Z204*Pondération!$D$3</f>
        <v>3.5586703510148052E-14</v>
      </c>
      <c r="O204">
        <f>'Transpo perseq'!AA204*Pondération!$D$6</f>
        <v>4.302053810380448E-6</v>
      </c>
      <c r="P204">
        <f>'Transpo perseq'!AB204*Pondération!$D$8</f>
        <v>4.8192508078851754E-6</v>
      </c>
      <c r="Q204">
        <f>'Transpo perseq'!AC204*Pondération!$D$10</f>
        <v>5.0301446879063246E-5</v>
      </c>
      <c r="R204">
        <f>'Transpo perseq'!AD204*Pondération!$D$9</f>
        <v>-5.2231630728362925E-8</v>
      </c>
      <c r="S204">
        <f>'Transpo perseq'!AE204*Pondération!$D$11</f>
        <v>-9.0407194676097105E-7</v>
      </c>
      <c r="U204">
        <f t="shared" si="3"/>
        <v>1.6787272947463796E-4</v>
      </c>
    </row>
    <row r="205" spans="1:21" x14ac:dyDescent="0.3">
      <c r="A205" t="s">
        <v>1</v>
      </c>
      <c r="B205" t="s">
        <v>43</v>
      </c>
      <c r="C205" t="s">
        <v>75</v>
      </c>
      <c r="D205">
        <f>'Transpo perseq'!D205*Pondération!$D$17</f>
        <v>4.7219200000000002E-6</v>
      </c>
      <c r="E205">
        <f>'Transpo perseq'!E205*Pondération!$D$2</f>
        <v>1.6848000000000002E-5</v>
      </c>
      <c r="F205">
        <f>'Transpo perseq'!I205*Pondération!$D$12</f>
        <v>1.7971199999999998E-6</v>
      </c>
      <c r="G205">
        <f>'Transpo perseq'!M205*Pondération!$D$15</f>
        <v>1.4963200000000001E-8</v>
      </c>
      <c r="H205">
        <f>'Transpo perseq'!N205*Pondération!$D$14</f>
        <v>1.117696E-6</v>
      </c>
      <c r="I205">
        <f>'Transpo perseq'!O205*Pondération!$D$16</f>
        <v>1.6798880000000001E-6</v>
      </c>
      <c r="J205">
        <f>'Transpo perseq'!P205*Pondération!$D$4</f>
        <v>6.0321599999999995E-5</v>
      </c>
      <c r="K205">
        <f>'Transpo perseq'!T205*Pondération!$D$5</f>
        <v>8.3435529568992162E-7</v>
      </c>
      <c r="L205">
        <f>'Transpo perseq'!X205*Pondération!$D$7</f>
        <v>4.7102065038068453E-7</v>
      </c>
      <c r="M205">
        <f>'Transpo perseq'!Y205*Pondération!$D$13</f>
        <v>2.0618730286194023E-7</v>
      </c>
      <c r="N205">
        <f>'Transpo perseq'!Z205*Pondération!$D$3</f>
        <v>2.6498862357473491E-15</v>
      </c>
      <c r="O205">
        <f>'Transpo perseq'!AA205*Pondération!$D$6</f>
        <v>1.107926440880337E-5</v>
      </c>
      <c r="P205">
        <f>'Transpo perseq'!AB205*Pondération!$D$8</f>
        <v>2.5966911477311341E-6</v>
      </c>
      <c r="Q205">
        <f>'Transpo perseq'!AC205*Pondération!$D$10</f>
        <v>1.0742623118996547E-5</v>
      </c>
      <c r="R205">
        <f>'Transpo perseq'!AD205*Pondération!$D$9</f>
        <v>1.321959302756448E-5</v>
      </c>
      <c r="S205">
        <f>'Transpo perseq'!AE205*Pondération!$D$11</f>
        <v>4.0007592786095441E-6</v>
      </c>
      <c r="U205">
        <f t="shared" si="3"/>
        <v>1.2965168143328751E-4</v>
      </c>
    </row>
    <row r="206" spans="1:21" x14ac:dyDescent="0.3">
      <c r="A206" t="s">
        <v>1</v>
      </c>
      <c r="B206" t="s">
        <v>43</v>
      </c>
      <c r="C206" t="s">
        <v>78</v>
      </c>
      <c r="D206">
        <f>'Transpo perseq'!D206*Pondération!$D$17</f>
        <v>2.5296E-5</v>
      </c>
      <c r="E206">
        <f>'Transpo perseq'!E206*Pondération!$D$2</f>
        <v>2.2306752000000001E-4</v>
      </c>
      <c r="F206">
        <f>'Transpo perseq'!I206*Pondération!$D$12</f>
        <v>4.6079999999999992E-5</v>
      </c>
      <c r="G206">
        <f>'Transpo perseq'!M206*Pondération!$D$15</f>
        <v>7.3471999999999997E-6</v>
      </c>
      <c r="H206">
        <f>'Transpo perseq'!N206*Pondération!$D$14</f>
        <v>8.1459200000000008E-6</v>
      </c>
      <c r="I206">
        <f>'Transpo perseq'!O206*Pondération!$D$16</f>
        <v>1.12784E-5</v>
      </c>
      <c r="J206">
        <f>'Transpo perseq'!P206*Pondération!$D$4</f>
        <v>4.1236799999999995E-6</v>
      </c>
      <c r="K206">
        <f>'Transpo perseq'!T206*Pondération!$D$5</f>
        <v>1.309297177018042E-5</v>
      </c>
      <c r="L206">
        <f>'Transpo perseq'!X206*Pondération!$D$7</f>
        <v>3.7446138939532473E-5</v>
      </c>
      <c r="M206">
        <f>'Transpo perseq'!Y206*Pondération!$D$13</f>
        <v>1.3246790750040389E-6</v>
      </c>
      <c r="N206">
        <f>'Transpo perseq'!Z206*Pondération!$D$3</f>
        <v>1.2333240525851808E-7</v>
      </c>
      <c r="O206">
        <f>'Transpo perseq'!AA206*Pondération!$D$6</f>
        <v>2.9239734341890724E-5</v>
      </c>
      <c r="P206">
        <f>'Transpo perseq'!AB206*Pondération!$D$8</f>
        <v>2.336993709582321E-5</v>
      </c>
      <c r="Q206">
        <f>'Transpo perseq'!AC206*Pondération!$D$10</f>
        <v>3.3457174995571291E-4</v>
      </c>
      <c r="R206">
        <f>'Transpo perseq'!AD206*Pondération!$D$9</f>
        <v>6.6182933749346938E-6</v>
      </c>
      <c r="S206">
        <f>'Transpo perseq'!AE206*Pondération!$D$11</f>
        <v>9.1402358089317506E-5</v>
      </c>
      <c r="U206">
        <f t="shared" si="3"/>
        <v>8.6252791504765449E-4</v>
      </c>
    </row>
    <row r="207" spans="1:21" x14ac:dyDescent="0.3">
      <c r="A207" t="s">
        <v>1</v>
      </c>
      <c r="B207" t="s">
        <v>43</v>
      </c>
      <c r="C207" t="s">
        <v>59</v>
      </c>
      <c r="D207">
        <f>'Transpo perseq'!D207*Pondération!$D$17</f>
        <v>1.22016E-5</v>
      </c>
      <c r="E207">
        <f>'Transpo perseq'!E207*Pondération!$D$2</f>
        <v>1.1827296000000001E-4</v>
      </c>
      <c r="F207">
        <f>'Transpo perseq'!I207*Pondération!$D$12</f>
        <v>2.1227519999999998E-4</v>
      </c>
      <c r="G207">
        <f>'Transpo perseq'!M207*Pondération!$D$15</f>
        <v>2.7865599999999999E-6</v>
      </c>
      <c r="H207">
        <f>'Transpo perseq'!N207*Pondération!$D$14</f>
        <v>5.0201600000000004E-6</v>
      </c>
      <c r="I207">
        <f>'Transpo perseq'!O207*Pondération!$D$16</f>
        <v>6.1140799999999999E-6</v>
      </c>
      <c r="J207">
        <f>'Transpo perseq'!P207*Pondération!$D$4</f>
        <v>8.1791999999999995E-6</v>
      </c>
      <c r="K207">
        <f>'Transpo perseq'!T207*Pondération!$D$5</f>
        <v>5.2265101876691086E-5</v>
      </c>
      <c r="L207">
        <f>'Transpo perseq'!X207*Pondération!$D$7</f>
        <v>1.4092697588089253E-5</v>
      </c>
      <c r="M207">
        <f>'Transpo perseq'!Y207*Pondération!$D$13</f>
        <v>5.4661801962131274E-8</v>
      </c>
      <c r="N207">
        <f>'Transpo perseq'!Z207*Pondération!$D$3</f>
        <v>2.2037244243092159E-13</v>
      </c>
      <c r="O207">
        <f>'Transpo perseq'!AA207*Pondération!$D$6</f>
        <v>1.2568815668863556E-5</v>
      </c>
      <c r="P207">
        <f>'Transpo perseq'!AB207*Pondération!$D$8</f>
        <v>1.0954692716399972E-5</v>
      </c>
      <c r="Q207">
        <f>'Transpo perseq'!AC207*Pondération!$D$10</f>
        <v>1.0789110641561453E-4</v>
      </c>
      <c r="R207">
        <f>'Transpo perseq'!AD207*Pondération!$D$9</f>
        <v>2.6537692634606977E-6</v>
      </c>
      <c r="S207">
        <f>'Transpo perseq'!AE207*Pondération!$D$11</f>
        <v>2.4404846251335373E-4</v>
      </c>
      <c r="U207">
        <f t="shared" si="3"/>
        <v>8.0937906806480731E-4</v>
      </c>
    </row>
    <row r="208" spans="1:21" x14ac:dyDescent="0.3">
      <c r="A208" t="s">
        <v>1</v>
      </c>
      <c r="B208" t="s">
        <v>43</v>
      </c>
      <c r="C208" t="s">
        <v>56</v>
      </c>
      <c r="D208">
        <f>'Transpo perseq'!D208*Pondération!$D$17</f>
        <v>1.56736E-6</v>
      </c>
      <c r="E208">
        <f>'Transpo perseq'!E208*Pondération!$D$2</f>
        <v>5.9641920000000002E-6</v>
      </c>
      <c r="F208">
        <f>'Transpo perseq'!I208*Pondération!$D$12</f>
        <v>4.5465599999999997E-7</v>
      </c>
      <c r="G208">
        <f>'Transpo perseq'!M208*Pondération!$D$15</f>
        <v>3.5660800000000001E-7</v>
      </c>
      <c r="H208">
        <f>'Transpo perseq'!N208*Pondération!$D$14</f>
        <v>7.7196800000000005E-7</v>
      </c>
      <c r="I208">
        <f>'Transpo perseq'!O208*Pondération!$D$16</f>
        <v>1.0744160000000001E-6</v>
      </c>
      <c r="J208">
        <f>'Transpo perseq'!P208*Pondération!$D$4</f>
        <v>1.1927999999999999E-7</v>
      </c>
      <c r="K208">
        <f>'Transpo perseq'!T208*Pondération!$D$5</f>
        <v>5.4201727879263433E-7</v>
      </c>
      <c r="L208">
        <f>'Transpo perseq'!X208*Pondération!$D$7</f>
        <v>-2.2099448456072465E-6</v>
      </c>
      <c r="M208">
        <f>'Transpo perseq'!Y208*Pondération!$D$13</f>
        <v>2.8646898810136734E-5</v>
      </c>
      <c r="N208">
        <f>'Transpo perseq'!Z208*Pondération!$D$3</f>
        <v>4.3893073821427869E-9</v>
      </c>
      <c r="O208">
        <f>'Transpo perseq'!AA208*Pondération!$D$6</f>
        <v>2.6704300034483959E-6</v>
      </c>
      <c r="P208">
        <f>'Transpo perseq'!AB208*Pondération!$D$8</f>
        <v>1.6964427859068166E-6</v>
      </c>
      <c r="Q208">
        <f>'Transpo perseq'!AC208*Pondération!$D$10</f>
        <v>-1.1779422847748901E-6</v>
      </c>
      <c r="R208">
        <f>'Transpo perseq'!AD208*Pondération!$D$9</f>
        <v>6.498104255683959E-8</v>
      </c>
      <c r="S208">
        <f>'Transpo perseq'!AE208*Pondération!$D$11</f>
        <v>5.4911509069229218E-5</v>
      </c>
      <c r="U208">
        <f t="shared" si="3"/>
        <v>9.5457261167070654E-5</v>
      </c>
    </row>
    <row r="209" spans="1:21" x14ac:dyDescent="0.3">
      <c r="A209" t="s">
        <v>1</v>
      </c>
      <c r="B209" t="s">
        <v>43</v>
      </c>
      <c r="C209" t="s">
        <v>95</v>
      </c>
      <c r="D209">
        <f>'Transpo perseq'!D209*Pondération!$D$17</f>
        <v>2.3807999999999997E-7</v>
      </c>
      <c r="E209">
        <f>'Transpo perseq'!E209*Pondération!$D$2</f>
        <v>1.9577376000000004E-6</v>
      </c>
      <c r="F209">
        <f>'Transpo perseq'!I209*Pondération!$D$12</f>
        <v>2.0367360000000001E-7</v>
      </c>
      <c r="G209">
        <f>'Transpo perseq'!M209*Pondération!$D$15</f>
        <v>2.7910400000000003E-9</v>
      </c>
      <c r="H209">
        <f>'Transpo perseq'!N209*Pondération!$D$14</f>
        <v>7.6723200000000002E-8</v>
      </c>
      <c r="I209">
        <f>'Transpo perseq'!O209*Pondération!$D$16</f>
        <v>1.151584E-7</v>
      </c>
      <c r="J209">
        <f>'Transpo perseq'!P209*Pondération!$D$4</f>
        <v>3.9532799999999998E-7</v>
      </c>
      <c r="K209">
        <f>'Transpo perseq'!T209*Pondération!$D$5</f>
        <v>2.8722663853567372E-6</v>
      </c>
      <c r="L209">
        <f>'Transpo perseq'!X209*Pondération!$D$7</f>
        <v>1.7464561828643912E-7</v>
      </c>
      <c r="M209">
        <f>'Transpo perseq'!Y209*Pondération!$D$13</f>
        <v>1.9686224757242127E-7</v>
      </c>
      <c r="N209">
        <f>'Transpo perseq'!Z209*Pondération!$D$3</f>
        <v>1.117166316033959E-15</v>
      </c>
      <c r="O209">
        <f>'Transpo perseq'!AA209*Pondération!$D$6</f>
        <v>3.4365644761053348E-7</v>
      </c>
      <c r="P209">
        <f>'Transpo perseq'!AB209*Pondération!$D$8</f>
        <v>1.9980476102015344E-7</v>
      </c>
      <c r="Q209">
        <f>'Transpo perseq'!AC209*Pondération!$D$10</f>
        <v>1.5371578901050645E-6</v>
      </c>
      <c r="R209">
        <f>'Transpo perseq'!AD209*Pondération!$D$9</f>
        <v>1.3786036980700374E-6</v>
      </c>
      <c r="S209">
        <f>'Transpo perseq'!AE209*Pondération!$D$11</f>
        <v>7.7183984219724323E-8</v>
      </c>
      <c r="U209">
        <f t="shared" si="3"/>
        <v>9.769672873358278E-6</v>
      </c>
    </row>
    <row r="210" spans="1:21" x14ac:dyDescent="0.3">
      <c r="A210" t="s">
        <v>1</v>
      </c>
      <c r="B210" t="s">
        <v>43</v>
      </c>
      <c r="C210" t="s">
        <v>57</v>
      </c>
      <c r="D210">
        <f>'Transpo perseq'!D210*Pondération!$D$17</f>
        <v>3.3232000000000003E-5</v>
      </c>
      <c r="E210">
        <f>'Transpo perseq'!E210*Pondération!$D$2</f>
        <v>1.2972960000000002E-4</v>
      </c>
      <c r="F210">
        <f>'Transpo perseq'!I210*Pondération!$D$12</f>
        <v>2.2149119999999999E-5</v>
      </c>
      <c r="G210">
        <f>'Transpo perseq'!M210*Pondération!$D$15</f>
        <v>2.5760000000000003E-7</v>
      </c>
      <c r="H210">
        <f>'Transpo perseq'!N210*Pondération!$D$14</f>
        <v>2.2069760000000001E-5</v>
      </c>
      <c r="I210">
        <f>'Transpo perseq'!O210*Pondération!$D$16</f>
        <v>3.3835200000000004E-5</v>
      </c>
      <c r="J210">
        <f>'Transpo perseq'!P210*Pondération!$D$4</f>
        <v>1.2541439999999999E-6</v>
      </c>
      <c r="K210">
        <f>'Transpo perseq'!T210*Pondération!$D$5</f>
        <v>4.426305717320988E-6</v>
      </c>
      <c r="L210">
        <f>'Transpo perseq'!X210*Pondération!$D$7</f>
        <v>2.0963957537897348E-7</v>
      </c>
      <c r="M210">
        <f>'Transpo perseq'!Y210*Pondération!$D$13</f>
        <v>2.2087427736522791E-6</v>
      </c>
      <c r="N210">
        <f>'Transpo perseq'!Z210*Pondération!$D$3</f>
        <v>1.1563088025768842E-15</v>
      </c>
      <c r="O210">
        <f>'Transpo perseq'!AA210*Pondération!$D$6</f>
        <v>1.6658419686925578E-5</v>
      </c>
      <c r="P210">
        <f>'Transpo perseq'!AB210*Pondération!$D$8</f>
        <v>3.3100689684914266E-5</v>
      </c>
      <c r="Q210">
        <f>'Transpo perseq'!AC210*Pondération!$D$10</f>
        <v>8.4891405537654331E-5</v>
      </c>
      <c r="R210">
        <f>'Transpo perseq'!AD210*Pondération!$D$9</f>
        <v>5.2585005836737271E-7</v>
      </c>
      <c r="S210">
        <f>'Transpo perseq'!AE210*Pondération!$D$11</f>
        <v>3.4287702394719508E-7</v>
      </c>
      <c r="U210">
        <f t="shared" si="3"/>
        <v>3.8489135405931729E-4</v>
      </c>
    </row>
    <row r="211" spans="1:21" x14ac:dyDescent="0.3">
      <c r="A211" t="s">
        <v>1</v>
      </c>
      <c r="B211" t="s">
        <v>44</v>
      </c>
      <c r="C211" t="s">
        <v>72</v>
      </c>
      <c r="D211">
        <f>'Transpo perseq'!D211*Pondération!$D$17</f>
        <v>1.5375999999999999E-3</v>
      </c>
      <c r="E211">
        <f>'Transpo perseq'!E211*Pondération!$D$2</f>
        <v>8.1207359999999999E-3</v>
      </c>
      <c r="F211">
        <f>'Transpo perseq'!I211*Pondération!$D$12</f>
        <v>5.6524799999999997E-4</v>
      </c>
      <c r="G211">
        <f>'Transpo perseq'!M211*Pondération!$D$15</f>
        <v>2.2982400000000001E-6</v>
      </c>
      <c r="H211">
        <f>'Transpo perseq'!N211*Pondération!$D$14</f>
        <v>2.997888E-4</v>
      </c>
      <c r="I211">
        <f>'Transpo perseq'!O211*Pondération!$D$16</f>
        <v>4.5291680000000004E-4</v>
      </c>
      <c r="J211">
        <f>'Transpo perseq'!P211*Pondération!$D$4</f>
        <v>1.9118879999999999E-4</v>
      </c>
      <c r="K211">
        <f>'Transpo perseq'!T211*Pondération!$D$5</f>
        <v>2.6325353767440421E-4</v>
      </c>
      <c r="L211">
        <f>'Transpo perseq'!X211*Pondération!$D$7</f>
        <v>5.1839458915011621E-4</v>
      </c>
      <c r="M211">
        <f>'Transpo perseq'!Y211*Pondération!$D$13</f>
        <v>2.984373898494317E-5</v>
      </c>
      <c r="N211">
        <f>'Transpo perseq'!Z211*Pondération!$D$3</f>
        <v>1.1496433815782931E-11</v>
      </c>
      <c r="O211">
        <f>'Transpo perseq'!AA211*Pondération!$D$6</f>
        <v>2.3660894990691983E-3</v>
      </c>
      <c r="P211">
        <f>'Transpo perseq'!AB211*Pondération!$D$8</f>
        <v>7.1914534771664543E-4</v>
      </c>
      <c r="Q211">
        <f>'Transpo perseq'!AC211*Pondération!$D$10</f>
        <v>4.9161060136054232E-3</v>
      </c>
      <c r="R211">
        <f>'Transpo perseq'!AD211*Pondération!$D$9</f>
        <v>5.7474695094335922E-4</v>
      </c>
      <c r="S211">
        <f>'Transpo perseq'!AE211*Pondération!$D$11</f>
        <v>3.4394618081611417E-4</v>
      </c>
      <c r="U211">
        <f t="shared" si="3"/>
        <v>2.0901302509456637E-2</v>
      </c>
    </row>
    <row r="212" spans="1:21" x14ac:dyDescent="0.3">
      <c r="A212" t="s">
        <v>1</v>
      </c>
      <c r="B212" t="s">
        <v>44</v>
      </c>
      <c r="C212" t="s">
        <v>58</v>
      </c>
      <c r="D212">
        <f>'Transpo perseq'!D212*Pondération!$D$17</f>
        <v>9.3247999999999992E-6</v>
      </c>
      <c r="E212">
        <f>'Transpo perseq'!E212*Pondération!$D$2</f>
        <v>8.2218240000000008E-5</v>
      </c>
      <c r="F212">
        <f>'Transpo perseq'!I212*Pondération!$D$12</f>
        <v>2.4176639999999996E-6</v>
      </c>
      <c r="G212">
        <f>'Transpo perseq'!M212*Pondération!$D$15</f>
        <v>2.2713599999999999E-8</v>
      </c>
      <c r="H212">
        <f>'Transpo perseq'!N212*Pondération!$D$14</f>
        <v>2.8984320000000001E-6</v>
      </c>
      <c r="I212">
        <f>'Transpo perseq'!O212*Pondération!$D$16</f>
        <v>4.2323680000000003E-6</v>
      </c>
      <c r="J212">
        <f>'Transpo perseq'!P212*Pondération!$D$4</f>
        <v>3.4420800000000003E-7</v>
      </c>
      <c r="K212">
        <f>'Transpo perseq'!T212*Pondération!$D$5</f>
        <v>2.7095583246419136E-6</v>
      </c>
      <c r="L212">
        <f>'Transpo perseq'!X212*Pondération!$D$7</f>
        <v>1.244196250393504E-6</v>
      </c>
      <c r="M212">
        <f>'Transpo perseq'!Y212*Pondération!$D$13</f>
        <v>1.6488955171376394E-7</v>
      </c>
      <c r="N212">
        <f>'Transpo perseq'!Z212*Pondération!$D$3</f>
        <v>3.1229035753232772E-15</v>
      </c>
      <c r="O212">
        <f>'Transpo perseq'!AA212*Pondération!$D$6</f>
        <v>1.5365031793188761E-5</v>
      </c>
      <c r="P212">
        <f>'Transpo perseq'!AB212*Pondération!$D$8</f>
        <v>7.5406501044031546E-6</v>
      </c>
      <c r="Q212">
        <f>'Transpo perseq'!AC212*Pondération!$D$10</f>
        <v>4.4392619429947044E-5</v>
      </c>
      <c r="R212">
        <f>'Transpo perseq'!AD212*Pondération!$D$9</f>
        <v>1.2693244703279607E-6</v>
      </c>
      <c r="S212">
        <f>'Transpo perseq'!AE212*Pondération!$D$11</f>
        <v>7.9350026921705334E-6</v>
      </c>
      <c r="U212">
        <f t="shared" si="3"/>
        <v>1.8207969821990952E-4</v>
      </c>
    </row>
    <row r="213" spans="1:21" x14ac:dyDescent="0.3">
      <c r="A213" t="s">
        <v>1</v>
      </c>
      <c r="B213" t="s">
        <v>44</v>
      </c>
      <c r="C213" t="s">
        <v>74</v>
      </c>
      <c r="D213">
        <f>'Transpo perseq'!D213*Pondération!$D$17</f>
        <v>7.8665600000000003E-8</v>
      </c>
      <c r="E213">
        <f>'Transpo perseq'!E213*Pondération!$D$2</f>
        <v>8.2892160000000002E-7</v>
      </c>
      <c r="F213">
        <f>'Transpo perseq'!I213*Pondération!$D$12</f>
        <v>3.5942399999999998E-7</v>
      </c>
      <c r="G213">
        <f>'Transpo perseq'!M213*Pondération!$D$15</f>
        <v>1.6799999999999998E-8</v>
      </c>
      <c r="H213">
        <f>'Transpo perseq'!N213*Pondération!$D$14</f>
        <v>3.1494400000000006E-8</v>
      </c>
      <c r="I213">
        <f>'Transpo perseq'!O213*Pondération!$D$16</f>
        <v>4.6419520000000001E-8</v>
      </c>
      <c r="J213">
        <f>'Transpo perseq'!P213*Pondération!$D$4</f>
        <v>1.1996159999999998E-8</v>
      </c>
      <c r="K213">
        <f>'Transpo perseq'!T213*Pondération!$D$5</f>
        <v>6.3120621968732776E-8</v>
      </c>
      <c r="L213">
        <f>'Transpo perseq'!X213*Pondération!$D$7</f>
        <v>5.5909004861245759E-8</v>
      </c>
      <c r="M213">
        <f>'Transpo perseq'!Y213*Pondération!$D$13</f>
        <v>3.7238352586702094E-10</v>
      </c>
      <c r="N213">
        <f>'Transpo perseq'!Z213*Pondération!$D$3</f>
        <v>4.8402662498612464E-16</v>
      </c>
      <c r="O213">
        <f>'Transpo perseq'!AA213*Pondération!$D$6</f>
        <v>5.8677965226029647E-8</v>
      </c>
      <c r="P213">
        <f>'Transpo perseq'!AB213*Pondération!$D$8</f>
        <v>6.6357575435617449E-8</v>
      </c>
      <c r="Q213">
        <f>'Transpo perseq'!AC213*Pondération!$D$10</f>
        <v>6.8212530534941104E-7</v>
      </c>
      <c r="R213">
        <f>'Transpo perseq'!AD213*Pondération!$D$9</f>
        <v>-7.2383200701935365E-10</v>
      </c>
      <c r="S213">
        <f>'Transpo perseq'!AE213*Pondération!$D$11</f>
        <v>-1.2120214977683788E-8</v>
      </c>
      <c r="U213">
        <f t="shared" si="3"/>
        <v>2.2874400898662275E-6</v>
      </c>
    </row>
    <row r="214" spans="1:21" x14ac:dyDescent="0.3">
      <c r="A214" t="s">
        <v>1</v>
      </c>
      <c r="B214" t="s">
        <v>44</v>
      </c>
      <c r="C214" t="s">
        <v>56</v>
      </c>
      <c r="D214">
        <f>'Transpo perseq'!D214*Pondération!$D$17</f>
        <v>1.2995199999999999E-6</v>
      </c>
      <c r="E214">
        <f>'Transpo perseq'!E214*Pondération!$D$2</f>
        <v>4.9870080000000001E-6</v>
      </c>
      <c r="F214">
        <f>'Transpo perseq'!I214*Pondération!$D$12</f>
        <v>3.7785599999999997E-7</v>
      </c>
      <c r="G214">
        <f>'Transpo perseq'!M214*Pondération!$D$15</f>
        <v>2.9657599999999997E-7</v>
      </c>
      <c r="H214">
        <f>'Transpo perseq'!N214*Pondération!$D$14</f>
        <v>6.44096E-7</v>
      </c>
      <c r="I214">
        <f>'Transpo perseq'!O214*Pondération!$D$16</f>
        <v>8.9633600000000004E-7</v>
      </c>
      <c r="J214">
        <f>'Transpo perseq'!P214*Pondération!$D$4</f>
        <v>9.91728E-8</v>
      </c>
      <c r="K214">
        <f>'Transpo perseq'!T214*Pondération!$D$5</f>
        <v>4.5155465485474056E-7</v>
      </c>
      <c r="L214">
        <f>'Transpo perseq'!X214*Pondération!$D$7</f>
        <v>-1.8415730751376091E-6</v>
      </c>
      <c r="M214">
        <f>'Transpo perseq'!Y214*Pondération!$D$13</f>
        <v>2.3868401448021079E-5</v>
      </c>
      <c r="N214">
        <f>'Transpo perseq'!Z214*Pondération!$D$3</f>
        <v>3.6490987385307981E-9</v>
      </c>
      <c r="O214">
        <f>'Transpo perseq'!AA214*Pondération!$D$6</f>
        <v>2.223805226148223E-6</v>
      </c>
      <c r="P214">
        <f>'Transpo perseq'!AB214*Pondération!$D$8</f>
        <v>1.4132121058238207E-6</v>
      </c>
      <c r="Q214">
        <f>'Transpo perseq'!AC214*Pondération!$D$10</f>
        <v>-9.8267344191875931E-7</v>
      </c>
      <c r="R214">
        <f>'Transpo perseq'!AD214*Pondération!$D$9</f>
        <v>5.4061805042112584E-8</v>
      </c>
      <c r="S214">
        <f>'Transpo perseq'!AE214*Pondération!$D$11</f>
        <v>4.5652776798325455E-5</v>
      </c>
      <c r="U214">
        <f t="shared" si="3"/>
        <v>7.9443779419897579E-5</v>
      </c>
    </row>
    <row r="215" spans="1:21" x14ac:dyDescent="0.3">
      <c r="A215" t="s">
        <v>1</v>
      </c>
      <c r="B215" t="s">
        <v>44</v>
      </c>
      <c r="C215" t="s">
        <v>57</v>
      </c>
      <c r="D215">
        <f>'Transpo perseq'!D215*Pondération!$D$17</f>
        <v>6.2892800000000004E-6</v>
      </c>
      <c r="E215">
        <f>'Transpo perseq'!E215*Pondération!$D$2</f>
        <v>2.4530687999999999E-5</v>
      </c>
      <c r="F215">
        <f>'Transpo perseq'!I215*Pondération!$D$12</f>
        <v>4.17792E-6</v>
      </c>
      <c r="G215">
        <f>'Transpo perseq'!M215*Pondération!$D$15</f>
        <v>4.8831999999999997E-8</v>
      </c>
      <c r="H215">
        <f>'Transpo perseq'!N215*Pondération!$D$14</f>
        <v>4.1724160000000005E-6</v>
      </c>
      <c r="I215">
        <f>'Transpo perseq'!O215*Pondération!$D$16</f>
        <v>6.4108800000000002E-6</v>
      </c>
      <c r="J215">
        <f>'Transpo perseq'!P215*Pondération!$D$4</f>
        <v>2.3719679999999999E-7</v>
      </c>
      <c r="K215">
        <f>'Transpo perseq'!T215*Pondération!$D$5</f>
        <v>8.3657454044501855E-7</v>
      </c>
      <c r="L215">
        <f>'Transpo perseq'!X215*Pondération!$D$7</f>
        <v>3.9622010460204123E-8</v>
      </c>
      <c r="M215">
        <f>'Transpo perseq'!Y215*Pondération!$D$13</f>
        <v>4.174537614062035E-7</v>
      </c>
      <c r="N215">
        <f>'Transpo perseq'!Z215*Pondération!$D$3</f>
        <v>2.1854308466378811E-16</v>
      </c>
      <c r="O215">
        <f>'Transpo perseq'!AA215*Pondération!$D$6</f>
        <v>3.1484517076160655E-6</v>
      </c>
      <c r="P215">
        <f>'Transpo perseq'!AB215*Pondération!$D$8</f>
        <v>6.2560509892503229E-6</v>
      </c>
      <c r="Q215">
        <f>'Transpo perseq'!AC215*Pondération!$D$10</f>
        <v>1.6044528577745539E-5</v>
      </c>
      <c r="R215">
        <f>'Transpo perseq'!AD215*Pondération!$D$9</f>
        <v>9.9385988907229868E-8</v>
      </c>
      <c r="S215">
        <f>'Transpo perseq'!AE215*Pondération!$D$11</f>
        <v>6.4803971315246065E-8</v>
      </c>
      <c r="U215">
        <f t="shared" si="3"/>
        <v>7.2774084347364357E-5</v>
      </c>
    </row>
    <row r="216" spans="1:21" x14ac:dyDescent="0.3">
      <c r="A216" t="s">
        <v>1</v>
      </c>
      <c r="B216" t="s">
        <v>45</v>
      </c>
      <c r="C216" t="s">
        <v>70</v>
      </c>
      <c r="D216">
        <f>'Transpo perseq'!D216*Pondération!$D$17</f>
        <v>1.7939995420921217E-3</v>
      </c>
      <c r="E216">
        <f>'Transpo perseq'!E216*Pondération!$D$2</f>
        <v>9.7700979636484598E-3</v>
      </c>
      <c r="F216">
        <f>'Transpo perseq'!I216*Pondération!$D$12</f>
        <v>8.0116733023021653E-4</v>
      </c>
      <c r="G216">
        <f>'Transpo perseq'!M216*Pondération!$D$15</f>
        <v>4.269752748163262E-5</v>
      </c>
      <c r="H216">
        <f>'Transpo perseq'!N216*Pondération!$D$14</f>
        <v>4.1293633925492957E-4</v>
      </c>
      <c r="I216">
        <f>'Transpo perseq'!O216*Pondération!$D$16</f>
        <v>6.2308058735498358E-4</v>
      </c>
      <c r="J216">
        <f>'Transpo perseq'!P216*Pondération!$D$4</f>
        <v>2.0247556057609344E-4</v>
      </c>
      <c r="K216">
        <f>'Transpo perseq'!T216*Pondération!$D$5</f>
        <v>3.0750230397393313E-4</v>
      </c>
      <c r="L216">
        <f>'Transpo perseq'!X216*Pondération!$D$7</f>
        <v>7.4057878651247471E-4</v>
      </c>
      <c r="M216">
        <f>'Transpo perseq'!Y216*Pondération!$D$13</f>
        <v>8.0825617154608477E-5</v>
      </c>
      <c r="N216">
        <f>'Transpo perseq'!Z216*Pondération!$D$3</f>
        <v>8.0605471848961628E-6</v>
      </c>
      <c r="O216">
        <f>'Transpo perseq'!AA216*Pondération!$D$6</f>
        <v>2.5438571011399741E-3</v>
      </c>
      <c r="P216">
        <f>'Transpo perseq'!AB216*Pondération!$D$8</f>
        <v>9.8927340306653342E-4</v>
      </c>
      <c r="Q216">
        <f>'Transpo perseq'!AC216*Pondération!$D$10</f>
        <v>6.702721483747621E-3</v>
      </c>
      <c r="R216">
        <f>'Transpo perseq'!AD216*Pondération!$D$9</f>
        <v>5.8453913549998448E-3</v>
      </c>
      <c r="S216">
        <f>'Transpo perseq'!AE216*Pondération!$D$11</f>
        <v>1.4284788957737266E-3</v>
      </c>
      <c r="U216">
        <f t="shared" si="3"/>
        <v>3.2293144344192053E-2</v>
      </c>
    </row>
    <row r="217" spans="1:21" x14ac:dyDescent="0.3">
      <c r="A217" t="s">
        <v>1</v>
      </c>
      <c r="B217" t="s">
        <v>45</v>
      </c>
      <c r="C217" t="s">
        <v>72</v>
      </c>
      <c r="D217">
        <f>'Transpo perseq'!D217*Pondération!$D$17</f>
        <v>4.04736E-4</v>
      </c>
      <c r="E217">
        <f>'Transpo perseq'!E217*Pondération!$D$2</f>
        <v>2.1666528000000001E-3</v>
      </c>
      <c r="F217">
        <f>'Transpo perseq'!I217*Pondération!$D$12</f>
        <v>1.5052799999999998E-4</v>
      </c>
      <c r="G217">
        <f>'Transpo perseq'!M217*Pondération!$D$15</f>
        <v>6.0480000000000002E-7</v>
      </c>
      <c r="H217">
        <f>'Transpo perseq'!N217*Pondération!$D$14</f>
        <v>7.9564800000000001E-5</v>
      </c>
      <c r="I217">
        <f>'Transpo perseq'!O217*Pondération!$D$16</f>
        <v>1.205008E-4</v>
      </c>
      <c r="J217">
        <f>'Transpo perseq'!P217*Pondération!$D$4</f>
        <v>5.0438399999999995E-5</v>
      </c>
      <c r="K217">
        <f>'Transpo perseq'!T217*Pondération!$D$5</f>
        <v>6.8941442167717618E-5</v>
      </c>
      <c r="L217">
        <f>'Transpo perseq'!X217*Pondération!$D$7</f>
        <v>1.3667181164869169E-4</v>
      </c>
      <c r="M217">
        <f>'Transpo perseq'!Y217*Pondération!$D$13</f>
        <v>7.4487187550868623E-6</v>
      </c>
      <c r="N217">
        <f>'Transpo perseq'!Z217*Pondération!$D$3</f>
        <v>3.0209296103435736E-12</v>
      </c>
      <c r="O217">
        <f>'Transpo perseq'!AA217*Pondération!$D$6</f>
        <v>6.2811340973637365E-4</v>
      </c>
      <c r="P217">
        <f>'Transpo perseq'!AB217*Pondération!$D$8</f>
        <v>1.914566681923953E-4</v>
      </c>
      <c r="Q217">
        <f>'Transpo perseq'!AC217*Pondération!$D$10</f>
        <v>1.3110238093212935E-3</v>
      </c>
      <c r="R217">
        <f>'Transpo perseq'!AD217*Pondération!$D$9</f>
        <v>-6.7165627889665173E-5</v>
      </c>
      <c r="S217">
        <f>'Transpo perseq'!AE217*Pondération!$D$11</f>
        <v>9.1021037298189542E-5</v>
      </c>
      <c r="U217">
        <f t="shared" si="3"/>
        <v>5.3405368722510135E-3</v>
      </c>
    </row>
    <row r="218" spans="1:21" x14ac:dyDescent="0.3">
      <c r="A218" t="s">
        <v>1</v>
      </c>
      <c r="B218" t="s">
        <v>45</v>
      </c>
      <c r="C218" t="s">
        <v>58</v>
      </c>
      <c r="D218">
        <f>'Transpo perseq'!D218*Pondération!$D$17</f>
        <v>8.0252800000000012E-6</v>
      </c>
      <c r="E218">
        <f>'Transpo perseq'!E218*Pondération!$D$2</f>
        <v>7.0761599999999997E-5</v>
      </c>
      <c r="F218">
        <f>'Transpo perseq'!I218*Pondération!$D$12</f>
        <v>2.0797440000000001E-6</v>
      </c>
      <c r="G218">
        <f>'Transpo perseq'!M218*Pondération!$D$15</f>
        <v>1.9532799999999999E-8</v>
      </c>
      <c r="H218">
        <f>'Transpo perseq'!N218*Pondération!$D$14</f>
        <v>2.4958720000000002E-6</v>
      </c>
      <c r="I218">
        <f>'Transpo perseq'!O218*Pondération!$D$16</f>
        <v>3.6387679999999998E-6</v>
      </c>
      <c r="J218">
        <f>'Transpo perseq'!P218*Pondération!$D$4</f>
        <v>2.9547360000000002E-7</v>
      </c>
      <c r="K218">
        <f>'Transpo perseq'!T218*Pondération!$D$5</f>
        <v>2.3320863975082653E-6</v>
      </c>
      <c r="L218">
        <f>'Transpo perseq'!X218*Pondération!$D$7</f>
        <v>1.0708657292907465E-6</v>
      </c>
      <c r="M218">
        <f>'Transpo perseq'!Y218*Pondération!$D$13</f>
        <v>1.419185839794484E-7</v>
      </c>
      <c r="N218">
        <f>'Transpo perseq'!Z218*Pondération!$D$3</f>
        <v>2.6878480092152349E-15</v>
      </c>
      <c r="O218">
        <f>'Transpo perseq'!AA218*Pondération!$D$6</f>
        <v>1.3224510178024371E-5</v>
      </c>
      <c r="P218">
        <f>'Transpo perseq'!AB218*Pondération!$D$8</f>
        <v>6.490152796091563E-6</v>
      </c>
      <c r="Q218">
        <f>'Transpo perseq'!AC218*Pondération!$D$10</f>
        <v>3.8208228618227862E-5</v>
      </c>
      <c r="R218">
        <f>'Transpo perseq'!AD218*Pondération!$D$9</f>
        <v>1.0924933057742617E-6</v>
      </c>
      <c r="S218">
        <f>'Transpo perseq'!AE218*Pondération!$D$11</f>
        <v>6.8295676362854981E-6</v>
      </c>
      <c r="U218">
        <f t="shared" si="3"/>
        <v>1.5670609364786987E-4</v>
      </c>
    </row>
    <row r="219" spans="1:21" x14ac:dyDescent="0.3">
      <c r="A219" t="s">
        <v>1</v>
      </c>
      <c r="B219" t="s">
        <v>45</v>
      </c>
      <c r="C219" t="s">
        <v>75</v>
      </c>
      <c r="D219">
        <f>'Transpo perseq'!D219*Pondération!$D$17</f>
        <v>7.1324799999999993E-6</v>
      </c>
      <c r="E219">
        <f>'Transpo perseq'!E219*Pondération!$D$2</f>
        <v>2.5406784000000002E-5</v>
      </c>
      <c r="F219">
        <f>'Transpo perseq'!I219*Pondération!$D$12</f>
        <v>2.7095039999999997E-6</v>
      </c>
      <c r="G219">
        <f>'Transpo perseq'!M219*Pondération!$D$15</f>
        <v>2.25344E-8</v>
      </c>
      <c r="H219">
        <f>'Transpo perseq'!N219*Pondération!$D$14</f>
        <v>1.6860160000000001E-6</v>
      </c>
      <c r="I219">
        <f>'Transpo perseq'!O219*Pondération!$D$16</f>
        <v>2.5346720000000001E-6</v>
      </c>
      <c r="J219">
        <f>'Transpo perseq'!P219*Pondération!$D$4</f>
        <v>9.0993599999999989E-5</v>
      </c>
      <c r="K219">
        <f>'Transpo perseq'!T219*Pondération!$D$5</f>
        <v>1.2587256616011775E-6</v>
      </c>
      <c r="L219">
        <f>'Transpo perseq'!X219*Pondération!$D$7</f>
        <v>7.1059149841913614E-7</v>
      </c>
      <c r="M219">
        <f>'Transpo perseq'!Y219*Pondération!$D$13</f>
        <v>3.1105843104172178E-7</v>
      </c>
      <c r="N219">
        <f>'Transpo perseq'!Z219*Pondération!$D$3</f>
        <v>3.9976732004809073E-15</v>
      </c>
      <c r="O219">
        <f>'Transpo perseq'!AA219*Pondération!$D$6</f>
        <v>1.6714407513280942E-5</v>
      </c>
      <c r="P219">
        <f>'Transpo perseq'!AB219*Pondération!$D$8</f>
        <v>3.9174219901116181E-6</v>
      </c>
      <c r="Q219">
        <f>'Transpo perseq'!AC219*Pondération!$D$10</f>
        <v>1.6206543498486149E-5</v>
      </c>
      <c r="R219">
        <f>'Transpo perseq'!AD219*Pondération!$D$9</f>
        <v>1.9943351550205093E-5</v>
      </c>
      <c r="S219">
        <f>'Transpo perseq'!AE219*Pondération!$D$11</f>
        <v>6.0356282220401718E-6</v>
      </c>
      <c r="U219">
        <f t="shared" si="3"/>
        <v>1.9558331876918367E-4</v>
      </c>
    </row>
    <row r="220" spans="1:21" x14ac:dyDescent="0.3">
      <c r="A220" t="s">
        <v>1</v>
      </c>
      <c r="B220" t="s">
        <v>45</v>
      </c>
      <c r="C220" t="s">
        <v>56</v>
      </c>
      <c r="D220">
        <f>'Transpo perseq'!D220*Pondération!$D$17</f>
        <v>7.8169599999999996E-7</v>
      </c>
      <c r="E220">
        <f>'Transpo perseq'!E220*Pondération!$D$2</f>
        <v>2.9854656000000002E-6</v>
      </c>
      <c r="F220">
        <f>'Transpo perseq'!I220*Pondération!$D$12</f>
        <v>2.2671359999999998E-7</v>
      </c>
      <c r="G220">
        <f>'Transpo perseq'!M220*Pondération!$D$15</f>
        <v>1.7830400000000001E-7</v>
      </c>
      <c r="H220">
        <f>'Transpo perseq'!N220*Pondération!$D$14</f>
        <v>3.8551039999999998E-7</v>
      </c>
      <c r="I220">
        <f>'Transpo perseq'!O220*Pondération!$D$16</f>
        <v>5.3720800000000003E-7</v>
      </c>
      <c r="J220">
        <f>'Transpo perseq'!P220*Pondération!$D$4</f>
        <v>5.9639999999999997E-8</v>
      </c>
      <c r="K220">
        <f>'Transpo perseq'!T220*Pondération!$D$5</f>
        <v>2.7100863939631775E-7</v>
      </c>
      <c r="L220">
        <f>'Transpo perseq'!X220*Pondération!$D$7</f>
        <v>-1.1049724228036271E-6</v>
      </c>
      <c r="M220">
        <f>'Transpo perseq'!Y220*Pondération!$D$13</f>
        <v>1.432344940506843E-5</v>
      </c>
      <c r="N220">
        <f>'Transpo perseq'!Z220*Pondération!$D$3</f>
        <v>2.1946536910713934E-9</v>
      </c>
      <c r="O220">
        <f>'Transpo perseq'!AA220*Pondération!$D$6</f>
        <v>1.3352150017241992E-6</v>
      </c>
      <c r="P220">
        <f>'Transpo perseq'!AB220*Pondération!$D$8</f>
        <v>8.482213929534083E-7</v>
      </c>
      <c r="Q220">
        <f>'Transpo perseq'!AC220*Pondération!$D$10</f>
        <v>-5.8897114238744507E-7</v>
      </c>
      <c r="R220">
        <f>'Transpo perseq'!AD220*Pondération!$D$9</f>
        <v>3.2490521278419795E-8</v>
      </c>
      <c r="S220">
        <f>'Transpo perseq'!AE220*Pondération!$D$11</f>
        <v>2.7455754534614609E-5</v>
      </c>
      <c r="U220">
        <f t="shared" si="3"/>
        <v>4.7728928183535376E-5</v>
      </c>
    </row>
    <row r="221" spans="1:21" x14ac:dyDescent="0.3">
      <c r="A221" t="s">
        <v>1</v>
      </c>
      <c r="B221" t="s">
        <v>45</v>
      </c>
      <c r="C221" t="s">
        <v>57</v>
      </c>
      <c r="D221">
        <f>'Transpo perseq'!D221*Pondération!$D$17</f>
        <v>1.1904E-5</v>
      </c>
      <c r="E221">
        <f>'Transpo perseq'!E221*Pondération!$D$2</f>
        <v>4.6500480000000005E-5</v>
      </c>
      <c r="F221">
        <f>'Transpo perseq'!I221*Pondération!$D$12</f>
        <v>7.9257600000000002E-6</v>
      </c>
      <c r="G221">
        <f>'Transpo perseq'!M221*Pondération!$D$15</f>
        <v>9.2287999999999999E-8</v>
      </c>
      <c r="H221">
        <f>'Transpo perseq'!N221*Pondération!$D$14</f>
        <v>7.9091199999999999E-6</v>
      </c>
      <c r="I221">
        <f>'Transpo perseq'!O221*Pondération!$D$16</f>
        <v>1.2109440000000001E-5</v>
      </c>
      <c r="J221">
        <f>'Transpo perseq'!P221*Pondération!$D$4</f>
        <v>4.4985600000000003E-7</v>
      </c>
      <c r="K221">
        <f>'Transpo perseq'!T221*Pondération!$D$5</f>
        <v>1.5825491538107033E-6</v>
      </c>
      <c r="L221">
        <f>'Transpo perseq'!X221*Pondération!$D$7</f>
        <v>7.4953009080003138E-8</v>
      </c>
      <c r="M221">
        <f>'Transpo perseq'!Y221*Pondération!$D$13</f>
        <v>7.896978271859018E-7</v>
      </c>
      <c r="N221">
        <f>'Transpo perseq'!Z221*Pondération!$D$3</f>
        <v>4.1341823948154162E-16</v>
      </c>
      <c r="O221">
        <f>'Transpo perseq'!AA221*Pondération!$D$6</f>
        <v>5.9559302187838275E-6</v>
      </c>
      <c r="P221">
        <f>'Transpo perseq'!AB221*Pondération!$D$8</f>
        <v>1.1834579849833988E-5</v>
      </c>
      <c r="Q221">
        <f>'Transpo perseq'!AC221*Pondération!$D$10</f>
        <v>3.0351455723832821E-5</v>
      </c>
      <c r="R221">
        <f>'Transpo perseq'!AD221*Pondération!$D$9</f>
        <v>1.8800860538035143E-7</v>
      </c>
      <c r="S221">
        <f>'Transpo perseq'!AE221*Pondération!$D$11</f>
        <v>1.2258975740996946E-7</v>
      </c>
      <c r="U221">
        <f t="shared" si="3"/>
        <v>1.3779070814573101E-4</v>
      </c>
    </row>
    <row r="222" spans="1:21" x14ac:dyDescent="0.3">
      <c r="A222" t="s">
        <v>1</v>
      </c>
      <c r="B222" t="s">
        <v>46</v>
      </c>
      <c r="C222" t="s">
        <v>72</v>
      </c>
      <c r="D222">
        <f>'Transpo perseq'!D222*Pondération!$D$17</f>
        <v>7.9062399999999997E-5</v>
      </c>
      <c r="E222">
        <f>'Transpo perseq'!E222*Pondération!$D$2</f>
        <v>4.1783040000000003E-4</v>
      </c>
      <c r="F222">
        <f>'Transpo perseq'!I222*Pondération!$D$12</f>
        <v>2.9061119999999997E-5</v>
      </c>
      <c r="G222">
        <f>'Transpo perseq'!M222*Pondération!$D$15</f>
        <v>1.1782400000000001E-7</v>
      </c>
      <c r="H222">
        <f>'Transpo perseq'!N222*Pondération!$D$14</f>
        <v>1.5391999999999998E-5</v>
      </c>
      <c r="I222">
        <f>'Transpo perseq'!O222*Pondération!$D$16</f>
        <v>2.3269119999999999E-5</v>
      </c>
      <c r="J222">
        <f>'Transpo perseq'!P222*Pondération!$D$4</f>
        <v>9.8150399999999995E-6</v>
      </c>
      <c r="K222">
        <f>'Transpo perseq'!T222*Pondération!$D$5</f>
        <v>1.351768684116494E-5</v>
      </c>
      <c r="L222">
        <f>'Transpo perseq'!X222*Pondération!$D$7</f>
        <v>2.6618809297646003E-5</v>
      </c>
      <c r="M222">
        <f>'Transpo perseq'!Y222*Pondération!$D$13</f>
        <v>1.5324326553471735E-6</v>
      </c>
      <c r="N222">
        <f>'Transpo perseq'!Z222*Pondération!$D$3</f>
        <v>5.9032518037474932E-13</v>
      </c>
      <c r="O222">
        <f>'Transpo perseq'!AA222*Pondération!$D$6</f>
        <v>1.2149525954763997E-4</v>
      </c>
      <c r="P222">
        <f>'Transpo perseq'!AB222*Pondération!$D$8</f>
        <v>3.6927069203292484E-5</v>
      </c>
      <c r="Q222">
        <f>'Transpo perseq'!AC222*Pondération!$D$10</f>
        <v>2.5243490422558986E-4</v>
      </c>
      <c r="R222">
        <f>'Transpo perseq'!AD222*Pondération!$D$9</f>
        <v>2.9512421236199494E-5</v>
      </c>
      <c r="S222">
        <f>'Transpo perseq'!AE222*Pondération!$D$11</f>
        <v>1.7661136878010072E-5</v>
      </c>
      <c r="U222">
        <f t="shared" si="3"/>
        <v>1.074247624475215E-3</v>
      </c>
    </row>
    <row r="223" spans="1:21" x14ac:dyDescent="0.3">
      <c r="A223" t="s">
        <v>1</v>
      </c>
      <c r="B223" t="s">
        <v>46</v>
      </c>
      <c r="C223" t="s">
        <v>58</v>
      </c>
      <c r="D223">
        <f>'Transpo perseq'!D223*Pondération!$D$17</f>
        <v>4.1961599999999999E-7</v>
      </c>
      <c r="E223">
        <f>'Transpo perseq'!E223*Pondération!$D$2</f>
        <v>3.7065600000000004E-6</v>
      </c>
      <c r="F223">
        <f>'Transpo perseq'!I223*Pondération!$D$12</f>
        <v>1.0874879999999999E-7</v>
      </c>
      <c r="G223">
        <f>'Transpo perseq'!M223*Pondération!$D$15</f>
        <v>1.0214399999999999E-9</v>
      </c>
      <c r="H223">
        <f>'Transpo perseq'!N223*Pondération!$D$14</f>
        <v>1.3071359999999999E-7</v>
      </c>
      <c r="I223">
        <f>'Transpo perseq'!O223*Pondération!$D$16</f>
        <v>1.905456E-7</v>
      </c>
      <c r="J223">
        <f>'Transpo perseq'!P223*Pondération!$D$4</f>
        <v>1.5472320000000001E-8</v>
      </c>
      <c r="K223">
        <f>'Transpo perseq'!T223*Pondération!$D$5</f>
        <v>1.2197104589478383E-7</v>
      </c>
      <c r="L223">
        <f>'Transpo perseq'!X223*Pondération!$D$7</f>
        <v>5.6007621824829722E-8</v>
      </c>
      <c r="M223">
        <f>'Transpo perseq'!Y223*Pondération!$D$13</f>
        <v>7.4225200826070897E-9</v>
      </c>
      <c r="N223">
        <f>'Transpo perseq'!Z223*Pondération!$D$3</f>
        <v>1.4057782474975045E-16</v>
      </c>
      <c r="O223">
        <f>'Transpo perseq'!AA223*Pondération!$D$6</f>
        <v>6.9165848211424551E-7</v>
      </c>
      <c r="P223">
        <f>'Transpo perseq'!AB223*Pondération!$D$8</f>
        <v>3.3944313787089717E-7</v>
      </c>
      <c r="Q223">
        <f>'Transpo perseq'!AC223*Pondération!$D$10</f>
        <v>1.9983383168529263E-6</v>
      </c>
      <c r="R223">
        <f>'Transpo perseq'!AD223*Pondération!$D$9</f>
        <v>5.7138771222503216E-8</v>
      </c>
      <c r="S223">
        <f>'Transpo perseq'!AE223*Pondération!$D$11</f>
        <v>3.5719496005677321E-7</v>
      </c>
      <c r="U223">
        <f t="shared" si="3"/>
        <v>8.2018526160601447E-6</v>
      </c>
    </row>
    <row r="224" spans="1:21" x14ac:dyDescent="0.3">
      <c r="A224" t="s">
        <v>1</v>
      </c>
      <c r="B224" t="s">
        <v>46</v>
      </c>
      <c r="C224" t="s">
        <v>56</v>
      </c>
      <c r="D224">
        <f>'Transpo perseq'!D224*Pondération!$D$17</f>
        <v>9.0966399999999997E-6</v>
      </c>
      <c r="E224">
        <f>'Transpo perseq'!E224*Pondération!$D$2</f>
        <v>3.6391680000000005E-5</v>
      </c>
      <c r="F224">
        <f>'Transpo perseq'!I224*Pondération!$D$12</f>
        <v>6.6662399999999992E-6</v>
      </c>
      <c r="G224">
        <f>'Transpo perseq'!M224*Pondération!$D$15</f>
        <v>1.1468799999999999E-5</v>
      </c>
      <c r="H224">
        <f>'Transpo perseq'!N224*Pondération!$D$14</f>
        <v>2.813184E-6</v>
      </c>
      <c r="I224">
        <f>'Transpo perseq'!O224*Pondération!$D$16</f>
        <v>3.6447039999999997E-6</v>
      </c>
      <c r="J224">
        <f>'Transpo perseq'!P224*Pondération!$D$4</f>
        <v>6.6796799999999996E-7</v>
      </c>
      <c r="K224">
        <f>'Transpo perseq'!T224*Pondération!$D$5</f>
        <v>1.2782419028130496E-6</v>
      </c>
      <c r="L224">
        <f>'Transpo perseq'!X224*Pondération!$D$7</f>
        <v>3.6465786380998391E-6</v>
      </c>
      <c r="M224">
        <f>'Transpo perseq'!Y224*Pondération!$D$13</f>
        <v>2.4301588603844094E-5</v>
      </c>
      <c r="N224">
        <f>'Transpo perseq'!Z224*Pondération!$D$3</f>
        <v>1.5402936447031486E-7</v>
      </c>
      <c r="O224">
        <f>'Transpo perseq'!AA224*Pondération!$D$6</f>
        <v>2.3109775729669385E-5</v>
      </c>
      <c r="P224">
        <f>'Transpo perseq'!AB224*Pondération!$D$8</f>
        <v>5.9021607771692163E-6</v>
      </c>
      <c r="Q224">
        <f>'Transpo perseq'!AC224*Pondération!$D$10</f>
        <v>2.2671617082134293E-5</v>
      </c>
      <c r="R224">
        <f>'Transpo perseq'!AD224*Pondération!$D$9</f>
        <v>1.9760764717808986E-6</v>
      </c>
      <c r="S224">
        <f>'Transpo perseq'!AE224*Pondération!$D$11</f>
        <v>1.8012154505110589E-3</v>
      </c>
      <c r="U224">
        <f t="shared" si="3"/>
        <v>1.9550047350810401E-3</v>
      </c>
    </row>
    <row r="225" spans="1:21" x14ac:dyDescent="0.3">
      <c r="A225" t="s">
        <v>1</v>
      </c>
      <c r="B225" t="s">
        <v>46</v>
      </c>
      <c r="C225" t="s">
        <v>57</v>
      </c>
      <c r="D225">
        <f>'Transpo perseq'!D225*Pondération!$D$17</f>
        <v>5.0492800000000006E-7</v>
      </c>
      <c r="E225">
        <f>'Transpo perseq'!E225*Pondération!$D$2</f>
        <v>1.9678464000000002E-6</v>
      </c>
      <c r="F225">
        <f>'Transpo perseq'!I225*Pondération!$D$12</f>
        <v>3.3484799999999996E-7</v>
      </c>
      <c r="G225">
        <f>'Transpo perseq'!M225*Pondération!$D$15</f>
        <v>3.9110399999999998E-9</v>
      </c>
      <c r="H225">
        <f>'Transpo perseq'!N225*Pondération!$D$14</f>
        <v>3.348352E-7</v>
      </c>
      <c r="I225">
        <f>'Transpo perseq'!O225*Pondération!$D$16</f>
        <v>5.13464E-7</v>
      </c>
      <c r="J225">
        <f>'Transpo perseq'!P225*Pondération!$D$4</f>
        <v>1.905072E-8</v>
      </c>
      <c r="K225">
        <f>'Transpo perseq'!T225*Pondération!$D$5</f>
        <v>6.7149554786114681E-8</v>
      </c>
      <c r="L225">
        <f>'Transpo perseq'!X225*Pondération!$D$7</f>
        <v>3.1803506244860953E-9</v>
      </c>
      <c r="M225">
        <f>'Transpo perseq'!Y225*Pondération!$D$13</f>
        <v>3.3507873915579162E-8</v>
      </c>
      <c r="N225">
        <f>'Transpo perseq'!Z225*Pondération!$D$3</f>
        <v>1.7541856854681642E-17</v>
      </c>
      <c r="O225">
        <f>'Transpo perseq'!AA225*Pondération!$D$6</f>
        <v>2.5271762432495023E-7</v>
      </c>
      <c r="P225">
        <f>'Transpo perseq'!AB225*Pondération!$D$8</f>
        <v>5.0215613593012598E-7</v>
      </c>
      <c r="Q225">
        <f>'Transpo perseq'!AC225*Pondération!$D$10</f>
        <v>1.2878505126101342E-6</v>
      </c>
      <c r="R225">
        <f>'Transpo perseq'!AD225*Pondération!$D$9</f>
        <v>7.9774420382768344E-9</v>
      </c>
      <c r="S225">
        <f>'Transpo perseq'!AE225*Pondération!$D$11</f>
        <v>5.2016378837872149E-9</v>
      </c>
      <c r="U225">
        <f t="shared" si="3"/>
        <v>5.8386244921309951E-6</v>
      </c>
    </row>
    <row r="226" spans="1:21" x14ac:dyDescent="0.3">
      <c r="A226" t="s">
        <v>1</v>
      </c>
      <c r="B226" t="s">
        <v>47</v>
      </c>
      <c r="C226" t="s">
        <v>72</v>
      </c>
      <c r="D226">
        <f>'Transpo perseq'!D226*Pondération!$D$17</f>
        <v>9.34464E-5</v>
      </c>
      <c r="E226">
        <f>'Transpo perseq'!E226*Pondération!$D$2</f>
        <v>4.9196160000000006E-4</v>
      </c>
      <c r="F226">
        <f>'Transpo perseq'!I226*Pondération!$D$12</f>
        <v>3.4406399999999996E-5</v>
      </c>
      <c r="G226">
        <f>'Transpo perseq'!M226*Pondération!$D$15</f>
        <v>1.3932800000000002E-7</v>
      </c>
      <c r="H226">
        <f>'Transpo perseq'!N226*Pondération!$D$14</f>
        <v>1.8186240000000002E-5</v>
      </c>
      <c r="I226">
        <f>'Transpo perseq'!O226*Pondération!$D$16</f>
        <v>2.7483680000000001E-5</v>
      </c>
      <c r="J226">
        <f>'Transpo perseq'!P226*Pondération!$D$4</f>
        <v>1.15872E-5</v>
      </c>
      <c r="K226">
        <f>'Transpo perseq'!T226*Pondération!$D$5</f>
        <v>1.5975448085013127E-5</v>
      </c>
      <c r="L226">
        <f>'Transpo perseq'!X226*Pondération!$D$7</f>
        <v>3.145859280630892E-5</v>
      </c>
      <c r="M226">
        <f>'Transpo perseq'!Y226*Pondération!$D$13</f>
        <v>1.8110567745012131E-6</v>
      </c>
      <c r="N226">
        <f>'Transpo perseq'!Z226*Pondération!$D$3</f>
        <v>6.9765703135197301E-13</v>
      </c>
      <c r="O226">
        <f>'Transpo perseq'!AA226*Pondération!$D$6</f>
        <v>1.4358530673811966E-4</v>
      </c>
      <c r="P226">
        <f>'Transpo perseq'!AB226*Pondération!$D$8</f>
        <v>4.3641081785709374E-5</v>
      </c>
      <c r="Q226">
        <f>'Transpo perseq'!AC226*Pondération!$D$10</f>
        <v>2.9833215953933384E-4</v>
      </c>
      <c r="R226">
        <f>'Transpo perseq'!AD226*Pondération!$D$9</f>
        <v>3.4878316006417547E-5</v>
      </c>
      <c r="S226">
        <f>'Transpo perseq'!AE226*Pondération!$D$11</f>
        <v>2.0872252674015973E-5</v>
      </c>
      <c r="U226">
        <f t="shared" si="3"/>
        <v>1.2677650631070768E-3</v>
      </c>
    </row>
    <row r="227" spans="1:21" x14ac:dyDescent="0.3">
      <c r="A227" t="s">
        <v>1</v>
      </c>
      <c r="B227" t="s">
        <v>47</v>
      </c>
      <c r="C227" t="s">
        <v>58</v>
      </c>
      <c r="D227">
        <f>'Transpo perseq'!D227*Pondération!$D$17</f>
        <v>8.1740800000000001E-7</v>
      </c>
      <c r="E227">
        <f>'Transpo perseq'!E227*Pondération!$D$2</f>
        <v>7.0761599999999999E-6</v>
      </c>
      <c r="F227">
        <f>'Transpo perseq'!I227*Pondération!$D$12</f>
        <v>2.1657599999999999E-7</v>
      </c>
      <c r="G227">
        <f>'Transpo perseq'!M227*Pondération!$D$15</f>
        <v>2.02496E-9</v>
      </c>
      <c r="H227">
        <f>'Transpo perseq'!N227*Pondération!$D$14</f>
        <v>2.5669120000000002E-7</v>
      </c>
      <c r="I227">
        <f>'Transpo perseq'!O227*Pondération!$D$16</f>
        <v>3.7515520000000004E-7</v>
      </c>
      <c r="J227">
        <f>'Transpo perseq'!P227*Pondération!$D$4</f>
        <v>2.02776E-8</v>
      </c>
      <c r="K227">
        <f>'Transpo perseq'!T227*Pondération!$D$5</f>
        <v>2.2947229540427452E-7</v>
      </c>
      <c r="L227">
        <f>'Transpo perseq'!X227*Pondération!$D$7</f>
        <v>1.1954964467315981E-7</v>
      </c>
      <c r="M227">
        <f>'Transpo perseq'!Y227*Pondération!$D$13</f>
        <v>1.5532178386702543E-8</v>
      </c>
      <c r="N227">
        <f>'Transpo perseq'!Z227*Pondération!$D$3</f>
        <v>2.1341642898645414E-14</v>
      </c>
      <c r="O227">
        <f>'Transpo perseq'!AA227*Pondération!$D$6</f>
        <v>1.3107844707698774E-6</v>
      </c>
      <c r="P227">
        <f>'Transpo perseq'!AB227*Pondération!$D$8</f>
        <v>6.5917688802375492E-7</v>
      </c>
      <c r="Q227">
        <f>'Transpo perseq'!AC227*Pondération!$D$10</f>
        <v>3.8667835973968812E-6</v>
      </c>
      <c r="R227">
        <f>'Transpo perseq'!AD227*Pondération!$D$9</f>
        <v>6.7314135150976784E-8</v>
      </c>
      <c r="S227">
        <f>'Transpo perseq'!AE227*Pondération!$D$11</f>
        <v>3.8920052308125334E-7</v>
      </c>
      <c r="U227">
        <f t="shared" si="3"/>
        <v>1.5422106714228524E-5</v>
      </c>
    </row>
    <row r="228" spans="1:21" x14ac:dyDescent="0.3">
      <c r="A228" t="s">
        <v>1</v>
      </c>
      <c r="B228" t="s">
        <v>47</v>
      </c>
      <c r="C228" t="s">
        <v>56</v>
      </c>
      <c r="D228">
        <f>'Transpo perseq'!D228*Pondération!$D$17</f>
        <v>9.0966399999999997E-6</v>
      </c>
      <c r="E228">
        <f>'Transpo perseq'!E228*Pondération!$D$2</f>
        <v>3.6391680000000005E-5</v>
      </c>
      <c r="F228">
        <f>'Transpo perseq'!I228*Pondération!$D$12</f>
        <v>6.6662399999999992E-6</v>
      </c>
      <c r="G228">
        <f>'Transpo perseq'!M228*Pondération!$D$15</f>
        <v>1.1468799999999999E-5</v>
      </c>
      <c r="H228">
        <f>'Transpo perseq'!N228*Pondération!$D$14</f>
        <v>2.813184E-6</v>
      </c>
      <c r="I228">
        <f>'Transpo perseq'!O228*Pondération!$D$16</f>
        <v>3.6447039999999997E-6</v>
      </c>
      <c r="J228">
        <f>'Transpo perseq'!P228*Pondération!$D$4</f>
        <v>6.6796799999999996E-7</v>
      </c>
      <c r="K228">
        <f>'Transpo perseq'!T228*Pondération!$D$5</f>
        <v>1.2782419028130496E-6</v>
      </c>
      <c r="L228">
        <f>'Transpo perseq'!X228*Pondération!$D$7</f>
        <v>3.6465786380998391E-6</v>
      </c>
      <c r="M228">
        <f>'Transpo perseq'!Y228*Pondération!$D$13</f>
        <v>2.4301588603844094E-5</v>
      </c>
      <c r="N228">
        <f>'Transpo perseq'!Z228*Pondération!$D$3</f>
        <v>1.5402936447031486E-7</v>
      </c>
      <c r="O228">
        <f>'Transpo perseq'!AA228*Pondération!$D$6</f>
        <v>2.3109775729669385E-5</v>
      </c>
      <c r="P228">
        <f>'Transpo perseq'!AB228*Pondération!$D$8</f>
        <v>5.9021607771692163E-6</v>
      </c>
      <c r="Q228">
        <f>'Transpo perseq'!AC228*Pondération!$D$10</f>
        <v>2.2671617082134293E-5</v>
      </c>
      <c r="R228">
        <f>'Transpo perseq'!AD228*Pondération!$D$9</f>
        <v>1.9760764717808986E-6</v>
      </c>
      <c r="S228">
        <f>'Transpo perseq'!AE228*Pondération!$D$11</f>
        <v>1.8012154505110589E-3</v>
      </c>
      <c r="U228">
        <f t="shared" si="3"/>
        <v>1.9550047350810401E-3</v>
      </c>
    </row>
    <row r="229" spans="1:21" x14ac:dyDescent="0.3">
      <c r="A229" t="s">
        <v>1</v>
      </c>
      <c r="B229" t="s">
        <v>47</v>
      </c>
      <c r="C229" t="s">
        <v>57</v>
      </c>
      <c r="D229">
        <f>'Transpo perseq'!D229*Pondération!$D$17</f>
        <v>5.5155199999999999E-7</v>
      </c>
      <c r="E229">
        <f>'Transpo perseq'!E229*Pondération!$D$2</f>
        <v>2.1498048000000002E-6</v>
      </c>
      <c r="F229">
        <f>'Transpo perseq'!I229*Pondération!$D$12</f>
        <v>3.6556799999999996E-7</v>
      </c>
      <c r="G229">
        <f>'Transpo perseq'!M229*Pondération!$D$15</f>
        <v>4.2739200000000001E-9</v>
      </c>
      <c r="H229">
        <f>'Transpo perseq'!N229*Pondération!$D$14</f>
        <v>3.6561920000000002E-7</v>
      </c>
      <c r="I229">
        <f>'Transpo perseq'!O229*Pondération!$D$16</f>
        <v>5.6095199999999995E-7</v>
      </c>
      <c r="J229">
        <f>'Transpo perseq'!P229*Pondération!$D$4</f>
        <v>2.0788800000000001E-8</v>
      </c>
      <c r="K229">
        <f>'Transpo perseq'!T229*Pondération!$D$5</f>
        <v>7.336162813637198E-8</v>
      </c>
      <c r="L229">
        <f>'Transpo perseq'!X229*Pondération!$D$7</f>
        <v>3.4745680831389999E-9</v>
      </c>
      <c r="M229">
        <f>'Transpo perseq'!Y229*Pondération!$D$13</f>
        <v>3.6607721282218738E-8</v>
      </c>
      <c r="N229">
        <f>'Transpo perseq'!Z229*Pondération!$D$3</f>
        <v>1.9164671805995791E-17</v>
      </c>
      <c r="O229">
        <f>'Transpo perseq'!AA229*Pondération!$D$6</f>
        <v>2.7609678780875593E-7</v>
      </c>
      <c r="P229">
        <f>'Transpo perseq'!AB229*Pondération!$D$8</f>
        <v>5.4861110885758251E-7</v>
      </c>
      <c r="Q229">
        <f>'Transpo perseq'!AC229*Pondération!$D$10</f>
        <v>1.4069908684022629E-6</v>
      </c>
      <c r="R229">
        <f>'Transpo perseq'!AD229*Pondération!$D$9</f>
        <v>8.715443284108616E-9</v>
      </c>
      <c r="S229">
        <f>'Transpo perseq'!AE229*Pondération!$D$11</f>
        <v>5.6828466747987443E-9</v>
      </c>
      <c r="U229">
        <f t="shared" si="3"/>
        <v>6.3780996925484023E-6</v>
      </c>
    </row>
    <row r="230" spans="1:21" x14ac:dyDescent="0.3">
      <c r="A230" t="s">
        <v>1</v>
      </c>
      <c r="B230" t="s">
        <v>48</v>
      </c>
      <c r="C230" t="s">
        <v>72</v>
      </c>
      <c r="D230">
        <f>'Transpo perseq'!D230*Pondération!$D$17</f>
        <v>7.9855999999999986E-6</v>
      </c>
      <c r="E230">
        <f>'Transpo perseq'!E230*Pondération!$D$2</f>
        <v>4.2120000000000003E-5</v>
      </c>
      <c r="F230">
        <f>'Transpo perseq'!I230*Pondération!$D$12</f>
        <v>2.9368319999999996E-6</v>
      </c>
      <c r="G230">
        <f>'Transpo perseq'!M230*Pondération!$D$15</f>
        <v>1.1916800000000001E-8</v>
      </c>
      <c r="H230">
        <f>'Transpo perseq'!N230*Pondération!$D$14</f>
        <v>1.553408E-6</v>
      </c>
      <c r="I230">
        <f>'Transpo perseq'!O230*Pondération!$D$16</f>
        <v>2.3506560000000003E-6</v>
      </c>
      <c r="J230">
        <f>'Transpo perseq'!P230*Pondération!$D$4</f>
        <v>9.917280000000001E-7</v>
      </c>
      <c r="K230">
        <f>'Transpo perseq'!T230*Pondération!$D$5</f>
        <v>1.3654229132489837E-6</v>
      </c>
      <c r="L230">
        <f>'Transpo perseq'!X230*Pondération!$D$7</f>
        <v>2.6887686159238383E-6</v>
      </c>
      <c r="M230">
        <f>'Transpo perseq'!Y230*Pondération!$D$13</f>
        <v>1.5479117730779614E-7</v>
      </c>
      <c r="N230">
        <f>'Transpo perseq'!Z230*Pondération!$D$3</f>
        <v>5.9628806098459504E-14</v>
      </c>
      <c r="O230">
        <f>'Transpo perseq'!AA230*Pondération!$D$6</f>
        <v>1.2272248439155555E-5</v>
      </c>
      <c r="P230">
        <f>'Transpo perseq'!AB230*Pondération!$D$8</f>
        <v>3.7300069902315691E-6</v>
      </c>
      <c r="Q230">
        <f>'Transpo perseq'!AC230*Pondération!$D$10</f>
        <v>2.549847517430194E-5</v>
      </c>
      <c r="R230">
        <f>'Transpo perseq'!AD230*Pondération!$D$9</f>
        <v>2.9810526501211559E-6</v>
      </c>
      <c r="S230">
        <f>'Transpo perseq'!AE230*Pondération!$D$11</f>
        <v>1.7839532199993083E-6</v>
      </c>
      <c r="U230">
        <f t="shared" si="3"/>
        <v>1.0842486003991895E-4</v>
      </c>
    </row>
    <row r="231" spans="1:21" x14ac:dyDescent="0.3">
      <c r="A231" t="s">
        <v>1</v>
      </c>
      <c r="B231" t="s">
        <v>48</v>
      </c>
      <c r="C231" t="s">
        <v>56</v>
      </c>
      <c r="D231">
        <f>'Transpo perseq'!D231*Pondération!$D$17</f>
        <v>9.0966399999999997E-6</v>
      </c>
      <c r="E231">
        <f>'Transpo perseq'!E231*Pondération!$D$2</f>
        <v>3.6391680000000005E-5</v>
      </c>
      <c r="F231">
        <f>'Transpo perseq'!I231*Pondération!$D$12</f>
        <v>6.6662399999999992E-6</v>
      </c>
      <c r="G231">
        <f>'Transpo perseq'!M231*Pondération!$D$15</f>
        <v>1.1468799999999999E-5</v>
      </c>
      <c r="H231">
        <f>'Transpo perseq'!N231*Pondération!$D$14</f>
        <v>2.813184E-6</v>
      </c>
      <c r="I231">
        <f>'Transpo perseq'!O231*Pondération!$D$16</f>
        <v>3.6447039999999997E-6</v>
      </c>
      <c r="J231">
        <f>'Transpo perseq'!P231*Pondération!$D$4</f>
        <v>6.6796799999999996E-7</v>
      </c>
      <c r="K231">
        <f>'Transpo perseq'!T231*Pondération!$D$5</f>
        <v>1.2782419028130496E-6</v>
      </c>
      <c r="L231">
        <f>'Transpo perseq'!X231*Pondération!$D$7</f>
        <v>3.6465786380998391E-6</v>
      </c>
      <c r="M231">
        <f>'Transpo perseq'!Y231*Pondération!$D$13</f>
        <v>2.4301588603844094E-5</v>
      </c>
      <c r="N231">
        <f>'Transpo perseq'!Z231*Pondération!$D$3</f>
        <v>1.5402936447031486E-7</v>
      </c>
      <c r="O231">
        <f>'Transpo perseq'!AA231*Pondération!$D$6</f>
        <v>2.3109775729669385E-5</v>
      </c>
      <c r="P231">
        <f>'Transpo perseq'!AB231*Pondération!$D$8</f>
        <v>5.9021607771692163E-6</v>
      </c>
      <c r="Q231">
        <f>'Transpo perseq'!AC231*Pondération!$D$10</f>
        <v>2.2671617082134293E-5</v>
      </c>
      <c r="R231">
        <f>'Transpo perseq'!AD231*Pondération!$D$9</f>
        <v>1.9760764717808986E-6</v>
      </c>
      <c r="S231">
        <f>'Transpo perseq'!AE231*Pondération!$D$11</f>
        <v>1.8012154505110589E-3</v>
      </c>
      <c r="U231">
        <f t="shared" si="3"/>
        <v>1.9550047350810401E-3</v>
      </c>
    </row>
    <row r="232" spans="1:21" x14ac:dyDescent="0.3">
      <c r="A232" t="s">
        <v>1</v>
      </c>
      <c r="B232" t="s">
        <v>48</v>
      </c>
      <c r="C232" t="s">
        <v>57</v>
      </c>
      <c r="D232">
        <f>'Transpo perseq'!D232*Pondération!$D$17</f>
        <v>3.00576E-7</v>
      </c>
      <c r="E232">
        <f>'Transpo perseq'!E232*Pondération!$D$2</f>
        <v>1.1692512000000002E-6</v>
      </c>
      <c r="F232">
        <f>'Transpo perseq'!I232*Pondération!$D$12</f>
        <v>1.9968E-7</v>
      </c>
      <c r="G232">
        <f>'Transpo perseq'!M232*Pondération!$D$15</f>
        <v>2.3251199999999999E-9</v>
      </c>
      <c r="H232">
        <f>'Transpo perseq'!N232*Pondération!$D$14</f>
        <v>1.98912E-7</v>
      </c>
      <c r="I232">
        <f>'Transpo perseq'!O232*Pondération!$D$16</f>
        <v>3.0511039999999998E-7</v>
      </c>
      <c r="J232">
        <f>'Transpo perseq'!P232*Pondération!$D$4</f>
        <v>1.1314559999999999E-8</v>
      </c>
      <c r="K232">
        <f>'Transpo perseq'!T232*Pondération!$D$5</f>
        <v>3.9934757251654189E-8</v>
      </c>
      <c r="L232">
        <f>'Transpo perseq'!X232*Pondération!$D$7</f>
        <v>1.8913979484829215E-9</v>
      </c>
      <c r="M232">
        <f>'Transpo perseq'!Y232*Pondération!$D$13</f>
        <v>1.992759021411097E-8</v>
      </c>
      <c r="N232">
        <f>'Transpo perseq'!Z232*Pondération!$D$3</f>
        <v>1.043238182987671E-17</v>
      </c>
      <c r="O232">
        <f>'Transpo perseq'!AA232*Pondération!$D$6</f>
        <v>1.5029462239589541E-7</v>
      </c>
      <c r="P232">
        <f>'Transpo perseq'!AB232*Pondération!$D$8</f>
        <v>2.9863911167650641E-7</v>
      </c>
      <c r="Q232">
        <f>'Transpo perseq'!AC232*Pondération!$D$10</f>
        <v>7.6590228723510128E-7</v>
      </c>
      <c r="R232">
        <f>'Transpo perseq'!AD232*Pondération!$D$9</f>
        <v>4.7442937232042818E-9</v>
      </c>
      <c r="S232">
        <f>'Transpo perseq'!AE232*Pondération!$D$11</f>
        <v>3.0934850850718342E-9</v>
      </c>
      <c r="U232">
        <f t="shared" si="3"/>
        <v>3.4715968255404597E-6</v>
      </c>
    </row>
    <row r="233" spans="1:21" x14ac:dyDescent="0.3">
      <c r="A233" t="s">
        <v>4</v>
      </c>
      <c r="B233" t="s">
        <v>49</v>
      </c>
      <c r="C233" t="s">
        <v>56</v>
      </c>
      <c r="D233">
        <f>'Transpo perseq'!D233*Pondération!$D$17</f>
        <v>1.4398729388268737E-3</v>
      </c>
      <c r="E233">
        <f>'Transpo perseq'!E233*Pondération!$D$2</f>
        <v>8.0692016480108878E-3</v>
      </c>
      <c r="F233">
        <f>'Transpo perseq'!I233*Pondération!$D$12</f>
        <v>1.3146961359813182E-3</v>
      </c>
      <c r="G233">
        <f>'Transpo perseq'!M233*Pondération!$D$15</f>
        <v>8.7325138278607488E-4</v>
      </c>
      <c r="H233">
        <f>'Transpo perseq'!N233*Pondération!$D$14</f>
        <v>6.2033041038313209E-4</v>
      </c>
      <c r="I233">
        <f>'Transpo perseq'!O233*Pondération!$D$16</f>
        <v>8.4519049704933529E-4</v>
      </c>
      <c r="J233">
        <f>'Transpo perseq'!P233*Pondération!$D$4</f>
        <v>1.580038612590995E-4</v>
      </c>
      <c r="K233">
        <f>'Transpo perseq'!T233*Pondération!$D$5</f>
        <v>5.4007576805102328E-4</v>
      </c>
      <c r="L233">
        <f>'Transpo perseq'!X233*Pondération!$D$7</f>
        <v>-1.1863679999999999E-3</v>
      </c>
      <c r="M233">
        <f>'Transpo perseq'!Y233*Pondération!$D$13</f>
        <v>1.7023360000000001E-2</v>
      </c>
      <c r="N233">
        <f>'Transpo perseq'!Z233*Pondération!$D$3</f>
        <v>1.3023840000000002E-5</v>
      </c>
      <c r="O233">
        <f>'Transpo perseq'!AA233*Pondération!$D$6</f>
        <v>2.9675519999999996E-3</v>
      </c>
      <c r="P233">
        <f>'Transpo perseq'!AB233*Pondération!$D$8</f>
        <v>1.3919360000000001E-3</v>
      </c>
      <c r="Q233">
        <f>'Transpo perseq'!AC233*Pondération!$D$10</f>
        <v>2.5825280000000002E-3</v>
      </c>
      <c r="R233">
        <f>'Transpo perseq'!AD233*Pondération!$D$9</f>
        <v>1.5824800000000002E-4</v>
      </c>
      <c r="S233">
        <f>'Transpo perseq'!AE233*Pondération!$D$11</f>
        <v>0.16066879999999997</v>
      </c>
      <c r="U233">
        <f t="shared" si="3"/>
        <v>0.19747970248234772</v>
      </c>
    </row>
    <row r="234" spans="1:21" x14ac:dyDescent="0.3">
      <c r="A234" t="s">
        <v>4</v>
      </c>
      <c r="B234" t="s">
        <v>49</v>
      </c>
      <c r="C234" t="s">
        <v>57</v>
      </c>
      <c r="D234">
        <f>'Transpo perseq'!D234*Pondération!$D$17</f>
        <v>2.0909535550224642E-3</v>
      </c>
      <c r="E234">
        <f>'Transpo perseq'!E234*Pondération!$D$2</f>
        <v>8.1552683000587437E-3</v>
      </c>
      <c r="F234">
        <f>'Transpo perseq'!I234*Pondération!$D$12</f>
        <v>1.3915228156571812E-3</v>
      </c>
      <c r="G234">
        <f>'Transpo perseq'!M234*Pondération!$D$15</f>
        <v>1.6202073286739963E-5</v>
      </c>
      <c r="H234">
        <f>'Transpo perseq'!N234*Pondération!$D$14</f>
        <v>1.3868801137492536E-3</v>
      </c>
      <c r="I234">
        <f>'Transpo perseq'!O234*Pondération!$D$16</f>
        <v>2.1272130572350715E-3</v>
      </c>
      <c r="J234">
        <f>'Transpo perseq'!P234*Pondération!$D$4</f>
        <v>7.8885707064194237E-5</v>
      </c>
      <c r="K234">
        <f>'Transpo perseq'!T234*Pondération!$D$5</f>
        <v>2.7819858408992569E-4</v>
      </c>
      <c r="L234">
        <f>'Transpo perseq'!X234*Pondération!$D$7</f>
        <v>1.3146239999999999E-5</v>
      </c>
      <c r="M234">
        <f>'Transpo perseq'!Y234*Pondération!$D$13</f>
        <v>1.384736E-4</v>
      </c>
      <c r="N234">
        <f>'Transpo perseq'!Z234*Pondération!$D$3</f>
        <v>7.2691200000000002E-14</v>
      </c>
      <c r="O234">
        <f>'Transpo perseq'!AA234*Pondération!$D$6</f>
        <v>1.0465279999999999E-3</v>
      </c>
      <c r="P234">
        <f>'Transpo perseq'!AB234*Pondération!$D$8</f>
        <v>2.0802560000000004E-3</v>
      </c>
      <c r="Q234">
        <f>'Transpo perseq'!AC234*Pondération!$D$10</f>
        <v>5.338111999999999E-3</v>
      </c>
      <c r="R234">
        <f>'Transpo perseq'!AD234*Pondération!$D$9</f>
        <v>3.3099199999999996E-5</v>
      </c>
      <c r="S234">
        <f>'Transpo perseq'!AE234*Pondération!$D$11</f>
        <v>2.1513280000000001E-5</v>
      </c>
      <c r="U234">
        <f t="shared" si="3"/>
        <v>2.4196252526236264E-2</v>
      </c>
    </row>
    <row r="235" spans="1:21" x14ac:dyDescent="0.3">
      <c r="A235" t="s">
        <v>147</v>
      </c>
      <c r="B235" t="s">
        <v>50</v>
      </c>
      <c r="C235" t="s">
        <v>96</v>
      </c>
      <c r="D235">
        <f>'Transpo perseq'!D235*Pondération!$D$17</f>
        <v>0.50195199999999995</v>
      </c>
      <c r="E235">
        <f>'Transpo perseq'!E235*Pondération!$D$2</f>
        <v>3.436992</v>
      </c>
      <c r="F235">
        <f>'Transpo perseq'!I235*Pondération!$D$12</f>
        <v>4.6694399999999998</v>
      </c>
      <c r="G235">
        <f>'Transpo perseq'!M235*Pondération!$D$15</f>
        <v>2.9702399999999999E-3</v>
      </c>
      <c r="H235">
        <f>'Transpo perseq'!N235*Pondération!$D$14</f>
        <v>0.1269248</v>
      </c>
      <c r="I235">
        <f>'Transpo perseq'!O235*Pondération!$D$16</f>
        <v>0.19292000000000001</v>
      </c>
      <c r="J235">
        <f>'Transpo perseq'!P235*Pondération!$D$4</f>
        <v>0.24196799999999999</v>
      </c>
      <c r="K235">
        <f>'Transpo perseq'!T235*Pondération!$D$5</f>
        <v>0.63130471053335202</v>
      </c>
      <c r="L235">
        <f>'Transpo perseq'!X235*Pondération!$D$7</f>
        <v>1.8781874358929026E-2</v>
      </c>
      <c r="M235">
        <f>'Transpo perseq'!Y235*Pondération!$D$13</f>
        <v>2.8034679965322135E-3</v>
      </c>
      <c r="N235">
        <f>'Transpo perseq'!Z235*Pondération!$D$3</f>
        <v>9.7976025419707481E-11</v>
      </c>
      <c r="O235">
        <f>'Transpo perseq'!AA235*Pondération!$D$6</f>
        <v>0.43825430557014078</v>
      </c>
      <c r="P235">
        <f>'Transpo perseq'!AB235*Pondération!$D$8</f>
        <v>0.48985264267228401</v>
      </c>
      <c r="Q235">
        <f>'Transpo perseq'!AC235*Pondération!$D$10</f>
        <v>18.240267540576841</v>
      </c>
      <c r="R235">
        <f>'Transpo perseq'!AD235*Pondération!$D$9</f>
        <v>4.1293453608769612E-2</v>
      </c>
      <c r="S235">
        <f>'Transpo perseq'!AE235*Pondération!$D$11</f>
        <v>1.020132301138337E-2</v>
      </c>
      <c r="U235">
        <f t="shared" si="3"/>
        <v>29.045926358426208</v>
      </c>
    </row>
    <row r="236" spans="1:21" x14ac:dyDescent="0.3">
      <c r="A236" t="s">
        <v>147</v>
      </c>
      <c r="B236" t="s">
        <v>50</v>
      </c>
      <c r="C236" t="s">
        <v>97</v>
      </c>
      <c r="D236">
        <f>'Transpo perseq'!D236*Pondération!$D$17</f>
        <v>4.1961600000000008</v>
      </c>
      <c r="E236">
        <f>'Transpo perseq'!E236*Pondération!$D$2</f>
        <v>23.957856000000003</v>
      </c>
      <c r="F236">
        <f>'Transpo perseq'!I236*Pondération!$D$12</f>
        <v>1.0782719999999999E-3</v>
      </c>
      <c r="G236">
        <f>'Transpo perseq'!M236*Pondération!$D$15</f>
        <v>0</v>
      </c>
      <c r="H236">
        <f>'Transpo perseq'!N236*Pondération!$D$14</f>
        <v>2.7563520000000001</v>
      </c>
      <c r="I236">
        <f>'Transpo perseq'!O236*Pondération!$D$16</f>
        <v>4.1848799999999997</v>
      </c>
      <c r="J236">
        <f>'Transpo perseq'!P236*Pondération!$D$4</f>
        <v>0</v>
      </c>
      <c r="K236">
        <f>'Transpo perseq'!T236*Pondération!$D$5</f>
        <v>6.6601605456213173E-2</v>
      </c>
      <c r="L236">
        <f>'Transpo perseq'!X236*Pondération!$D$7</f>
        <v>0</v>
      </c>
      <c r="M236">
        <f>'Transpo perseq'!Y236*Pondération!$D$13</f>
        <v>0</v>
      </c>
      <c r="N236">
        <f>'Transpo perseq'!Z236*Pondération!$D$3</f>
        <v>0</v>
      </c>
      <c r="O236">
        <f>'Transpo perseq'!AA236*Pondération!$D$6</f>
        <v>1.5850851484408013</v>
      </c>
      <c r="P236">
        <f>'Transpo perseq'!AB236*Pondération!$D$8</f>
        <v>5.8977783574442775</v>
      </c>
      <c r="Q236">
        <f>'Transpo perseq'!AC236*Pondération!$D$10</f>
        <v>0</v>
      </c>
      <c r="R236">
        <f>'Transpo perseq'!AD236*Pondération!$D$9</f>
        <v>0</v>
      </c>
      <c r="S236">
        <f>'Transpo perseq'!AE236*Pondération!$D$11</f>
        <v>0</v>
      </c>
      <c r="U236">
        <f t="shared" si="3"/>
        <v>42.645791383341304</v>
      </c>
    </row>
    <row r="237" spans="1:21" x14ac:dyDescent="0.3">
      <c r="A237" t="s">
        <v>147</v>
      </c>
      <c r="B237" t="s">
        <v>51</v>
      </c>
      <c r="C237" t="s">
        <v>98</v>
      </c>
      <c r="D237">
        <f>'Transpo perseq'!D237*Pondération!$D$17</f>
        <v>1.1606400000000001E-3</v>
      </c>
      <c r="E237">
        <f>'Transpo perseq'!E237*Pondération!$D$2</f>
        <v>4.8185280000000007E-3</v>
      </c>
      <c r="F237">
        <f>'Transpo perseq'!I237*Pondération!$D$12</f>
        <v>1.6803839999999998E-3</v>
      </c>
      <c r="G237">
        <f>'Transpo perseq'!M237*Pondération!$D$15</f>
        <v>2.75968E-3</v>
      </c>
      <c r="H237">
        <f>'Transpo perseq'!N237*Pondération!$D$14</f>
        <v>3.2441600000000001E-4</v>
      </c>
      <c r="I237">
        <f>'Transpo perseq'!O237*Pondération!$D$16</f>
        <v>3.7456160000000002E-4</v>
      </c>
      <c r="J237">
        <f>'Transpo perseq'!P237*Pondération!$D$4</f>
        <v>1.1621279999999999E-4</v>
      </c>
      <c r="K237">
        <f>'Transpo perseq'!T237*Pondération!$D$5</f>
        <v>1.9518719999999997E-4</v>
      </c>
      <c r="L237">
        <f>'Transpo perseq'!X237*Pondération!$D$7</f>
        <v>9.7795200000000003E-4</v>
      </c>
      <c r="M237">
        <f>'Transpo perseq'!Y237*Pondération!$D$13</f>
        <v>2.5280959999999999E-4</v>
      </c>
      <c r="N237">
        <f>'Transpo perseq'!Z237*Pondération!$D$3</f>
        <v>1.706224E-5</v>
      </c>
      <c r="O237">
        <f>'Transpo perseq'!AA237*Pondération!$D$6</f>
        <v>7.7271039999999994E-4</v>
      </c>
      <c r="P237">
        <f>'Transpo perseq'!AB237*Pondération!$D$8</f>
        <v>5.6365760000000006E-4</v>
      </c>
      <c r="Q237">
        <f>'Transpo perseq'!AC237*Pondération!$D$10</f>
        <v>4.6325760000000002E-3</v>
      </c>
      <c r="R237">
        <f>'Transpo perseq'!AD237*Pondération!$D$9</f>
        <v>2.1864799999999998E-3</v>
      </c>
      <c r="S237">
        <f>'Transpo perseq'!AE237*Pondération!$D$11</f>
        <v>2.0968639999999999E-3</v>
      </c>
      <c r="U237">
        <f t="shared" si="3"/>
        <v>2.2929721440000002E-2</v>
      </c>
    </row>
    <row r="238" spans="1:21" x14ac:dyDescent="0.3">
      <c r="A238" t="s">
        <v>6</v>
      </c>
      <c r="B238" t="s">
        <v>50</v>
      </c>
      <c r="C238" t="s">
        <v>96</v>
      </c>
      <c r="D238">
        <f>'Transpo perseq'!D238*Pondération!$D$17</f>
        <v>3.5136639999999999</v>
      </c>
      <c r="E238">
        <f>'Transpo perseq'!E238*Pondération!$D$2</f>
        <v>24.058944000000004</v>
      </c>
      <c r="F238">
        <f>'Transpo perseq'!I238*Pondération!$D$12</f>
        <v>32.686079999999997</v>
      </c>
      <c r="G238">
        <f>'Transpo perseq'!M238*Pondération!$D$15</f>
        <v>2.079168E-2</v>
      </c>
      <c r="H238">
        <f>'Transpo perseq'!N238*Pondération!$D$14</f>
        <v>0.88847360000000009</v>
      </c>
      <c r="I238">
        <f>'Transpo perseq'!O238*Pondération!$D$16</f>
        <v>1.3504400000000001</v>
      </c>
      <c r="J238">
        <f>'Transpo perseq'!P238*Pondération!$D$4</f>
        <v>1.6937759999999999</v>
      </c>
      <c r="K238">
        <f>'Transpo perseq'!T238*Pondération!$D$5</f>
        <v>4.4191329737334639</v>
      </c>
      <c r="L238">
        <f>'Transpo perseq'!X238*Pondération!$D$7</f>
        <v>0.13147312051250321</v>
      </c>
      <c r="M238">
        <f>'Transpo perseq'!Y238*Pondération!$D$13</f>
        <v>1.9624275975725497E-2</v>
      </c>
      <c r="N238">
        <f>'Transpo perseq'!Z238*Pondération!$D$3</f>
        <v>6.8583217793795236E-10</v>
      </c>
      <c r="O238">
        <f>'Transpo perseq'!AA238*Pondération!$D$6</f>
        <v>3.0677801389909853</v>
      </c>
      <c r="P238">
        <f>'Transpo perseq'!AB238*Pondération!$D$8</f>
        <v>3.4289684987059879</v>
      </c>
      <c r="Q238">
        <f>'Transpo perseq'!AC238*Pondération!$D$10</f>
        <v>127.68187278403786</v>
      </c>
      <c r="R238">
        <f>'Transpo perseq'!AD238*Pondération!$D$9</f>
        <v>0.28905417526138727</v>
      </c>
      <c r="S238">
        <f>'Transpo perseq'!AE238*Pondération!$D$11</f>
        <v>7.1409261079683595E-2</v>
      </c>
      <c r="U238">
        <f t="shared" si="3"/>
        <v>203.32148450898345</v>
      </c>
    </row>
    <row r="239" spans="1:21" x14ac:dyDescent="0.3">
      <c r="A239" t="s">
        <v>6</v>
      </c>
      <c r="B239" t="s">
        <v>50</v>
      </c>
      <c r="C239" t="s">
        <v>97</v>
      </c>
      <c r="D239">
        <f>'Transpo perseq'!D239*Pondération!$D$17</f>
        <v>29.373120000000004</v>
      </c>
      <c r="E239">
        <f>'Transpo perseq'!E239*Pondération!$D$2</f>
        <v>167.704992</v>
      </c>
      <c r="F239">
        <f>'Transpo perseq'!I239*Pondération!$D$12</f>
        <v>7.5479040000000002E-3</v>
      </c>
      <c r="G239">
        <f>'Transpo perseq'!M239*Pondération!$D$15</f>
        <v>0</v>
      </c>
      <c r="H239">
        <f>'Transpo perseq'!N239*Pondération!$D$14</f>
        <v>19.294464000000001</v>
      </c>
      <c r="I239">
        <f>'Transpo perseq'!O239*Pondération!$D$16</f>
        <v>29.294160000000002</v>
      </c>
      <c r="J239">
        <f>'Transpo perseq'!P239*Pondération!$D$4</f>
        <v>0</v>
      </c>
      <c r="K239">
        <f>'Transpo perseq'!T239*Pondération!$D$5</f>
        <v>0.46621123819349219</v>
      </c>
      <c r="L239">
        <f>'Transpo perseq'!X239*Pondération!$D$7</f>
        <v>0</v>
      </c>
      <c r="M239">
        <f>'Transpo perseq'!Y239*Pondération!$D$13</f>
        <v>0</v>
      </c>
      <c r="N239">
        <f>'Transpo perseq'!Z239*Pondération!$D$3</f>
        <v>0</v>
      </c>
      <c r="O239">
        <f>'Transpo perseq'!AA239*Pondération!$D$6</f>
        <v>11.095596039085608</v>
      </c>
      <c r="P239">
        <f>'Transpo perseq'!AB239*Pondération!$D$8</f>
        <v>41.284448502109939</v>
      </c>
      <c r="Q239">
        <f>'Transpo perseq'!AC239*Pondération!$D$10</f>
        <v>0</v>
      </c>
      <c r="R239">
        <f>'Transpo perseq'!AD239*Pondération!$D$9</f>
        <v>0</v>
      </c>
      <c r="S239">
        <f>'Transpo perseq'!AE239*Pondération!$D$11</f>
        <v>0</v>
      </c>
      <c r="U239">
        <f t="shared" si="3"/>
        <v>298.52053968338907</v>
      </c>
    </row>
    <row r="240" spans="1:21" x14ac:dyDescent="0.3">
      <c r="A240" t="s">
        <v>6</v>
      </c>
      <c r="B240" t="s">
        <v>51</v>
      </c>
      <c r="C240" t="s">
        <v>98</v>
      </c>
      <c r="D240">
        <f>'Transpo perseq'!D240*Pondération!$D$17</f>
        <v>8.1244799999999999E-3</v>
      </c>
      <c r="E240">
        <f>'Transpo perseq'!E240*Pondération!$D$2</f>
        <v>3.3729696000000003E-2</v>
      </c>
      <c r="F240">
        <f>'Transpo perseq'!I240*Pondération!$D$12</f>
        <v>1.1762687999999999E-2</v>
      </c>
      <c r="G240">
        <f>'Transpo perseq'!M240*Pondération!$D$15</f>
        <v>1.931776E-2</v>
      </c>
      <c r="H240">
        <f>'Transpo perseq'!N240*Pondération!$D$14</f>
        <v>2.2709119999999999E-3</v>
      </c>
      <c r="I240">
        <f>'Transpo perseq'!O240*Pondération!$D$16</f>
        <v>2.6219312000000006E-3</v>
      </c>
      <c r="J240">
        <f>'Transpo perseq'!P240*Pondération!$D$4</f>
        <v>8.1348959999999991E-4</v>
      </c>
      <c r="K240">
        <f>'Transpo perseq'!T240*Pondération!$D$5</f>
        <v>1.3663103999999998E-3</v>
      </c>
      <c r="L240">
        <f>'Transpo perseq'!X240*Pondération!$D$7</f>
        <v>6.8456639999999987E-3</v>
      </c>
      <c r="M240">
        <f>'Transpo perseq'!Y240*Pondération!$D$13</f>
        <v>1.7696672000000002E-3</v>
      </c>
      <c r="N240">
        <f>'Transpo perseq'!Z240*Pondération!$D$3</f>
        <v>1.1943568E-4</v>
      </c>
      <c r="O240">
        <f>'Transpo perseq'!AA240*Pondération!$D$6</f>
        <v>5.4089728E-3</v>
      </c>
      <c r="P240">
        <f>'Transpo perseq'!AB240*Pondération!$D$8</f>
        <v>3.9456032000000007E-3</v>
      </c>
      <c r="Q240">
        <f>'Transpo perseq'!AC240*Pondération!$D$10</f>
        <v>3.2428031999999996E-2</v>
      </c>
      <c r="R240">
        <f>'Transpo perseq'!AD240*Pondération!$D$9</f>
        <v>1.530536E-2</v>
      </c>
      <c r="S240">
        <f>'Transpo perseq'!AE240*Pondération!$D$11</f>
        <v>1.4678047999999999E-2</v>
      </c>
      <c r="U240">
        <f t="shared" si="3"/>
        <v>0.16050805007999996</v>
      </c>
    </row>
    <row r="241" spans="1:21" x14ac:dyDescent="0.3">
      <c r="A241" t="s">
        <v>7</v>
      </c>
      <c r="B241" t="s">
        <v>52</v>
      </c>
      <c r="C241" t="s">
        <v>99</v>
      </c>
      <c r="D241">
        <f>'Transpo perseq'!D241*Pondération!$D$17</f>
        <v>2.2220799999999999E-5</v>
      </c>
      <c r="E241">
        <f>'Transpo perseq'!E241*Pondération!$D$2</f>
        <v>7.312032E-5</v>
      </c>
      <c r="F241">
        <f>'Transpo perseq'!I241*Pondération!$D$12</f>
        <v>9.5846399999999991E-6</v>
      </c>
      <c r="G241">
        <f>'Transpo perseq'!M241*Pondération!$D$15</f>
        <v>8.1535999999999996E-8</v>
      </c>
      <c r="H241">
        <f>'Transpo perseq'!N241*Pondération!$D$14</f>
        <v>7.8144000000000009E-6</v>
      </c>
      <c r="I241">
        <f>'Transpo perseq'!O241*Pondération!$D$16</f>
        <v>1.1931360000000001E-5</v>
      </c>
      <c r="J241">
        <f>'Transpo perseq'!P241*Pondération!$D$4</f>
        <v>3.9191999999999997E-6</v>
      </c>
      <c r="K241">
        <f>'Transpo perseq'!T241*Pondération!$D$5</f>
        <v>2.7526399999999998E-5</v>
      </c>
      <c r="L241">
        <f>'Transpo perseq'!X241*Pondération!$D$7</f>
        <v>4.8416639999999994E-7</v>
      </c>
      <c r="M241">
        <f>'Transpo perseq'!Y241*Pondération!$D$13</f>
        <v>7.2412800000000001E-7</v>
      </c>
      <c r="N241">
        <f>'Transpo perseq'!Z241*Pondération!$D$3</f>
        <v>1.2720960000000001E-14</v>
      </c>
      <c r="O241">
        <f>'Transpo perseq'!AA241*Pondération!$D$6</f>
        <v>3.7130240000000002E-5</v>
      </c>
      <c r="P241">
        <f>'Transpo perseq'!AB241*Pondération!$D$8</f>
        <v>1.843168E-5</v>
      </c>
      <c r="Q241">
        <f>'Transpo perseq'!AC241*Pondération!$D$10</f>
        <v>4.7390719999999995E-5</v>
      </c>
      <c r="R241">
        <f>'Transpo perseq'!AD241*Pondération!$D$9</f>
        <v>3.1287199999999997E-7</v>
      </c>
      <c r="S241">
        <f>'Transpo perseq'!AE241*Pondération!$D$11</f>
        <v>2.2194080000000001E-6</v>
      </c>
      <c r="U241">
        <f t="shared" si="3"/>
        <v>2.6289187041272103E-4</v>
      </c>
    </row>
    <row r="242" spans="1:21" x14ac:dyDescent="0.3">
      <c r="A242" t="s">
        <v>7</v>
      </c>
      <c r="B242" t="s">
        <v>52</v>
      </c>
      <c r="C242" t="s">
        <v>100</v>
      </c>
      <c r="D242">
        <f>'Transpo perseq'!D242*Pondération!$D$17</f>
        <v>1.3391999999999999E-4</v>
      </c>
      <c r="E242">
        <f>'Transpo perseq'!E242*Pondération!$D$2</f>
        <v>4.4141760000000009E-4</v>
      </c>
      <c r="F242">
        <f>'Transpo perseq'!I242*Pondération!$D$12</f>
        <v>1.7848319999999999E-3</v>
      </c>
      <c r="G242">
        <f>'Transpo perseq'!M242*Pondération!$D$15</f>
        <v>4.9280000000000007E-7</v>
      </c>
      <c r="H242">
        <f>'Transpo perseq'!N242*Pondération!$D$14</f>
        <v>4.7123200000000003E-5</v>
      </c>
      <c r="I242">
        <f>'Transpo perseq'!O242*Pondération!$D$16</f>
        <v>7.1825599999999999E-5</v>
      </c>
      <c r="J242">
        <f>'Transpo perseq'!P242*Pondération!$D$4</f>
        <v>2.365152E-5</v>
      </c>
      <c r="K242">
        <f>'Transpo perseq'!T242*Pondération!$D$5</f>
        <v>1.6574720000000001E-4</v>
      </c>
      <c r="L242">
        <f>'Transpo perseq'!X242*Pondération!$D$7</f>
        <v>2.9418719999999998E-6</v>
      </c>
      <c r="M242">
        <f>'Transpo perseq'!Y242*Pondération!$D$13</f>
        <v>4.3701760000000003E-6</v>
      </c>
      <c r="N242">
        <f>'Transpo perseq'!Z242*Pondération!$D$3</f>
        <v>7.693152000000001E-14</v>
      </c>
      <c r="O242">
        <f>'Transpo perseq'!AA242*Pondération!$D$6</f>
        <v>2.236416E-4</v>
      </c>
      <c r="P242">
        <f>'Transpo perseq'!AB242*Pondération!$D$8</f>
        <v>1.10896E-4</v>
      </c>
      <c r="Q242">
        <f>'Transpo perseq'!AC242*Pondération!$D$10</f>
        <v>2.8620799999999998E-4</v>
      </c>
      <c r="R242">
        <f>'Transpo perseq'!AD242*Pondération!$D$9</f>
        <v>1.88448E-6</v>
      </c>
      <c r="S242">
        <f>'Transpo perseq'!AE242*Pondération!$D$11</f>
        <v>1.3398144E-5</v>
      </c>
      <c r="U242">
        <f t="shared" si="3"/>
        <v>3.3123501920769315E-3</v>
      </c>
    </row>
    <row r="243" spans="1:21" x14ac:dyDescent="0.3">
      <c r="A243" t="s">
        <v>7</v>
      </c>
      <c r="B243" t="s">
        <v>52</v>
      </c>
      <c r="C243" t="s">
        <v>101</v>
      </c>
      <c r="D243">
        <f>'Transpo perseq'!D243*Pondération!$D$17</f>
        <v>2.8867200000000002E-4</v>
      </c>
      <c r="E243">
        <f>'Transpo perseq'!E243*Pondération!$D$2</f>
        <v>1.2838176E-3</v>
      </c>
      <c r="F243">
        <f>'Transpo perseq'!I243*Pondération!$D$12</f>
        <v>1.410048E-4</v>
      </c>
      <c r="G243">
        <f>'Transpo perseq'!M243*Pondération!$D$15</f>
        <v>1.5366400000000001E-6</v>
      </c>
      <c r="H243">
        <f>'Transpo perseq'!N243*Pondération!$D$14</f>
        <v>1.5628800000000001E-4</v>
      </c>
      <c r="I243">
        <f>'Transpo perseq'!O243*Pondération!$D$16</f>
        <v>2.368464E-4</v>
      </c>
      <c r="J243">
        <f>'Transpo perseq'!P243*Pondération!$D$4</f>
        <v>5.82768E-3</v>
      </c>
      <c r="K243">
        <f>'Transpo perseq'!T243*Pondération!$D$5</f>
        <v>4.3571199999999997E-2</v>
      </c>
      <c r="L243">
        <f>'Transpo perseq'!X243*Pondération!$D$7</f>
        <v>1.867728E-5</v>
      </c>
      <c r="M243">
        <f>'Transpo perseq'!Y243*Pondération!$D$13</f>
        <v>1.1560639999999998E-5</v>
      </c>
      <c r="N243">
        <f>'Transpo perseq'!Z243*Pondération!$D$3</f>
        <v>6.5018240000000003E-13</v>
      </c>
      <c r="O243">
        <f>'Transpo perseq'!AA243*Pondération!$D$6</f>
        <v>2.4657919999999999E-4</v>
      </c>
      <c r="P243">
        <f>'Transpo perseq'!AB243*Pondération!$D$8</f>
        <v>3.2351040000000003E-4</v>
      </c>
      <c r="Q243">
        <f>'Transpo perseq'!AC243*Pondération!$D$10</f>
        <v>6.6426879999999992E-4</v>
      </c>
      <c r="R243">
        <f>'Transpo perseq'!AD243*Pondération!$D$9</f>
        <v>9.3740799999999992E-6</v>
      </c>
      <c r="S243">
        <f>'Transpo perseq'!AE243*Pondération!$D$11</f>
        <v>1.5522239999999998E-5</v>
      </c>
      <c r="U243">
        <f t="shared" si="3"/>
        <v>5.2796538080650171E-2</v>
      </c>
    </row>
    <row r="244" spans="1:21" x14ac:dyDescent="0.3">
      <c r="A244" t="s">
        <v>7</v>
      </c>
      <c r="B244" t="s">
        <v>52</v>
      </c>
      <c r="C244" t="s">
        <v>102</v>
      </c>
      <c r="D244">
        <f>'Transpo perseq'!D244*Pondération!$D$17</f>
        <v>8.1840000000000002E-5</v>
      </c>
      <c r="E244">
        <f>'Transpo perseq'!E244*Pondération!$D$2</f>
        <v>6.4022400000000011E-4</v>
      </c>
      <c r="F244">
        <f>'Transpo perseq'!I244*Pondération!$D$12</f>
        <v>1.5267840000000001E-4</v>
      </c>
      <c r="G244">
        <f>'Transpo perseq'!M244*Pondération!$D$15</f>
        <v>7.8848000000000001E-5</v>
      </c>
      <c r="H244">
        <f>'Transpo perseq'!N244*Pondération!$D$14</f>
        <v>2.5195520000000001E-5</v>
      </c>
      <c r="I244">
        <f>'Transpo perseq'!O244*Pondération!$D$16</f>
        <v>3.8287200000000002E-5</v>
      </c>
      <c r="J244">
        <f>'Transpo perseq'!P244*Pondération!$D$4</f>
        <v>1.9152959999999998E-5</v>
      </c>
      <c r="K244">
        <f>'Transpo perseq'!T244*Pondération!$D$5</f>
        <v>1.0215679999999999E-4</v>
      </c>
      <c r="L244">
        <f>'Transpo perseq'!X244*Pondération!$D$7</f>
        <v>7.0620960000000004E-6</v>
      </c>
      <c r="M244">
        <f>'Transpo perseq'!Y244*Pondération!$D$13</f>
        <v>2.3502400000000002E-6</v>
      </c>
      <c r="N244">
        <f>'Transpo perseq'!Z244*Pondération!$D$3</f>
        <v>6.9460480000000003E-14</v>
      </c>
      <c r="O244">
        <f>'Transpo perseq'!AA244*Pondération!$D$6</f>
        <v>1.082368E-4</v>
      </c>
      <c r="P244">
        <f>'Transpo perseq'!AB244*Pondération!$D$8</f>
        <v>6.2637119999999998E-5</v>
      </c>
      <c r="Q244">
        <f>'Transpo perseq'!AC244*Pondération!$D$10</f>
        <v>4.5660159999999999E-4</v>
      </c>
      <c r="R244">
        <f>'Transpo perseq'!AD244*Pondération!$D$9</f>
        <v>2.00528E-6</v>
      </c>
      <c r="S244">
        <f>'Transpo perseq'!AE244*Pondération!$D$11</f>
        <v>-2.2330239999999999E-6</v>
      </c>
      <c r="U244">
        <f t="shared" si="3"/>
        <v>1.7750429920694605E-3</v>
      </c>
    </row>
    <row r="245" spans="1:21" x14ac:dyDescent="0.3">
      <c r="A245" t="s">
        <v>7</v>
      </c>
      <c r="B245" t="s">
        <v>52</v>
      </c>
      <c r="C245" t="s">
        <v>103</v>
      </c>
      <c r="D245">
        <f>'Transpo perseq'!D245*Pondération!$D$17</f>
        <v>1.5276800000000003E-5</v>
      </c>
      <c r="E245">
        <f>'Transpo perseq'!E245*Pondération!$D$2</f>
        <v>1.2366432E-3</v>
      </c>
      <c r="F245">
        <f>'Transpo perseq'!I245*Pondération!$D$12</f>
        <v>4.1164799999999996E-5</v>
      </c>
      <c r="G245">
        <f>'Transpo perseq'!M245*Pondération!$D$15</f>
        <v>8.8256000000000007E-6</v>
      </c>
      <c r="H245">
        <f>'Transpo perseq'!N245*Pondération!$D$14</f>
        <v>4.0113920000000004E-5</v>
      </c>
      <c r="I245">
        <f>'Transpo perseq'!O245*Pondération!$D$16</f>
        <v>1.0387999999999999E-5</v>
      </c>
      <c r="J245">
        <f>'Transpo perseq'!P245*Pondération!$D$4</f>
        <v>2.2901759999999999E-6</v>
      </c>
      <c r="K245">
        <f>'Transpo perseq'!T245*Pondération!$D$5</f>
        <v>2.0961279999999997E-5</v>
      </c>
      <c r="L245">
        <f>'Transpo perseq'!X245*Pondération!$D$7</f>
        <v>7.7194079999999995E-7</v>
      </c>
      <c r="M245">
        <f>'Transpo perseq'!Y245*Pondération!$D$13</f>
        <v>2.5662080000000002E-7</v>
      </c>
      <c r="N245">
        <f>'Transpo perseq'!Z245*Pondération!$D$3</f>
        <v>7.5921920000000004E-15</v>
      </c>
      <c r="O245">
        <f>'Transpo perseq'!AA245*Pondération!$D$6</f>
        <v>1.978368E-5</v>
      </c>
      <c r="P245">
        <f>'Transpo perseq'!AB245*Pondération!$D$8</f>
        <v>3.433952E-5</v>
      </c>
      <c r="Q245">
        <f>'Transpo perseq'!AC245*Pondération!$D$10</f>
        <v>4.9919999999999996E-5</v>
      </c>
      <c r="R245">
        <f>'Transpo perseq'!AD245*Pondération!$D$9</f>
        <v>2.1864799999999999E-7</v>
      </c>
      <c r="S245">
        <f>'Transpo perseq'!AE245*Pondération!$D$11</f>
        <v>1.4296799999999997E-6</v>
      </c>
      <c r="U245">
        <f t="shared" si="3"/>
        <v>1.4823838656075929E-3</v>
      </c>
    </row>
    <row r="246" spans="1:21" x14ac:dyDescent="0.3">
      <c r="A246" t="s">
        <v>7</v>
      </c>
      <c r="B246" t="s">
        <v>53</v>
      </c>
      <c r="C246" t="s">
        <v>104</v>
      </c>
      <c r="D246">
        <f>'Transpo perseq'!D246*Pondération!$D$17</f>
        <v>-4.6127999999999994E-3</v>
      </c>
      <c r="E246">
        <f>'Transpo perseq'!E246*Pondération!$D$2</f>
        <v>-1.6578432000000001E-2</v>
      </c>
      <c r="F246">
        <f>'Transpo perseq'!I246*Pondération!$D$12</f>
        <v>-1.8892799999999999E-3</v>
      </c>
      <c r="G246">
        <f>'Transpo perseq'!M246*Pondération!$D$15</f>
        <v>-1.4515200000000001E-5</v>
      </c>
      <c r="H246">
        <f>'Transpo perseq'!N246*Pondération!$D$14</f>
        <v>-1.0987520000000001E-3</v>
      </c>
      <c r="I246">
        <f>'Transpo perseq'!O246*Pondération!$D$16</f>
        <v>-1.650208E-3</v>
      </c>
      <c r="J246">
        <f>'Transpo perseq'!P246*Pondération!$D$4</f>
        <v>-5.8617599999999992E-2</v>
      </c>
      <c r="K246">
        <f>'Transpo perseq'!T246*Pondération!$D$5</f>
        <v>-6.6850989455077862E-3</v>
      </c>
      <c r="L246">
        <f>'Transpo perseq'!X246*Pondération!$D$7</f>
        <v>-3.6840720578360138E-4</v>
      </c>
      <c r="M246">
        <f>'Transpo perseq'!Y246*Pondération!$D$13</f>
        <v>-1.9977677384979E-4</v>
      </c>
      <c r="N246">
        <f>'Transpo perseq'!Z246*Pondération!$D$3</f>
        <v>-1.1667433144849702E-11</v>
      </c>
      <c r="O246">
        <f>'Transpo perseq'!AA246*Pondération!$D$6</f>
        <v>-1.072247292024164E-2</v>
      </c>
      <c r="P246">
        <f>'Transpo perseq'!AB246*Pondération!$D$8</f>
        <v>-2.5461329945466169E-3</v>
      </c>
      <c r="Q246">
        <f>'Transpo perseq'!AC246*Pondération!$D$10</f>
        <v>-1.0450075523151194E-2</v>
      </c>
      <c r="R246">
        <f>'Transpo perseq'!AD246*Pondération!$D$9</f>
        <v>-1.2770356239506309E-2</v>
      </c>
      <c r="S246">
        <f>'Transpo perseq'!AE246*Pondération!$D$11</f>
        <v>-3.4157811842273119E-3</v>
      </c>
      <c r="U246">
        <f t="shared" si="3"/>
        <v>-0.13161968899848167</v>
      </c>
    </row>
    <row r="247" spans="1:21" x14ac:dyDescent="0.3">
      <c r="A247" t="s">
        <v>7</v>
      </c>
      <c r="B247" t="s">
        <v>53</v>
      </c>
      <c r="C247" t="s">
        <v>105</v>
      </c>
      <c r="D247">
        <f>'Transpo perseq'!D247*Pondération!$D$17</f>
        <v>-4.6723199999999999E-2</v>
      </c>
      <c r="E247">
        <f>'Transpo perseq'!E247*Pondération!$D$2</f>
        <v>-0.22508928</v>
      </c>
      <c r="F247">
        <f>'Transpo perseq'!I247*Pondération!$D$12</f>
        <v>-1.6834559999999998E-2</v>
      </c>
      <c r="G247">
        <f>'Transpo perseq'!M247*Pondération!$D$15</f>
        <v>-6.9888000000000006E-5</v>
      </c>
      <c r="H247">
        <f>'Transpo perseq'!N247*Pondération!$D$14</f>
        <v>-8.524799999999999E-3</v>
      </c>
      <c r="I247">
        <f>'Transpo perseq'!O247*Pondération!$D$16</f>
        <v>-1.2881120000000001E-2</v>
      </c>
      <c r="J247">
        <f>'Transpo perseq'!P247*Pondération!$D$4</f>
        <v>-5.6913599999999995E-3</v>
      </c>
      <c r="K247">
        <f>'Transpo perseq'!T247*Pondération!$D$5</f>
        <v>-8.3934323149171541E-3</v>
      </c>
      <c r="L247">
        <f>'Transpo perseq'!X247*Pondération!$D$7</f>
        <v>-1.4399812382585081E-2</v>
      </c>
      <c r="M247">
        <f>'Transpo perseq'!Y247*Pondération!$D$13</f>
        <v>-1.1548829626811324E-3</v>
      </c>
      <c r="N247">
        <f>'Transpo perseq'!Z247*Pondération!$D$3</f>
        <v>-2.8718445022052987E-11</v>
      </c>
      <c r="O247">
        <f>'Transpo perseq'!AA247*Pondération!$D$6</f>
        <v>-6.7763031464392789E-2</v>
      </c>
      <c r="P247">
        <f>'Transpo perseq'!AB247*Pondération!$D$8</f>
        <v>-2.0631721472372133E-2</v>
      </c>
      <c r="Q247">
        <f>'Transpo perseq'!AC247*Pondération!$D$10</f>
        <v>-0.13878059982832813</v>
      </c>
      <c r="R247">
        <f>'Transpo perseq'!AD247*Pondération!$D$9</f>
        <v>-0.15735434803403581</v>
      </c>
      <c r="S247">
        <f>'Transpo perseq'!AE247*Pondération!$D$11</f>
        <v>-1.0074178966225358E-2</v>
      </c>
      <c r="U247">
        <f t="shared" si="3"/>
        <v>-0.73436621545425607</v>
      </c>
    </row>
    <row r="248" spans="1:21" x14ac:dyDescent="0.3">
      <c r="A248" t="s">
        <v>7</v>
      </c>
      <c r="B248" t="s">
        <v>53</v>
      </c>
      <c r="C248" t="s">
        <v>106</v>
      </c>
      <c r="D248">
        <f>'Transpo perseq'!D248*Pondération!$D$17</f>
        <v>-4.0870400000000001E-2</v>
      </c>
      <c r="E248">
        <f>'Transpo perseq'!E248*Pondération!$D$2</f>
        <v>-0.19712160000000001</v>
      </c>
      <c r="F248">
        <f>'Transpo perseq'!I248*Pondération!$D$12</f>
        <v>-0.56524799999999997</v>
      </c>
      <c r="G248">
        <f>'Transpo perseq'!M248*Pondération!$D$15</f>
        <v>-0.22265599999999999</v>
      </c>
      <c r="H248">
        <f>'Transpo perseq'!N248*Pondération!$D$14</f>
        <v>-2.1927680000000001E-2</v>
      </c>
      <c r="I248">
        <f>'Transpo perseq'!O248*Pondération!$D$16</f>
        <v>-2.659328E-2</v>
      </c>
      <c r="J248">
        <f>'Transpo perseq'!P248*Pondération!$D$4</f>
        <v>-1.1519039999999998E-2</v>
      </c>
      <c r="K248">
        <f>'Transpo perseq'!T248*Pondération!$D$5</f>
        <v>-3.5533839565012902E-2</v>
      </c>
      <c r="L248">
        <f>'Transpo perseq'!X248*Pondération!$D$7</f>
        <v>-1.37051925807635E-2</v>
      </c>
      <c r="M248">
        <f>'Transpo perseq'!Y248*Pondération!$D$13</f>
        <v>-3.8373830620660088E-3</v>
      </c>
      <c r="N248">
        <f>'Transpo perseq'!Z248*Pondération!$D$3</f>
        <v>-8.6116045826043635E-4</v>
      </c>
      <c r="O248">
        <f>'Transpo perseq'!AA248*Pondération!$D$6</f>
        <v>-6.0366061080249341E-2</v>
      </c>
      <c r="P248">
        <f>'Transpo perseq'!AB248*Pondération!$D$8</f>
        <v>-3.7151702358328674E-2</v>
      </c>
      <c r="Q248">
        <f>'Transpo perseq'!AC248*Pondération!$D$10</f>
        <v>-0.12502473320368551</v>
      </c>
      <c r="R248">
        <f>'Transpo perseq'!AD248*Pondération!$D$9</f>
        <v>-4.3867116375457664</v>
      </c>
      <c r="S248">
        <f>'Transpo perseq'!AE248*Pondération!$D$11</f>
        <v>-1.5940418742451448</v>
      </c>
      <c r="U248">
        <f t="shared" si="3"/>
        <v>-7.343169584099277</v>
      </c>
    </row>
    <row r="249" spans="1:21" x14ac:dyDescent="0.3">
      <c r="A249" t="s">
        <v>7</v>
      </c>
      <c r="B249" t="s">
        <v>53</v>
      </c>
      <c r="C249" t="s">
        <v>107</v>
      </c>
      <c r="D249">
        <f>'Transpo perseq'!D249*Pondération!$D$17</f>
        <v>-8.9676799999999994E-4</v>
      </c>
      <c r="E249">
        <f>'Transpo perseq'!E249*Pondération!$D$2</f>
        <v>-8.2555200000000006E-3</v>
      </c>
      <c r="F249">
        <f>'Transpo perseq'!I249*Pondération!$D$12</f>
        <v>-6.8198399999999998E-3</v>
      </c>
      <c r="G249">
        <f>'Transpo perseq'!M249*Pondération!$D$15</f>
        <v>-2.74176E-4</v>
      </c>
      <c r="H249">
        <f>'Transpo perseq'!N249*Pondération!$D$14</f>
        <v>-3.4288640000000001E-4</v>
      </c>
      <c r="I249">
        <f>'Transpo perseq'!O249*Pondération!$D$16</f>
        <v>-4.5410399999999999E-4</v>
      </c>
      <c r="J249">
        <f>'Transpo perseq'!P249*Pondération!$D$4</f>
        <v>-2.5219199999999999E-4</v>
      </c>
      <c r="K249">
        <f>'Transpo perseq'!T249*Pondération!$D$5</f>
        <v>-1.5196615836687132E-3</v>
      </c>
      <c r="L249">
        <f>'Transpo perseq'!X249*Pondération!$D$7</f>
        <v>-7.7668476155682013E-4</v>
      </c>
      <c r="M249">
        <f>'Transpo perseq'!Y249*Pondération!$D$13</f>
        <v>-8.9333446489726605E-4</v>
      </c>
      <c r="N249">
        <f>'Transpo perseq'!Z249*Pondération!$D$3</f>
        <v>-5.073439807125718E-6</v>
      </c>
      <c r="O249">
        <f>'Transpo perseq'!AA249*Pondération!$D$6</f>
        <v>-1.4360130569352745E-3</v>
      </c>
      <c r="P249">
        <f>'Transpo perseq'!AB249*Pondération!$D$8</f>
        <v>-8.2024148792769693E-4</v>
      </c>
      <c r="Q249">
        <f>'Transpo perseq'!AC249*Pondération!$D$10</f>
        <v>-8.1081767447457043E-3</v>
      </c>
      <c r="R249">
        <f>'Transpo perseq'!AD249*Pondération!$D$9</f>
        <v>7.2044803752248224E-4</v>
      </c>
      <c r="S249">
        <f>'Transpo perseq'!AE249*Pondération!$D$11</f>
        <v>-6.1661475264938462E-3</v>
      </c>
      <c r="U249">
        <f t="shared" si="3"/>
        <v>-3.6300371428509962E-2</v>
      </c>
    </row>
    <row r="250" spans="1:21" x14ac:dyDescent="0.3">
      <c r="A250" t="s">
        <v>7</v>
      </c>
      <c r="B250" t="s">
        <v>53</v>
      </c>
      <c r="C250" t="s">
        <v>108</v>
      </c>
      <c r="D250">
        <f>'Transpo perseq'!D250*Pondération!$D$17</f>
        <v>1.488E-5</v>
      </c>
      <c r="E250">
        <f>'Transpo perseq'!E250*Pondération!$D$2</f>
        <v>-1.6915392000000002E-4</v>
      </c>
      <c r="F250">
        <f>'Transpo perseq'!I250*Pondération!$D$12</f>
        <v>-2.79552E-5</v>
      </c>
      <c r="G250">
        <f>'Transpo perseq'!M250*Pondération!$D$15</f>
        <v>-4.0723200000000003E-7</v>
      </c>
      <c r="H250">
        <f>'Transpo perseq'!N250*Pondération!$D$14</f>
        <v>1.5344640000000002E-5</v>
      </c>
      <c r="I250">
        <f>'Transpo perseq'!O250*Pondération!$D$16</f>
        <v>2.5049920000000004E-5</v>
      </c>
      <c r="J250">
        <f>'Transpo perseq'!P250*Pondération!$D$4</f>
        <v>-1.9800480000000002E-6</v>
      </c>
      <c r="K250">
        <f>'Transpo perseq'!T250*Pondération!$D$5</f>
        <v>2.5758907895249933E-6</v>
      </c>
      <c r="L250">
        <f>'Transpo perseq'!X250*Pondération!$D$7</f>
        <v>-4.5314779982673589E-5</v>
      </c>
      <c r="M250">
        <f>'Transpo perseq'!Y250*Pondération!$D$13</f>
        <v>-4.6158050773000957E-6</v>
      </c>
      <c r="N250">
        <f>'Transpo perseq'!Z250*Pondération!$D$3</f>
        <v>-2.4497803264139832E-13</v>
      </c>
      <c r="O250">
        <f>'Transpo perseq'!AA250*Pondération!$D$6</f>
        <v>-1.5217826515493397E-5</v>
      </c>
      <c r="P250">
        <f>'Transpo perseq'!AB250*Pondération!$D$8</f>
        <v>2.8850121436770548E-5</v>
      </c>
      <c r="Q250">
        <f>'Transpo perseq'!AC250*Pondération!$D$10</f>
        <v>-4.0193683321950146E-4</v>
      </c>
      <c r="R250">
        <f>'Transpo perseq'!AD250*Pondération!$D$9</f>
        <v>-3.3288517510522509E-6</v>
      </c>
      <c r="S250">
        <f>'Transpo perseq'!AE250*Pondération!$D$11</f>
        <v>2.9781716034969739E-5</v>
      </c>
      <c r="U250">
        <f t="shared" si="3"/>
        <v>-5.5342820852973364E-4</v>
      </c>
    </row>
    <row r="251" spans="1:21" x14ac:dyDescent="0.3">
      <c r="A251" t="s">
        <v>7</v>
      </c>
      <c r="B251" t="s">
        <v>53</v>
      </c>
      <c r="C251" t="s">
        <v>109</v>
      </c>
      <c r="D251">
        <f>'Transpo perseq'!D251*Pondération!$D$17</f>
        <v>-1.9431124692873187E-4</v>
      </c>
      <c r="E251">
        <f>'Transpo perseq'!E251*Pondération!$D$2</f>
        <v>4.1248851127126491E-3</v>
      </c>
      <c r="F251">
        <f>'Transpo perseq'!I251*Pondération!$D$12</f>
        <v>-2.1776509341907228E-4</v>
      </c>
      <c r="G251">
        <f>'Transpo perseq'!M251*Pondération!$D$15</f>
        <v>-3.342771384280572E-6</v>
      </c>
      <c r="H251">
        <f>'Transpo perseq'!N251*Pondération!$D$14</f>
        <v>-7.9733349638767134E-5</v>
      </c>
      <c r="I251">
        <f>'Transpo perseq'!O251*Pondération!$D$16</f>
        <v>-1.0450216207503317E-4</v>
      </c>
      <c r="J251">
        <f>'Transpo perseq'!P251*Pondération!$D$4</f>
        <v>-2.5079561645139632E-5</v>
      </c>
      <c r="K251">
        <f>'Transpo perseq'!T251*Pondération!$D$5</f>
        <v>-2.7392402101597673E-5</v>
      </c>
      <c r="L251">
        <f>'Transpo perseq'!X251*Pondération!$D$7</f>
        <v>-3.8225533216195004E-4</v>
      </c>
      <c r="M251">
        <f>'Transpo perseq'!Y251*Pondération!$D$13</f>
        <v>-3.847127668711562E-5</v>
      </c>
      <c r="N251">
        <f>'Transpo perseq'!Z251*Pondération!$D$3</f>
        <v>-2.0210038908150994E-12</v>
      </c>
      <c r="O251">
        <f>'Transpo perseq'!AA251*Pondération!$D$6</f>
        <v>-1.938990456699943E-4</v>
      </c>
      <c r="P251">
        <f>'Transpo perseq'!AB251*Pondération!$D$8</f>
        <v>-1.7079210629860139E-4</v>
      </c>
      <c r="Q251">
        <f>'Transpo perseq'!AC251*Pondération!$D$10</f>
        <v>-3.4145687304767201E-3</v>
      </c>
      <c r="R251">
        <f>'Transpo perseq'!AD251*Pondération!$D$9</f>
        <v>-2.7689954325883033E-5</v>
      </c>
      <c r="S251">
        <f>'Transpo perseq'!AE251*Pondération!$D$11</f>
        <v>1.5915134299680867E-4</v>
      </c>
      <c r="U251">
        <f t="shared" si="3"/>
        <v>-5.9576657912443261E-4</v>
      </c>
    </row>
    <row r="252" spans="1:21" x14ac:dyDescent="0.3">
      <c r="A252" t="s">
        <v>7</v>
      </c>
      <c r="B252" t="s">
        <v>53</v>
      </c>
      <c r="C252" t="s">
        <v>110</v>
      </c>
      <c r="D252">
        <f>'Transpo perseq'!D252*Pondération!$D$17</f>
        <v>3.326499076114484E-6</v>
      </c>
      <c r="E252">
        <f>'Transpo perseq'!E252*Pondération!$D$2</f>
        <v>1.0956459289708741E-5</v>
      </c>
      <c r="F252">
        <f>'Transpo perseq'!I252*Pondération!$D$12</f>
        <v>1.4376667683953509E-6</v>
      </c>
      <c r="G252">
        <f>'Transpo perseq'!M252*Pondération!$D$15</f>
        <v>1.2243124842072051E-8</v>
      </c>
      <c r="H252">
        <f>'Transpo perseq'!N252*Pondération!$D$14</f>
        <v>1.1720126205429627E-6</v>
      </c>
      <c r="I252">
        <f>'Transpo perseq'!O252*Pondération!$D$16</f>
        <v>1.7846536018313389E-6</v>
      </c>
      <c r="J252">
        <f>'Transpo perseq'!P252*Pondération!$D$4</f>
        <v>5.882749331716946E-7</v>
      </c>
      <c r="K252">
        <f>'Transpo perseq'!T252*Pondération!$D$5</f>
        <v>4.12704761895952E-6</v>
      </c>
      <c r="L252">
        <f>'Transpo perseq'!X252*Pondération!$D$7</f>
        <v>7.260245690835717E-8</v>
      </c>
      <c r="M252">
        <f>'Transpo perseq'!Y252*Pondération!$D$13</f>
        <v>1.0862909637486738E-7</v>
      </c>
      <c r="N252">
        <f>'Transpo perseq'!Z252*Pondération!$D$3</f>
        <v>1.9120442488539928E-15</v>
      </c>
      <c r="O252">
        <f>'Transpo perseq'!AA252*Pondération!$D$6</f>
        <v>5.5717983647995002E-6</v>
      </c>
      <c r="P252">
        <f>'Transpo perseq'!AB252*Pondération!$D$8</f>
        <v>2.7608965403889074E-6</v>
      </c>
      <c r="Q252">
        <f>'Transpo perseq'!AC252*Pondération!$D$10</f>
        <v>7.1069736000023114E-6</v>
      </c>
      <c r="R252">
        <f>'Transpo perseq'!AD252*Pondération!$D$9</f>
        <v>4.6948863747407796E-8</v>
      </c>
      <c r="S252">
        <f>'Transpo perseq'!AE252*Pondération!$D$11</f>
        <v>3.3330881906103287E-7</v>
      </c>
      <c r="U252">
        <f t="shared" si="3"/>
        <v>3.9406014776760594E-5</v>
      </c>
    </row>
    <row r="253" spans="1:21" x14ac:dyDescent="0.3">
      <c r="A253" t="s">
        <v>7</v>
      </c>
      <c r="B253" t="s">
        <v>53</v>
      </c>
      <c r="C253" t="s">
        <v>111</v>
      </c>
      <c r="D253">
        <f>'Transpo perseq'!D253*Pondération!$D$17</f>
        <v>2.0056798240447665E-5</v>
      </c>
      <c r="E253">
        <f>'Transpo perseq'!E253*Pondération!$D$2</f>
        <v>6.6074223364911749E-5</v>
      </c>
      <c r="F253">
        <f>'Transpo perseq'!I253*Pondération!$D$12</f>
        <v>2.6778542039079687E-4</v>
      </c>
      <c r="G253">
        <f>'Transpo perseq'!M253*Pondération!$D$15</f>
        <v>7.3846063138353861E-8</v>
      </c>
      <c r="H253">
        <f>'Transpo perseq'!N253*Pondération!$D$14</f>
        <v>7.0664848743089951E-6</v>
      </c>
      <c r="I253">
        <f>'Transpo perseq'!O253*Pondération!$D$16</f>
        <v>1.0760281057184681E-5</v>
      </c>
      <c r="J253">
        <f>'Transpo perseq'!P253*Pondération!$D$4</f>
        <v>3.5468429580300763E-6</v>
      </c>
      <c r="K253">
        <f>'Transpo perseq'!T253*Pondération!$D$5</f>
        <v>2.4882083430981497E-5</v>
      </c>
      <c r="L253">
        <f>'Transpo perseq'!X253*Pondération!$D$7</f>
        <v>4.4140886995612932E-7</v>
      </c>
      <c r="M253">
        <f>'Transpo perseq'!Y253*Pondération!$D$13</f>
        <v>6.5530350718810157E-7</v>
      </c>
      <c r="N253">
        <f>'Transpo perseq'!Z253*Pondération!$D$3</f>
        <v>1.1547686749955113E-14</v>
      </c>
      <c r="O253">
        <f>'Transpo perseq'!AA253*Pondération!$D$6</f>
        <v>3.3593715385625577E-5</v>
      </c>
      <c r="P253">
        <f>'Transpo perseq'!AB253*Pondération!$D$8</f>
        <v>1.6646304484130573E-5</v>
      </c>
      <c r="Q253">
        <f>'Transpo perseq'!AC253*Pondération!$D$10</f>
        <v>4.2863546179742139E-5</v>
      </c>
      <c r="R253">
        <f>'Transpo perseq'!AD253*Pondération!$D$9</f>
        <v>2.8330029921195425E-7</v>
      </c>
      <c r="S253">
        <f>'Transpo perseq'!AE253*Pondération!$D$11</f>
        <v>2.0103386014048824E-6</v>
      </c>
      <c r="U253">
        <f t="shared" si="3"/>
        <v>4.9673989771860697E-4</v>
      </c>
    </row>
    <row r="254" spans="1:21" x14ac:dyDescent="0.3">
      <c r="A254" t="s">
        <v>7</v>
      </c>
      <c r="B254" t="s">
        <v>53</v>
      </c>
      <c r="C254" t="s">
        <v>112</v>
      </c>
      <c r="D254">
        <f>'Transpo perseq'!D254*Pondération!$D$17</f>
        <v>2.0782065297539687E-4</v>
      </c>
      <c r="E254">
        <f>'Transpo perseq'!E254*Pondération!$D$2</f>
        <v>9.2344882038652954E-4</v>
      </c>
      <c r="F254">
        <f>'Transpo perseq'!I254*Pondération!$D$12</f>
        <v>1.0153947116080803E-4</v>
      </c>
      <c r="G254">
        <f>'Transpo perseq'!M254*Pondération!$D$15</f>
        <v>1.1060615922049613E-6</v>
      </c>
      <c r="H254">
        <f>'Transpo perseq'!N254*Pondération!$D$14</f>
        <v>1.1251396531542209E-4</v>
      </c>
      <c r="I254">
        <f>'Transpo perseq'!O254*Pondération!$D$16</f>
        <v>1.7031957725923379E-4</v>
      </c>
      <c r="J254">
        <f>'Transpo perseq'!P254*Pondération!$D$4</f>
        <v>4.1801315727324614E-3</v>
      </c>
      <c r="K254">
        <f>'Transpo perseq'!T254*Pondération!$D$5</f>
        <v>3.1380760285651135E-2</v>
      </c>
      <c r="L254">
        <f>'Transpo perseq'!X254*Pondération!$D$7</f>
        <v>1.3411124029940202E-5</v>
      </c>
      <c r="M254">
        <f>'Transpo perseq'!Y254*Pondération!$D$13</f>
        <v>8.317591895451697E-6</v>
      </c>
      <c r="N254">
        <f>'Transpo perseq'!Z254*Pondération!$D$3</f>
        <v>4.6796769630958535E-13</v>
      </c>
      <c r="O254">
        <f>'Transpo perseq'!AA254*Pondération!$D$6</f>
        <v>1.7731339765304668E-4</v>
      </c>
      <c r="P254">
        <f>'Transpo perseq'!AB254*Pondération!$D$8</f>
        <v>2.3271048136881955E-4</v>
      </c>
      <c r="Q254">
        <f>'Transpo perseq'!AC254*Pondération!$D$10</f>
        <v>4.7755076190661227E-4</v>
      </c>
      <c r="R254">
        <f>'Transpo perseq'!AD254*Pondération!$D$9</f>
        <v>6.7465717808799974E-6</v>
      </c>
      <c r="S254">
        <f>'Transpo perseq'!AE254*Pondération!$D$11</f>
        <v>1.1181997377213908E-5</v>
      </c>
      <c r="U254">
        <f t="shared" si="3"/>
        <v>3.8004872333553118E-2</v>
      </c>
    </row>
    <row r="255" spans="1:21" x14ac:dyDescent="0.3">
      <c r="A255" t="s">
        <v>7</v>
      </c>
      <c r="B255" t="s">
        <v>53</v>
      </c>
      <c r="C255" t="s">
        <v>113</v>
      </c>
      <c r="D255">
        <f>'Transpo perseq'!D255*Pondération!$D$17</f>
        <v>2.1116323795116515E-5</v>
      </c>
      <c r="E255">
        <f>'Transpo perseq'!E255*Pondération!$D$2</f>
        <v>1.6480761134363351E-4</v>
      </c>
      <c r="F255">
        <f>'Transpo perseq'!I255*Pondération!$D$12</f>
        <v>3.9360807255041427E-5</v>
      </c>
      <c r="G255">
        <f>'Transpo perseq'!M255*Pondération!$D$15</f>
        <v>2.032467094800558E-5</v>
      </c>
      <c r="H255">
        <f>'Transpo perseq'!N255*Pondération!$D$14</f>
        <v>6.4999266362474241E-6</v>
      </c>
      <c r="I255">
        <f>'Transpo perseq'!O255*Pondération!$D$16</f>
        <v>9.8791046310094092E-6</v>
      </c>
      <c r="J255">
        <f>'Transpo perseq'!P255*Pondération!$D$4</f>
        <v>4.9416311944479675E-6</v>
      </c>
      <c r="K255">
        <f>'Transpo perseq'!T255*Pondération!$D$5</f>
        <v>2.631823282424467E-5</v>
      </c>
      <c r="L255">
        <f>'Transpo perseq'!X255*Pondération!$D$7</f>
        <v>1.8209735721502671E-6</v>
      </c>
      <c r="M255">
        <f>'Transpo perseq'!Y255*Pondération!$D$13</f>
        <v>6.0691808424040862E-7</v>
      </c>
      <c r="N255">
        <f>'Transpo perseq'!Z255*Pondération!$D$3</f>
        <v>1.7921321956719812E-14</v>
      </c>
      <c r="O255">
        <f>'Transpo perseq'!AA255*Pondération!$D$6</f>
        <v>2.7910071169071903E-5</v>
      </c>
      <c r="P255">
        <f>'Transpo perseq'!AB255*Pondération!$D$8</f>
        <v>1.6163231839907777E-5</v>
      </c>
      <c r="Q255">
        <f>'Transpo perseq'!AC255*Pondération!$D$10</f>
        <v>1.1789275468091448E-4</v>
      </c>
      <c r="R255">
        <f>'Transpo perseq'!AD255*Pondération!$D$9</f>
        <v>5.1618590463559789E-7</v>
      </c>
      <c r="S255">
        <f>'Transpo perseq'!AE255*Pondération!$D$11</f>
        <v>-5.7722139068180841E-7</v>
      </c>
      <c r="U255">
        <f t="shared" si="3"/>
        <v>4.5758122250590642E-4</v>
      </c>
    </row>
    <row r="256" spans="1:21" x14ac:dyDescent="0.3">
      <c r="A256" t="s">
        <v>7</v>
      </c>
      <c r="B256" t="s">
        <v>53</v>
      </c>
      <c r="C256" t="s">
        <v>114</v>
      </c>
      <c r="D256">
        <f>'Transpo perseq'!D256*Pondération!$D$17</f>
        <v>1.3648506148896528E-5</v>
      </c>
      <c r="E256">
        <f>'Transpo perseq'!E256*Pondération!$D$2</f>
        <v>1.1064656558405018E-3</v>
      </c>
      <c r="F256">
        <f>'Transpo perseq'!I256*Pondération!$D$12</f>
        <v>3.6907033314026489E-5</v>
      </c>
      <c r="G256">
        <f>'Transpo perseq'!M256*Pondération!$D$15</f>
        <v>7.8931807856077573E-6</v>
      </c>
      <c r="H256">
        <f>'Transpo perseq'!N256*Pondération!$D$14</f>
        <v>3.5920169527893644E-5</v>
      </c>
      <c r="I256">
        <f>'Transpo perseq'!O256*Pondération!$D$16</f>
        <v>9.2817099459496963E-6</v>
      </c>
      <c r="J256">
        <f>'Transpo perseq'!P256*Pondération!$D$4</f>
        <v>2.0486046192185757E-6</v>
      </c>
      <c r="K256">
        <f>'Transpo perseq'!T256*Pondération!$D$5</f>
        <v>1.8757788085606366E-5</v>
      </c>
      <c r="L256">
        <f>'Transpo perseq'!X256*Pondération!$D$7</f>
        <v>6.9071653356259299E-7</v>
      </c>
      <c r="M256">
        <f>'Transpo perseq'!Y256*Pondération!$D$13</f>
        <v>2.3021166386583061E-7</v>
      </c>
      <c r="N256">
        <f>'Transpo perseq'!Z256*Pondération!$D$3</f>
        <v>6.7978269269364548E-15</v>
      </c>
      <c r="O256">
        <f>'Transpo perseq'!AA256*Pondération!$D$6</f>
        <v>1.7757722133335225E-5</v>
      </c>
      <c r="P256">
        <f>'Transpo perseq'!AB256*Pondération!$D$8</f>
        <v>3.071810711968383E-5</v>
      </c>
      <c r="Q256">
        <f>'Transpo perseq'!AC256*Pondération!$D$10</f>
        <v>4.471799375512095E-5</v>
      </c>
      <c r="R256">
        <f>'Transpo perseq'!AD256*Pondération!$D$9</f>
        <v>1.957957396132545E-7</v>
      </c>
      <c r="S256">
        <f>'Transpo perseq'!AE256*Pondération!$D$11</f>
        <v>1.2759498467599778E-6</v>
      </c>
      <c r="U256">
        <f t="shared" si="3"/>
        <v>1.3265091450664407E-3</v>
      </c>
    </row>
    <row r="257" spans="1:21" x14ac:dyDescent="0.3">
      <c r="A257" t="s">
        <v>7</v>
      </c>
      <c r="B257" t="s">
        <v>53</v>
      </c>
      <c r="C257" t="s">
        <v>115</v>
      </c>
      <c r="D257">
        <f>'Transpo perseq'!D257*Pondération!$D$17</f>
        <v>1.4645098354406028E-4</v>
      </c>
      <c r="E257">
        <f>'Transpo perseq'!E257*Pondération!$D$2</f>
        <v>1.3888547124569039E-3</v>
      </c>
      <c r="F257">
        <f>'Transpo perseq'!I257*Pondération!$D$12</f>
        <v>5.6125425563393426E-5</v>
      </c>
      <c r="G257">
        <f>'Transpo perseq'!M257*Pondération!$D$15</f>
        <v>6.4259469082738052E-7</v>
      </c>
      <c r="H257">
        <f>'Transpo perseq'!N257*Pondération!$D$14</f>
        <v>6.1262052804331258E-5</v>
      </c>
      <c r="I257">
        <f>'Transpo perseq'!O257*Pondération!$D$16</f>
        <v>9.2695872204862933E-5</v>
      </c>
      <c r="J257">
        <f>'Transpo perseq'!P257*Pondération!$D$4</f>
        <v>5.8274618220197574E-6</v>
      </c>
      <c r="K257">
        <f>'Transpo perseq'!T257*Pondération!$D$5</f>
        <v>1.1101409148700125E-5</v>
      </c>
      <c r="L257">
        <f>'Transpo perseq'!X257*Pondération!$D$7</f>
        <v>6.5662190400545315E-5</v>
      </c>
      <c r="M257">
        <f>'Transpo perseq'!Y257*Pondération!$D$13</f>
        <v>7.2111734856656171E-6</v>
      </c>
      <c r="N257">
        <f>'Transpo perseq'!Z257*Pondération!$D$3</f>
        <v>3.5607371331011162E-10</v>
      </c>
      <c r="O257">
        <f>'Transpo perseq'!AA257*Pondération!$D$6</f>
        <v>1.171570772783964E-4</v>
      </c>
      <c r="P257">
        <f>'Transpo perseq'!AB257*Pondération!$D$8</f>
        <v>1.3672802479422095E-4</v>
      </c>
      <c r="Q257">
        <f>'Transpo perseq'!AC257*Pondération!$D$10</f>
        <v>1.0890149537244444E-3</v>
      </c>
      <c r="R257">
        <f>'Transpo perseq'!AD257*Pondération!$D$9</f>
        <v>7.2320259489875304E-6</v>
      </c>
      <c r="S257">
        <f>'Transpo perseq'!AE257*Pondération!$D$11</f>
        <v>7.0008961606960779E-6</v>
      </c>
      <c r="U257">
        <f t="shared" si="3"/>
        <v>3.1929672101017686E-3</v>
      </c>
    </row>
    <row r="258" spans="1:21" x14ac:dyDescent="0.3">
      <c r="A258" t="s">
        <v>7</v>
      </c>
      <c r="B258" t="s">
        <v>53</v>
      </c>
      <c r="C258" t="s">
        <v>116</v>
      </c>
      <c r="D258">
        <f>'Transpo perseq'!D258*Pondération!$D$17</f>
        <v>8.8213951249934146E-4</v>
      </c>
      <c r="E258">
        <f>'Transpo perseq'!E258*Pondération!$D$2</f>
        <v>8.3656906176430672E-3</v>
      </c>
      <c r="F258">
        <f>'Transpo perseq'!I258*Pondération!$D$12</f>
        <v>3.3806844001436464E-4</v>
      </c>
      <c r="G258">
        <f>'Transpo perseq'!M258*Pondération!$D$15</f>
        <v>3.8706340755341287E-6</v>
      </c>
      <c r="H258">
        <f>'Transpo perseq'!N258*Pondération!$D$14</f>
        <v>3.6900863406808622E-4</v>
      </c>
      <c r="I258">
        <f>'Transpo perseq'!O258*Pondération!$D$16</f>
        <v>5.5834853094651848E-4</v>
      </c>
      <c r="J258">
        <f>'Transpo perseq'!P258*Pondération!$D$4</f>
        <v>3.5101398477385164E-5</v>
      </c>
      <c r="K258">
        <f>'Transpo perseq'!T258*Pondération!$D$5</f>
        <v>6.686873257866365E-5</v>
      </c>
      <c r="L258">
        <f>'Transpo perseq'!X258*Pondération!$D$7</f>
        <v>3.9551262291215327E-4</v>
      </c>
      <c r="M258">
        <f>'Transpo perseq'!Y258*Pondération!$D$13</f>
        <v>4.3436110220997364E-5</v>
      </c>
      <c r="N258">
        <f>'Transpo perseq'!Z258*Pondération!$D$3</f>
        <v>2.14479059322065E-9</v>
      </c>
      <c r="O258">
        <f>'Transpo perseq'!AA258*Pondération!$D$6</f>
        <v>7.0568926568607992E-4</v>
      </c>
      <c r="P258">
        <f>'Transpo perseq'!AB258*Pondération!$D$8</f>
        <v>8.2357380072278286E-4</v>
      </c>
      <c r="Q258">
        <f>'Transpo perseq'!AC258*Pondération!$D$10</f>
        <v>6.5596221830354177E-3</v>
      </c>
      <c r="R258">
        <f>'Transpo perseq'!AD258*Pondération!$D$9</f>
        <v>4.3561713896602795E-5</v>
      </c>
      <c r="S258">
        <f>'Transpo perseq'!AE258*Pondération!$D$11</f>
        <v>4.2169516221718525E-5</v>
      </c>
      <c r="U258">
        <f t="shared" si="3"/>
        <v>1.9232663857789309E-2</v>
      </c>
    </row>
    <row r="259" spans="1:21" x14ac:dyDescent="0.3">
      <c r="A259" t="s">
        <v>7</v>
      </c>
      <c r="B259" t="s">
        <v>53</v>
      </c>
      <c r="C259" t="s">
        <v>117</v>
      </c>
      <c r="D259">
        <f>'Transpo perseq'!D259*Pondération!$D$17</f>
        <v>1.2642408431230628E-4</v>
      </c>
      <c r="E259">
        <f>'Transpo perseq'!E259*Pondération!$D$2</f>
        <v>1.2158335662622232E-3</v>
      </c>
      <c r="F259">
        <f>'Transpo perseq'!I259*Pondération!$D$12</f>
        <v>5.2030073633104274E-5</v>
      </c>
      <c r="G259">
        <f>'Transpo perseq'!M259*Pondération!$D$15</f>
        <v>6.0862965274618306E-7</v>
      </c>
      <c r="H259">
        <f>'Transpo perseq'!N259*Pondération!$D$14</f>
        <v>5.2633837819281863E-5</v>
      </c>
      <c r="I259">
        <f>'Transpo perseq'!O259*Pondération!$D$16</f>
        <v>7.9579889255145816E-5</v>
      </c>
      <c r="J259">
        <f>'Transpo perseq'!P259*Pondération!$D$4</f>
        <v>5.3469608657693046E-6</v>
      </c>
      <c r="K259">
        <f>'Transpo perseq'!T259*Pondération!$D$5</f>
        <v>1.03851754050832E-5</v>
      </c>
      <c r="L259">
        <f>'Transpo perseq'!X259*Pondération!$D$7</f>
        <v>6.2661358379612704E-5</v>
      </c>
      <c r="M259">
        <f>'Transpo perseq'!Y259*Pondération!$D$13</f>
        <v>6.8545136354077005E-6</v>
      </c>
      <c r="N259">
        <f>'Transpo perseq'!Z259*Pondération!$D$3</f>
        <v>2.9795019041046424E-10</v>
      </c>
      <c r="O259">
        <f>'Transpo perseq'!AA259*Pondération!$D$6</f>
        <v>1.0250318972893798E-4</v>
      </c>
      <c r="P259">
        <f>'Transpo perseq'!AB259*Pondération!$D$8</f>
        <v>1.1733261873910235E-4</v>
      </c>
      <c r="Q259">
        <f>'Transpo perseq'!AC259*Pondération!$D$10</f>
        <v>9.5705327646661981E-4</v>
      </c>
      <c r="R259">
        <f>'Transpo perseq'!AD259*Pondération!$D$9</f>
        <v>6.5955139407128011E-6</v>
      </c>
      <c r="S259">
        <f>'Transpo perseq'!AE259*Pondération!$D$11</f>
        <v>7.6300285643487858E-6</v>
      </c>
      <c r="U259">
        <f t="shared" si="3"/>
        <v>2.8034730146105926E-3</v>
      </c>
    </row>
    <row r="260" spans="1:21" x14ac:dyDescent="0.3">
      <c r="A260" t="s">
        <v>7</v>
      </c>
      <c r="B260" t="s">
        <v>53</v>
      </c>
      <c r="C260" t="s">
        <v>118</v>
      </c>
      <c r="D260">
        <f>'Transpo perseq'!D260*Pondération!$D$17</f>
        <v>2.1860322196225399E-5</v>
      </c>
      <c r="E260">
        <f>'Transpo perseq'!E260*Pondération!$D$2</f>
        <v>4.1722046979059823E-4</v>
      </c>
      <c r="F260">
        <f>'Transpo perseq'!I260*Pondération!$D$12</f>
        <v>2.2140978815531765E-5</v>
      </c>
      <c r="G260">
        <f>'Transpo perseq'!M260*Pondération!$D$15</f>
        <v>3.603140371285849E-7</v>
      </c>
      <c r="H260">
        <f>'Transpo perseq'!N260*Pondération!$D$14</f>
        <v>9.202121796376154E-6</v>
      </c>
      <c r="I260">
        <f>'Transpo perseq'!O260*Pondération!$D$16</f>
        <v>1.3706789698088079E-5</v>
      </c>
      <c r="J260">
        <f>'Transpo perseq'!P260*Pondération!$D$4</f>
        <v>2.9336322143278279E-6</v>
      </c>
      <c r="K260">
        <f>'Transpo perseq'!T260*Pondération!$D$5</f>
        <v>6.5583640942831065E-6</v>
      </c>
      <c r="L260">
        <f>'Transpo perseq'!X260*Pondération!$D$7</f>
        <v>3.2369022822306471E-5</v>
      </c>
      <c r="M260">
        <f>'Transpo perseq'!Y260*Pondération!$D$13</f>
        <v>3.4432163378428153E-6</v>
      </c>
      <c r="N260">
        <f>'Transpo perseq'!Z260*Pondération!$D$3</f>
        <v>1.774355530389496E-13</v>
      </c>
      <c r="O260">
        <f>'Transpo perseq'!AA260*Pondération!$D$6</f>
        <v>2.5900455229135586E-5</v>
      </c>
      <c r="P260">
        <f>'Transpo perseq'!AB260*Pondération!$D$8</f>
        <v>1.9928249338923152E-5</v>
      </c>
      <c r="Q260">
        <f>'Transpo perseq'!AC260*Pondération!$D$10</f>
        <v>3.4962018719080558E-4</v>
      </c>
      <c r="R260">
        <f>'Transpo perseq'!AD260*Pondération!$D$9</f>
        <v>2.5225495254292924E-6</v>
      </c>
      <c r="S260">
        <f>'Transpo perseq'!AE260*Pondération!$D$11</f>
        <v>1.0138465723273051E-4</v>
      </c>
      <c r="U260">
        <f t="shared" ref="U260" si="4">SUM(D260:S260)</f>
        <v>1.0291513304971679E-3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120"/>
  <sheetViews>
    <sheetView zoomScale="85" zoomScaleNormal="85" workbookViewId="0">
      <selection activeCell="A6" sqref="A4:XFD6"/>
    </sheetView>
  </sheetViews>
  <sheetFormatPr baseColWidth="10" defaultColWidth="11.44140625" defaultRowHeight="14.4" x14ac:dyDescent="0.3"/>
  <cols>
    <col min="1" max="1" width="43.88671875" bestFit="1" customWidth="1"/>
    <col min="2" max="2" width="36.6640625" bestFit="1" customWidth="1"/>
    <col min="3" max="3" width="28.109375" bestFit="1" customWidth="1"/>
    <col min="4" max="4" width="43.77734375" bestFit="1" customWidth="1"/>
    <col min="5" max="5" width="41.33203125" bestFit="1" customWidth="1"/>
    <col min="6" max="6" width="37.77734375" bestFit="1" customWidth="1"/>
    <col min="7" max="7" width="40.5546875" bestFit="1" customWidth="1"/>
    <col min="8" max="8" width="43.77734375" bestFit="1" customWidth="1"/>
    <col min="9" max="9" width="46.5546875" bestFit="1" customWidth="1"/>
    <col min="10" max="10" width="24.6640625" bestFit="1" customWidth="1"/>
    <col min="11" max="11" width="31.6640625" bestFit="1" customWidth="1"/>
    <col min="12" max="12" width="33.44140625" bestFit="1" customWidth="1"/>
    <col min="13" max="13" width="60" bestFit="1" customWidth="1"/>
    <col min="14" max="14" width="34.88671875" bestFit="1" customWidth="1"/>
    <col min="15" max="15" width="47" bestFit="1" customWidth="1"/>
    <col min="16" max="16" width="25.88671875" bestFit="1" customWidth="1"/>
    <col min="17" max="17" width="48" bestFit="1" customWidth="1"/>
    <col min="18" max="22" width="25.88671875" bestFit="1" customWidth="1"/>
    <col min="23" max="25" width="12.44140625" customWidth="1"/>
    <col min="26" max="26" width="8.88671875" customWidth="1"/>
    <col min="27" max="27" width="8.33203125" customWidth="1"/>
    <col min="28" max="29" width="12.44140625" bestFit="1" customWidth="1"/>
    <col min="30" max="30" width="9.33203125" customWidth="1"/>
    <col min="31" max="31" width="15.6640625" bestFit="1" customWidth="1"/>
    <col min="32" max="32" width="9.88671875" customWidth="1"/>
    <col min="33" max="33" width="12.6640625" bestFit="1" customWidth="1"/>
    <col min="34" max="34" width="11.33203125" customWidth="1"/>
    <col min="35" max="35" width="15.44140625" bestFit="1" customWidth="1"/>
    <col min="36" max="36" width="17" bestFit="1" customWidth="1"/>
    <col min="37" max="37" width="14.33203125" bestFit="1" customWidth="1"/>
    <col min="38" max="42" width="12.44140625" bestFit="1" customWidth="1"/>
    <col min="43" max="43" width="12.6640625" bestFit="1" customWidth="1"/>
  </cols>
  <sheetData>
    <row r="2" spans="1:17" x14ac:dyDescent="0.3">
      <c r="A2" s="1" t="s">
        <v>0</v>
      </c>
      <c r="B2" t="s">
        <v>202</v>
      </c>
    </row>
    <row r="4" spans="1:17" x14ac:dyDescent="0.3">
      <c r="A4" s="1" t="s">
        <v>195</v>
      </c>
      <c r="B4" t="s">
        <v>196</v>
      </c>
      <c r="C4" t="s">
        <v>207</v>
      </c>
      <c r="D4" t="s">
        <v>263</v>
      </c>
      <c r="E4" t="s">
        <v>264</v>
      </c>
      <c r="F4" t="s">
        <v>265</v>
      </c>
      <c r="G4" t="s">
        <v>266</v>
      </c>
      <c r="H4" t="s">
        <v>267</v>
      </c>
      <c r="I4" t="s">
        <v>268</v>
      </c>
      <c r="J4" t="s">
        <v>269</v>
      </c>
      <c r="K4" t="s">
        <v>270</v>
      </c>
      <c r="L4" t="s">
        <v>271</v>
      </c>
      <c r="M4" t="s">
        <v>272</v>
      </c>
      <c r="N4" t="s">
        <v>206</v>
      </c>
      <c r="O4" t="s">
        <v>273</v>
      </c>
      <c r="P4" t="s">
        <v>274</v>
      </c>
      <c r="Q4" t="s">
        <v>275</v>
      </c>
    </row>
    <row r="5" spans="1:17" x14ac:dyDescent="0.3">
      <c r="A5" s="2" t="s">
        <v>50</v>
      </c>
      <c r="B5">
        <v>49.77</v>
      </c>
      <c r="C5">
        <v>29.610000000000003</v>
      </c>
      <c r="D5">
        <v>2.4570000000000002E-2</v>
      </c>
      <c r="E5">
        <v>0</v>
      </c>
      <c r="F5">
        <v>40.74</v>
      </c>
      <c r="G5">
        <v>49.35</v>
      </c>
      <c r="H5">
        <v>0</v>
      </c>
      <c r="I5">
        <v>0</v>
      </c>
      <c r="J5">
        <v>0</v>
      </c>
      <c r="K5">
        <v>0</v>
      </c>
      <c r="L5">
        <v>7.7396735763711</v>
      </c>
      <c r="M5">
        <v>53.98071195359563</v>
      </c>
      <c r="N5">
        <v>0</v>
      </c>
      <c r="O5">
        <v>0</v>
      </c>
      <c r="P5">
        <v>0</v>
      </c>
      <c r="Q5">
        <v>1.583597955820286</v>
      </c>
    </row>
    <row r="6" spans="1:17" x14ac:dyDescent="0.3">
      <c r="A6" s="16" t="s">
        <v>97</v>
      </c>
      <c r="B6">
        <v>49.77</v>
      </c>
      <c r="C6">
        <v>29.610000000000003</v>
      </c>
      <c r="D6">
        <v>2.4570000000000002E-2</v>
      </c>
      <c r="E6">
        <v>0</v>
      </c>
      <c r="F6">
        <v>40.74</v>
      </c>
      <c r="G6">
        <v>49.35</v>
      </c>
      <c r="H6">
        <v>0</v>
      </c>
      <c r="I6">
        <v>0</v>
      </c>
      <c r="J6">
        <v>0</v>
      </c>
      <c r="K6">
        <v>0</v>
      </c>
      <c r="L6">
        <v>7.7396735763711</v>
      </c>
      <c r="M6">
        <v>53.98071195359563</v>
      </c>
      <c r="N6">
        <v>0</v>
      </c>
      <c r="O6">
        <v>0</v>
      </c>
      <c r="P6">
        <v>0</v>
      </c>
      <c r="Q6">
        <v>1.583597955820286</v>
      </c>
    </row>
    <row r="7" spans="1:17" x14ac:dyDescent="0.3">
      <c r="A7" s="2" t="s">
        <v>19</v>
      </c>
      <c r="B7">
        <v>7.1800000000000003E-2</v>
      </c>
      <c r="C7">
        <v>2.2599999999999999E-2</v>
      </c>
      <c r="D7">
        <v>1.92</v>
      </c>
      <c r="E7">
        <v>0.753</v>
      </c>
      <c r="F7">
        <v>5.0599999999999999E-2</v>
      </c>
      <c r="G7">
        <v>6.0999999999999999E-2</v>
      </c>
      <c r="H7">
        <v>5.1299999999999998E-2</v>
      </c>
      <c r="I7">
        <v>1.8441109428809301E-2</v>
      </c>
      <c r="J7">
        <v>4.2696085518088497E-3</v>
      </c>
      <c r="K7">
        <v>1.3892803665507701E-3</v>
      </c>
      <c r="L7">
        <v>5.0012854066361398E-2</v>
      </c>
      <c r="M7">
        <v>6.5415975312709304E-2</v>
      </c>
      <c r="N7">
        <v>0.115729678637727</v>
      </c>
      <c r="O7">
        <v>6.15416193828431</v>
      </c>
      <c r="P7">
        <v>2.2939684827722E-2</v>
      </c>
      <c r="Q7">
        <v>0.13107290243957001</v>
      </c>
    </row>
    <row r="8" spans="1:17" x14ac:dyDescent="0.3">
      <c r="A8" s="16" t="s">
        <v>63</v>
      </c>
      <c r="B8">
        <v>7.1800000000000003E-2</v>
      </c>
      <c r="C8">
        <v>2.2599999999999999E-2</v>
      </c>
      <c r="D8">
        <v>1.92</v>
      </c>
      <c r="E8">
        <v>0.753</v>
      </c>
      <c r="F8">
        <v>5.0599999999999999E-2</v>
      </c>
      <c r="G8">
        <v>6.0999999999999999E-2</v>
      </c>
      <c r="H8">
        <v>5.1299999999999998E-2</v>
      </c>
      <c r="I8">
        <v>1.8441109428809301E-2</v>
      </c>
      <c r="J8">
        <v>4.2696085518088497E-3</v>
      </c>
      <c r="K8">
        <v>1.3892803665507701E-3</v>
      </c>
      <c r="L8">
        <v>5.0012854066361398E-2</v>
      </c>
      <c r="M8">
        <v>6.5415975312709304E-2</v>
      </c>
      <c r="N8">
        <v>0.115729678637727</v>
      </c>
      <c r="O8">
        <v>6.15416193828431</v>
      </c>
      <c r="P8">
        <v>2.2939684827722E-2</v>
      </c>
      <c r="Q8">
        <v>0.13107290243957001</v>
      </c>
    </row>
    <row r="9" spans="1:17" x14ac:dyDescent="0.3">
      <c r="A9" s="2" t="s">
        <v>33</v>
      </c>
      <c r="B9">
        <v>4.74867939867476E-2</v>
      </c>
      <c r="C9">
        <v>3.11063888761757E-2</v>
      </c>
      <c r="D9">
        <v>5.9824670740132299E-2</v>
      </c>
      <c r="E9">
        <v>4.9890849677547324E-4</v>
      </c>
      <c r="F9">
        <v>2.29532846252875E-2</v>
      </c>
      <c r="G9">
        <v>2.7747782760590801E-2</v>
      </c>
      <c r="H9">
        <v>7.9949670034000098E-3</v>
      </c>
      <c r="I9">
        <v>7.045349677996849E-3</v>
      </c>
      <c r="J9">
        <v>6.297768492643629E-4</v>
      </c>
      <c r="K9">
        <v>3.5675901265012524E-5</v>
      </c>
      <c r="L9">
        <v>2.2721679328054502E-2</v>
      </c>
      <c r="M9">
        <v>3.2439889574226874E-2</v>
      </c>
      <c r="N9">
        <v>7.8468650450597394E-2</v>
      </c>
      <c r="O9">
        <v>5.4445828274500528E-2</v>
      </c>
      <c r="P9">
        <v>6.3173997963949981E-3</v>
      </c>
      <c r="Q9">
        <v>1.6858997773395661E-2</v>
      </c>
    </row>
    <row r="10" spans="1:17" x14ac:dyDescent="0.3">
      <c r="A10" s="16" t="s">
        <v>70</v>
      </c>
      <c r="B10">
        <v>1.9900000000000001E-2</v>
      </c>
      <c r="C10">
        <v>1.4E-2</v>
      </c>
      <c r="D10">
        <v>1.6400000000000001E-2</v>
      </c>
      <c r="E10">
        <v>3.0699999999999998E-4</v>
      </c>
      <c r="F10">
        <v>5.9300000000000004E-3</v>
      </c>
      <c r="G10">
        <v>7.1500000000000001E-3</v>
      </c>
      <c r="H10">
        <v>4.4200000000000003E-3</v>
      </c>
      <c r="I10">
        <v>4.9538360518767404E-3</v>
      </c>
      <c r="J10">
        <v>4.4090427555613498E-4</v>
      </c>
      <c r="K10">
        <v>2.18834473239069E-5</v>
      </c>
      <c r="L10">
        <v>1.3656339321192401E-2</v>
      </c>
      <c r="M10">
        <v>8.8022053666121994E-3</v>
      </c>
      <c r="N10">
        <v>3.2468639354503302E-2</v>
      </c>
      <c r="O10">
        <v>3.8239917341226497E-2</v>
      </c>
      <c r="P10">
        <v>4.1124632007578698E-3</v>
      </c>
      <c r="Q10">
        <v>7.8723769881609892E-3</v>
      </c>
    </row>
    <row r="11" spans="1:17" x14ac:dyDescent="0.3">
      <c r="A11" s="16" t="s">
        <v>57</v>
      </c>
      <c r="B11">
        <v>1.9516793986747601E-2</v>
      </c>
      <c r="C11">
        <v>1.1376388876175699E-2</v>
      </c>
      <c r="D11">
        <v>3.6414670740132299E-2</v>
      </c>
      <c r="E11">
        <v>1.5908496775473301E-5</v>
      </c>
      <c r="F11">
        <v>1.46132846252875E-2</v>
      </c>
      <c r="G11">
        <v>1.7697782760590801E-2</v>
      </c>
      <c r="H11">
        <v>1.70496700340001E-3</v>
      </c>
      <c r="I11">
        <v>5.62256635734687E-5</v>
      </c>
      <c r="J11">
        <v>5.2955184414799101E-6</v>
      </c>
      <c r="K11">
        <v>2.3287552274729402E-13</v>
      </c>
      <c r="L11">
        <v>3.3868356690593699E-3</v>
      </c>
      <c r="M11">
        <v>2.0042196133264599E-2</v>
      </c>
      <c r="N11">
        <v>3.2880715718990199E-2</v>
      </c>
      <c r="O11">
        <v>8.2029042053132403E-5</v>
      </c>
      <c r="P11">
        <v>1.79787843649186E-5</v>
      </c>
      <c r="Q11">
        <v>5.68869553094941E-3</v>
      </c>
    </row>
    <row r="12" spans="1:17" x14ac:dyDescent="0.3">
      <c r="A12" s="16" t="s">
        <v>71</v>
      </c>
      <c r="B12">
        <v>8.0700000000000008E-3</v>
      </c>
      <c r="C12">
        <v>5.7299999999999999E-3</v>
      </c>
      <c r="D12">
        <v>7.0099999999999997E-3</v>
      </c>
      <c r="E12">
        <v>1.76E-4</v>
      </c>
      <c r="F12">
        <v>2.4099999999999998E-3</v>
      </c>
      <c r="G12">
        <v>2.8999999999999998E-3</v>
      </c>
      <c r="H12">
        <v>1.8699999999999999E-3</v>
      </c>
      <c r="I12">
        <v>2.0352879625466398E-3</v>
      </c>
      <c r="J12">
        <v>1.83577055266748E-4</v>
      </c>
      <c r="K12">
        <v>1.3792453708230101E-5</v>
      </c>
      <c r="L12">
        <v>5.6785043378027302E-3</v>
      </c>
      <c r="M12">
        <v>3.5954880743500799E-3</v>
      </c>
      <c r="N12">
        <v>1.31192953771039E-2</v>
      </c>
      <c r="O12">
        <v>1.6123881891220899E-2</v>
      </c>
      <c r="P12">
        <v>2.1869578112722098E-3</v>
      </c>
      <c r="Q12">
        <v>3.2979252542852601E-3</v>
      </c>
    </row>
    <row r="13" spans="1:17" x14ac:dyDescent="0.3">
      <c r="A13" s="2" t="s">
        <v>11</v>
      </c>
      <c r="B13">
        <v>3.5900000000000001E-2</v>
      </c>
      <c r="C13">
        <v>3.8300000000000001E-2</v>
      </c>
      <c r="D13">
        <v>0.96199999999999997</v>
      </c>
      <c r="E13">
        <v>0.376</v>
      </c>
      <c r="F13">
        <v>2.53E-2</v>
      </c>
      <c r="G13">
        <v>3.0499999999999999E-2</v>
      </c>
      <c r="H13">
        <v>2.5600000000000001E-2</v>
      </c>
      <c r="I13">
        <v>9.2205547132198501E-3</v>
      </c>
      <c r="J13">
        <v>2.1348042759044301E-3</v>
      </c>
      <c r="K13">
        <v>6.9463925127403005E-4</v>
      </c>
      <c r="L13">
        <v>2.5006427033180699E-2</v>
      </c>
      <c r="M13">
        <v>3.2707987656354701E-2</v>
      </c>
      <c r="N13">
        <v>5.78648393111715E-2</v>
      </c>
      <c r="O13">
        <v>3.0770809691421599</v>
      </c>
      <c r="P13">
        <v>1.1469842413861E-2</v>
      </c>
      <c r="Q13">
        <v>6.5536668933669606E-2</v>
      </c>
    </row>
    <row r="14" spans="1:17" x14ac:dyDescent="0.3">
      <c r="A14" s="16" t="s">
        <v>11</v>
      </c>
      <c r="B14">
        <v>3.5900000000000001E-2</v>
      </c>
      <c r="C14">
        <v>3.8300000000000001E-2</v>
      </c>
      <c r="D14">
        <v>0.96199999999999997</v>
      </c>
      <c r="E14">
        <v>0.376</v>
      </c>
      <c r="F14">
        <v>2.53E-2</v>
      </c>
      <c r="G14">
        <v>3.0499999999999999E-2</v>
      </c>
      <c r="H14">
        <v>2.5600000000000001E-2</v>
      </c>
      <c r="I14">
        <v>9.2205547132198501E-3</v>
      </c>
      <c r="J14">
        <v>2.1348042759044301E-3</v>
      </c>
      <c r="K14">
        <v>6.9463925127403005E-4</v>
      </c>
      <c r="L14">
        <v>2.5006427033180699E-2</v>
      </c>
      <c r="M14">
        <v>3.2707987656354701E-2</v>
      </c>
      <c r="N14">
        <v>5.78648393111715E-2</v>
      </c>
      <c r="O14">
        <v>3.0770809691421599</v>
      </c>
      <c r="P14">
        <v>1.1469842413861E-2</v>
      </c>
      <c r="Q14">
        <v>6.5536668933669606E-2</v>
      </c>
    </row>
    <row r="15" spans="1:17" x14ac:dyDescent="0.3">
      <c r="A15" s="2" t="s">
        <v>13</v>
      </c>
      <c r="B15">
        <v>2.6599999999999999E-2</v>
      </c>
      <c r="C15">
        <v>2.2599999999999999E-2</v>
      </c>
      <c r="D15">
        <v>0.13700000000000001</v>
      </c>
      <c r="E15">
        <v>7.3800000000000004E-2</v>
      </c>
      <c r="F15">
        <v>1.32E-2</v>
      </c>
      <c r="G15">
        <v>1.43E-2</v>
      </c>
      <c r="H15">
        <v>5.6800000000000002E-3</v>
      </c>
      <c r="I15">
        <v>6.2511745104175198E-3</v>
      </c>
      <c r="J15">
        <v>1.38530361098631E-3</v>
      </c>
      <c r="K15">
        <v>4.1707619919046302E-6</v>
      </c>
      <c r="L15">
        <v>1.81361049873584E-2</v>
      </c>
      <c r="M15">
        <v>1.6072072066472799E-2</v>
      </c>
      <c r="N15">
        <v>4.1938992384357499E-2</v>
      </c>
      <c r="O15">
        <v>9.9349204250042497E-2</v>
      </c>
      <c r="P15">
        <v>5.7780848058592198E-3</v>
      </c>
      <c r="Q15">
        <v>1.2581075785171E-2</v>
      </c>
    </row>
    <row r="16" spans="1:17" x14ac:dyDescent="0.3">
      <c r="A16" s="16" t="s">
        <v>13</v>
      </c>
      <c r="B16">
        <v>2.6599999999999999E-2</v>
      </c>
      <c r="C16">
        <v>2.2599999999999999E-2</v>
      </c>
      <c r="D16">
        <v>0.13700000000000001</v>
      </c>
      <c r="E16">
        <v>7.3800000000000004E-2</v>
      </c>
      <c r="F16">
        <v>1.32E-2</v>
      </c>
      <c r="G16">
        <v>1.43E-2</v>
      </c>
      <c r="H16">
        <v>5.6800000000000002E-3</v>
      </c>
      <c r="I16">
        <v>6.2511745104175198E-3</v>
      </c>
      <c r="J16">
        <v>1.38530361098631E-3</v>
      </c>
      <c r="K16">
        <v>4.1707619919046302E-6</v>
      </c>
      <c r="L16">
        <v>1.81361049873584E-2</v>
      </c>
      <c r="M16">
        <v>1.6072072066472799E-2</v>
      </c>
      <c r="N16">
        <v>4.1938992384357499E-2</v>
      </c>
      <c r="O16">
        <v>9.9349204250042497E-2</v>
      </c>
      <c r="P16">
        <v>5.7780848058592198E-3</v>
      </c>
      <c r="Q16">
        <v>1.2581075785171E-2</v>
      </c>
    </row>
    <row r="17" spans="1:17" x14ac:dyDescent="0.3">
      <c r="A17" s="2" t="s">
        <v>12</v>
      </c>
      <c r="B17">
        <v>2.1499999999999998E-2</v>
      </c>
      <c r="C17">
        <v>2.3900000000000001E-2</v>
      </c>
      <c r="D17">
        <v>0.13500000000000001</v>
      </c>
      <c r="E17">
        <v>0.13700000000000001</v>
      </c>
      <c r="F17">
        <v>3.7499999999999999E-2</v>
      </c>
      <c r="G17">
        <v>1.5299999999999999E-2</v>
      </c>
      <c r="H17">
        <v>7.9500000000000005E-3</v>
      </c>
      <c r="I17">
        <v>1.0820115374394699E-2</v>
      </c>
      <c r="J17">
        <v>2.9010161230867302E-4</v>
      </c>
      <c r="K17">
        <v>1.9877072537563201E-4</v>
      </c>
      <c r="L17">
        <v>2.0185192604007501E-2</v>
      </c>
      <c r="M17">
        <v>1.5753711435849901E-2</v>
      </c>
      <c r="N17">
        <v>3.35564511891129E-2</v>
      </c>
      <c r="O17">
        <v>0.42302355128642699</v>
      </c>
      <c r="P17">
        <v>2.7038782400305101</v>
      </c>
      <c r="Q17">
        <v>0.119710414808606</v>
      </c>
    </row>
    <row r="18" spans="1:17" x14ac:dyDescent="0.3">
      <c r="A18" s="16" t="s">
        <v>12</v>
      </c>
      <c r="B18">
        <v>2.1499999999999998E-2</v>
      </c>
      <c r="C18">
        <v>2.3900000000000001E-2</v>
      </c>
      <c r="D18">
        <v>0.13500000000000001</v>
      </c>
      <c r="E18">
        <v>0.13700000000000001</v>
      </c>
      <c r="F18">
        <v>3.7499999999999999E-2</v>
      </c>
      <c r="G18">
        <v>1.5299999999999999E-2</v>
      </c>
      <c r="H18">
        <v>7.9500000000000005E-3</v>
      </c>
      <c r="I18">
        <v>1.0820115374394699E-2</v>
      </c>
      <c r="J18">
        <v>2.9010161230867302E-4</v>
      </c>
      <c r="K18">
        <v>1.9877072537563201E-4</v>
      </c>
      <c r="L18">
        <v>2.0185192604007501E-2</v>
      </c>
      <c r="M18">
        <v>1.5753711435849901E-2</v>
      </c>
      <c r="N18">
        <v>3.35564511891129E-2</v>
      </c>
      <c r="O18">
        <v>0.42302355128642699</v>
      </c>
      <c r="P18">
        <v>2.7038782400305101</v>
      </c>
      <c r="Q18">
        <v>0.119710414808606</v>
      </c>
    </row>
    <row r="19" spans="1:17" x14ac:dyDescent="0.3">
      <c r="A19" s="2" t="s">
        <v>36</v>
      </c>
      <c r="B19">
        <v>0.02</v>
      </c>
      <c r="C19">
        <v>1.3599999999999999E-2</v>
      </c>
      <c r="D19">
        <v>1.6799999999999999E-2</v>
      </c>
      <c r="E19">
        <v>1.73E-4</v>
      </c>
      <c r="F19">
        <v>5.6100000000000004E-3</v>
      </c>
      <c r="G19">
        <v>6.7499999999999999E-3</v>
      </c>
      <c r="H19">
        <v>4.6499999999999996E-3</v>
      </c>
      <c r="I19">
        <v>6.0346766411061197E-3</v>
      </c>
      <c r="J19">
        <v>3.2270698753541501E-4</v>
      </c>
      <c r="K19">
        <v>1.11412695547128E-5</v>
      </c>
      <c r="L19">
        <v>1.3295049389277599E-2</v>
      </c>
      <c r="M19">
        <v>8.3379433554405698E-3</v>
      </c>
      <c r="N19">
        <v>3.2872719149653701E-2</v>
      </c>
      <c r="O19">
        <v>4.2004012334918198E-2</v>
      </c>
      <c r="P19">
        <v>3.1550792157430999E-3</v>
      </c>
      <c r="Q19">
        <v>8.1172106069365407E-3</v>
      </c>
    </row>
    <row r="20" spans="1:17" x14ac:dyDescent="0.3">
      <c r="A20" s="16" t="s">
        <v>70</v>
      </c>
      <c r="B20">
        <v>0.02</v>
      </c>
      <c r="C20">
        <v>1.3599999999999999E-2</v>
      </c>
      <c r="D20">
        <v>1.6799999999999999E-2</v>
      </c>
      <c r="E20">
        <v>1.73E-4</v>
      </c>
      <c r="F20">
        <v>5.6100000000000004E-3</v>
      </c>
      <c r="G20">
        <v>6.7499999999999999E-3</v>
      </c>
      <c r="H20">
        <v>4.6499999999999996E-3</v>
      </c>
      <c r="I20">
        <v>6.0346766411061197E-3</v>
      </c>
      <c r="J20">
        <v>3.2270698753541501E-4</v>
      </c>
      <c r="K20">
        <v>1.11412695547128E-5</v>
      </c>
      <c r="L20">
        <v>1.3295049389277599E-2</v>
      </c>
      <c r="M20">
        <v>8.3379433554405698E-3</v>
      </c>
      <c r="N20">
        <v>3.2872719149653701E-2</v>
      </c>
      <c r="O20">
        <v>4.2004012334918198E-2</v>
      </c>
      <c r="P20">
        <v>3.1550792157430999E-3</v>
      </c>
      <c r="Q20">
        <v>8.1172106069365407E-3</v>
      </c>
    </row>
    <row r="21" spans="1:17" x14ac:dyDescent="0.3">
      <c r="A21" s="2" t="s">
        <v>31</v>
      </c>
      <c r="B21">
        <v>1.9599999999999999E-2</v>
      </c>
      <c r="C21">
        <v>1.2800000000000001E-2</v>
      </c>
      <c r="D21">
        <v>1.6899999999999998E-2</v>
      </c>
      <c r="E21">
        <v>3.6699999999999998E-4</v>
      </c>
      <c r="F21">
        <v>5.6800000000000002E-3</v>
      </c>
      <c r="G21">
        <v>6.8399999999999997E-3</v>
      </c>
      <c r="H21">
        <v>4.3E-3</v>
      </c>
      <c r="I21">
        <v>6.1040439285536896E-3</v>
      </c>
      <c r="J21">
        <v>3.6409693487992099E-4</v>
      </c>
      <c r="K21">
        <v>2.8753371295817101E-5</v>
      </c>
      <c r="L21">
        <v>1.2521972580317601E-2</v>
      </c>
      <c r="M21">
        <v>8.4298520981209608E-3</v>
      </c>
      <c r="N21">
        <v>3.3154553439403503E-2</v>
      </c>
      <c r="O21">
        <v>3.72640947808828E-2</v>
      </c>
      <c r="P21">
        <v>4.7334201299009697E-3</v>
      </c>
      <c r="Q21">
        <v>7.5317408837233899E-3</v>
      </c>
    </row>
    <row r="22" spans="1:17" x14ac:dyDescent="0.3">
      <c r="A22" s="16" t="s">
        <v>70</v>
      </c>
      <c r="B22">
        <v>1.9599999999999999E-2</v>
      </c>
      <c r="C22">
        <v>1.2800000000000001E-2</v>
      </c>
      <c r="D22">
        <v>1.6899999999999998E-2</v>
      </c>
      <c r="E22">
        <v>3.6699999999999998E-4</v>
      </c>
      <c r="F22">
        <v>5.6800000000000002E-3</v>
      </c>
      <c r="G22">
        <v>6.8399999999999997E-3</v>
      </c>
      <c r="H22">
        <v>4.3E-3</v>
      </c>
      <c r="I22">
        <v>6.1040439285536896E-3</v>
      </c>
      <c r="J22">
        <v>3.6409693487992099E-4</v>
      </c>
      <c r="K22">
        <v>2.8753371295817101E-5</v>
      </c>
      <c r="L22">
        <v>1.2521972580317601E-2</v>
      </c>
      <c r="M22">
        <v>8.4298520981209608E-3</v>
      </c>
      <c r="N22">
        <v>3.3154553439403503E-2</v>
      </c>
      <c r="O22">
        <v>3.72640947808828E-2</v>
      </c>
      <c r="P22">
        <v>4.7334201299009697E-3</v>
      </c>
      <c r="Q22">
        <v>7.5317408837233899E-3</v>
      </c>
    </row>
    <row r="23" spans="1:17" x14ac:dyDescent="0.3">
      <c r="A23" s="2" t="s">
        <v>43</v>
      </c>
      <c r="B23">
        <v>1.2107198443338751E-2</v>
      </c>
      <c r="C23">
        <v>7.4156360679108104E-3</v>
      </c>
      <c r="D23">
        <v>9.4958002341403204E-3</v>
      </c>
      <c r="E23">
        <v>8.9546622152345754E-5</v>
      </c>
      <c r="F23">
        <v>3.4213037002299379E-3</v>
      </c>
      <c r="G23">
        <v>4.1193584735144933E-3</v>
      </c>
      <c r="H23">
        <v>2.404834726519779E-3</v>
      </c>
      <c r="I23">
        <v>3.9353755187934211E-3</v>
      </c>
      <c r="J23">
        <v>1.771582195548418E-4</v>
      </c>
      <c r="K23">
        <v>5.2274040658183803E-6</v>
      </c>
      <c r="L23">
        <v>7.1023476495297002E-3</v>
      </c>
      <c r="M23">
        <v>5.0168699548194199E-3</v>
      </c>
      <c r="N23">
        <v>2.0705345516998531E-2</v>
      </c>
      <c r="O23">
        <v>1.4942793879097513E-2</v>
      </c>
      <c r="P23">
        <v>1.57807762809947E-3</v>
      </c>
      <c r="Q23">
        <v>4.1523006754377303E-3</v>
      </c>
    </row>
    <row r="24" spans="1:17" x14ac:dyDescent="0.3">
      <c r="A24" s="16" t="s">
        <v>70</v>
      </c>
      <c r="B24">
        <v>9.0319912222121997E-3</v>
      </c>
      <c r="C24">
        <v>5.4346719461876103E-3</v>
      </c>
      <c r="D24">
        <v>7.1205287464126202E-3</v>
      </c>
      <c r="E24">
        <v>8.2949805272972498E-5</v>
      </c>
      <c r="F24">
        <v>2.6123338687467999E-3</v>
      </c>
      <c r="G24">
        <v>3.1447407462523299E-3</v>
      </c>
      <c r="H24">
        <v>1.6889764554992299E-3</v>
      </c>
      <c r="I24">
        <v>3.1105859320342301E-3</v>
      </c>
      <c r="J24">
        <v>1.4714308257238699E-4</v>
      </c>
      <c r="K24">
        <v>5.2273895499128298E-6</v>
      </c>
      <c r="L24">
        <v>4.9972739468585802E-3</v>
      </c>
      <c r="M24">
        <v>3.8128928307011498E-3</v>
      </c>
      <c r="N24">
        <v>1.59745176946481E-2</v>
      </c>
      <c r="O24">
        <v>1.43363615538349E-2</v>
      </c>
      <c r="P24">
        <v>1.25550233791216E-3</v>
      </c>
      <c r="Q24">
        <v>3.0051919390878101E-3</v>
      </c>
    </row>
    <row r="25" spans="1:17" x14ac:dyDescent="0.3">
      <c r="A25" s="16" t="s">
        <v>72</v>
      </c>
      <c r="B25">
        <v>3.0752072211265502E-3</v>
      </c>
      <c r="C25">
        <v>1.9809641217232001E-3</v>
      </c>
      <c r="D25">
        <v>2.3752714877276998E-3</v>
      </c>
      <c r="E25">
        <v>6.5968168793732502E-6</v>
      </c>
      <c r="F25">
        <v>8.0896983148313797E-4</v>
      </c>
      <c r="G25">
        <v>9.7461772726216303E-4</v>
      </c>
      <c r="H25">
        <v>7.1585827102054898E-4</v>
      </c>
      <c r="I25">
        <v>8.2478958675919097E-4</v>
      </c>
      <c r="J25">
        <v>3.0015136982454801E-5</v>
      </c>
      <c r="K25">
        <v>1.4515905550665399E-11</v>
      </c>
      <c r="L25">
        <v>2.1050737026711199E-3</v>
      </c>
      <c r="M25">
        <v>1.2039771241182701E-3</v>
      </c>
      <c r="N25">
        <v>4.7308278223504299E-3</v>
      </c>
      <c r="O25">
        <v>6.0643232526261205E-4</v>
      </c>
      <c r="P25">
        <v>3.2257529018731002E-4</v>
      </c>
      <c r="Q25">
        <v>1.14710873634992E-3</v>
      </c>
    </row>
    <row r="26" spans="1:17" x14ac:dyDescent="0.3">
      <c r="A26" s="2" t="s">
        <v>51</v>
      </c>
      <c r="B26">
        <v>1.001E-2</v>
      </c>
      <c r="C26">
        <v>8.1899999999999994E-3</v>
      </c>
      <c r="D26">
        <v>3.8289999999999998E-2</v>
      </c>
      <c r="E26">
        <v>4.3119999999999999E-2</v>
      </c>
      <c r="F26">
        <v>4.7949999999999998E-3</v>
      </c>
      <c r="G26">
        <v>4.4170000000000008E-3</v>
      </c>
      <c r="H26">
        <v>2.3869999999999998E-3</v>
      </c>
      <c r="I26">
        <v>8.539999999999999E-3</v>
      </c>
      <c r="J26">
        <v>1.3930000000000001E-3</v>
      </c>
      <c r="K26">
        <v>1.183E-4</v>
      </c>
      <c r="L26">
        <v>3.7729999999999999E-3</v>
      </c>
      <c r="M26">
        <v>5.1590000000000004E-3</v>
      </c>
      <c r="N26">
        <v>2.436E-2</v>
      </c>
      <c r="O26">
        <v>1.2670000000000001E-2</v>
      </c>
      <c r="P26">
        <v>1.078E-2</v>
      </c>
      <c r="Q26">
        <v>4.6409999999999993E-3</v>
      </c>
    </row>
    <row r="27" spans="1:17" x14ac:dyDescent="0.3">
      <c r="A27" s="16" t="s">
        <v>98</v>
      </c>
      <c r="B27">
        <v>1.001E-2</v>
      </c>
      <c r="C27">
        <v>8.1899999999999994E-3</v>
      </c>
      <c r="D27">
        <v>3.8289999999999998E-2</v>
      </c>
      <c r="E27">
        <v>4.3119999999999999E-2</v>
      </c>
      <c r="F27">
        <v>4.7949999999999998E-3</v>
      </c>
      <c r="G27">
        <v>4.4170000000000008E-3</v>
      </c>
      <c r="H27">
        <v>2.3869999999999998E-3</v>
      </c>
      <c r="I27">
        <v>8.539999999999999E-3</v>
      </c>
      <c r="J27">
        <v>1.3930000000000001E-3</v>
      </c>
      <c r="K27">
        <v>1.183E-4</v>
      </c>
      <c r="L27">
        <v>3.7729999999999999E-3</v>
      </c>
      <c r="M27">
        <v>5.1590000000000004E-3</v>
      </c>
      <c r="N27">
        <v>2.436E-2</v>
      </c>
      <c r="O27">
        <v>1.2670000000000001E-2</v>
      </c>
      <c r="P27">
        <v>1.078E-2</v>
      </c>
      <c r="Q27">
        <v>4.6409999999999993E-3</v>
      </c>
    </row>
    <row r="28" spans="1:17" x14ac:dyDescent="0.3">
      <c r="A28" s="2" t="s">
        <v>37</v>
      </c>
      <c r="B28">
        <v>9.4076208885885207E-3</v>
      </c>
      <c r="C28">
        <v>6.1745351544895601E-3</v>
      </c>
      <c r="D28">
        <v>7.8082602886568996E-3</v>
      </c>
      <c r="E28">
        <v>9.6850918459345602E-5</v>
      </c>
      <c r="F28">
        <v>2.6699002329696941E-3</v>
      </c>
      <c r="G28">
        <v>3.2131868285300161E-3</v>
      </c>
      <c r="H28">
        <v>2.0580712982844309E-3</v>
      </c>
      <c r="I28">
        <v>2.9510809261349587E-3</v>
      </c>
      <c r="J28">
        <v>1.5550639958590622E-4</v>
      </c>
      <c r="K28">
        <v>6.5789505817804699E-6</v>
      </c>
      <c r="L28">
        <v>5.9481204569674893E-3</v>
      </c>
      <c r="M28">
        <v>3.950037115433974E-3</v>
      </c>
      <c r="N28">
        <v>1.5814287093094452E-2</v>
      </c>
      <c r="O28">
        <v>1.8245443246096678E-2</v>
      </c>
      <c r="P28">
        <v>1.5573456906487781E-3</v>
      </c>
      <c r="Q28">
        <v>3.6113523050500789E-3</v>
      </c>
    </row>
    <row r="29" spans="1:17" x14ac:dyDescent="0.3">
      <c r="A29" s="16" t="s">
        <v>70</v>
      </c>
      <c r="B29">
        <v>7.4276758703553302E-3</v>
      </c>
      <c r="C29">
        <v>4.7983342173839403E-3</v>
      </c>
      <c r="D29">
        <v>6.1295105198592801E-3</v>
      </c>
      <c r="E29">
        <v>8.0584504583261106E-5</v>
      </c>
      <c r="F29">
        <v>2.11895114823047E-3</v>
      </c>
      <c r="G29">
        <v>2.55027178232813E-3</v>
      </c>
      <c r="H29">
        <v>1.5815659845421499E-3</v>
      </c>
      <c r="I29">
        <v>2.3698374060011299E-3</v>
      </c>
      <c r="J29">
        <v>1.2380039816932301E-4</v>
      </c>
      <c r="K29">
        <v>5.5444610418421901E-6</v>
      </c>
      <c r="L29">
        <v>4.5919311047232098E-3</v>
      </c>
      <c r="M29">
        <v>3.1279815660022899E-3</v>
      </c>
      <c r="N29">
        <v>1.26098468894047E-2</v>
      </c>
      <c r="O29">
        <v>1.38962640436626E-2</v>
      </c>
      <c r="P29">
        <v>1.24414560103048E-3</v>
      </c>
      <c r="Q29">
        <v>2.7811652341563999E-3</v>
      </c>
    </row>
    <row r="30" spans="1:17" x14ac:dyDescent="0.3">
      <c r="A30" s="16" t="s">
        <v>71</v>
      </c>
      <c r="B30">
        <v>1.97994501823319E-3</v>
      </c>
      <c r="C30">
        <v>1.37620093710562E-3</v>
      </c>
      <c r="D30">
        <v>1.67874976879762E-3</v>
      </c>
      <c r="E30">
        <v>1.62664138760845E-5</v>
      </c>
      <c r="F30">
        <v>5.5094908473922401E-4</v>
      </c>
      <c r="G30">
        <v>6.6291504620188599E-4</v>
      </c>
      <c r="H30">
        <v>4.7650531374228102E-4</v>
      </c>
      <c r="I30">
        <v>5.8124352013382897E-4</v>
      </c>
      <c r="J30">
        <v>3.1706001416583198E-5</v>
      </c>
      <c r="K30">
        <v>1.0344895399382801E-6</v>
      </c>
      <c r="L30">
        <v>1.35618935224428E-3</v>
      </c>
      <c r="M30">
        <v>8.2205554943168399E-4</v>
      </c>
      <c r="N30">
        <v>3.2044402036897502E-3</v>
      </c>
      <c r="O30">
        <v>4.3491792024340798E-3</v>
      </c>
      <c r="P30">
        <v>3.1320008961829799E-4</v>
      </c>
      <c r="Q30">
        <v>8.3018707089367897E-4</v>
      </c>
    </row>
    <row r="31" spans="1:17" x14ac:dyDescent="0.3">
      <c r="A31" s="2" t="s">
        <v>32</v>
      </c>
      <c r="B31">
        <v>7.9000000000000008E-3</v>
      </c>
      <c r="C31">
        <v>5.64E-3</v>
      </c>
      <c r="D31">
        <v>6.9699999999999996E-3</v>
      </c>
      <c r="E31">
        <v>1.06E-4</v>
      </c>
      <c r="F31">
        <v>2.2100000000000002E-3</v>
      </c>
      <c r="G31">
        <v>2.65E-3</v>
      </c>
      <c r="H31">
        <v>2E-3</v>
      </c>
      <c r="I31">
        <v>2.2122504705443902E-3</v>
      </c>
      <c r="J31">
        <v>1.36314123298462E-4</v>
      </c>
      <c r="K31">
        <v>7.9568397385377708E-6</v>
      </c>
      <c r="L31">
        <v>5.6752144777911899E-3</v>
      </c>
      <c r="M31">
        <v>3.3149860809041599E-3</v>
      </c>
      <c r="N31">
        <v>1.2549403550950701E-2</v>
      </c>
      <c r="O31">
        <v>1.82334875062636E-2</v>
      </c>
      <c r="P31">
        <v>1.67206783707019E-3</v>
      </c>
      <c r="Q31">
        <v>3.4661360552259101E-3</v>
      </c>
    </row>
    <row r="32" spans="1:17" x14ac:dyDescent="0.3">
      <c r="A32" s="16" t="s">
        <v>73</v>
      </c>
      <c r="B32">
        <v>7.9000000000000008E-3</v>
      </c>
      <c r="C32">
        <v>5.64E-3</v>
      </c>
      <c r="D32">
        <v>6.9699999999999996E-3</v>
      </c>
      <c r="E32">
        <v>1.06E-4</v>
      </c>
      <c r="F32">
        <v>2.2100000000000002E-3</v>
      </c>
      <c r="G32">
        <v>2.65E-3</v>
      </c>
      <c r="H32">
        <v>2E-3</v>
      </c>
      <c r="I32">
        <v>2.2122504705443902E-3</v>
      </c>
      <c r="J32">
        <v>1.36314123298462E-4</v>
      </c>
      <c r="K32">
        <v>7.9568397385377708E-6</v>
      </c>
      <c r="L32">
        <v>5.6752144777911899E-3</v>
      </c>
      <c r="M32">
        <v>3.3149860809041599E-3</v>
      </c>
      <c r="N32">
        <v>1.2549403550950701E-2</v>
      </c>
      <c r="O32">
        <v>1.82334875062636E-2</v>
      </c>
      <c r="P32">
        <v>1.67206783707019E-3</v>
      </c>
      <c r="Q32">
        <v>3.4661360552259101E-3</v>
      </c>
    </row>
    <row r="33" spans="1:17" x14ac:dyDescent="0.3">
      <c r="A33" s="2" t="s">
        <v>16</v>
      </c>
      <c r="B33">
        <v>5.4000000000000003E-3</v>
      </c>
      <c r="C33">
        <v>5.6800000000000002E-3</v>
      </c>
      <c r="D33">
        <v>0.14899999999999999</v>
      </c>
      <c r="E33">
        <v>5.79E-2</v>
      </c>
      <c r="F33">
        <v>3.8300000000000001E-3</v>
      </c>
      <c r="G33">
        <v>4.6299999999999996E-3</v>
      </c>
      <c r="H33">
        <v>3.8700000000000002E-3</v>
      </c>
      <c r="I33">
        <v>1.41280381048417E-3</v>
      </c>
      <c r="J33">
        <v>3.2814889831824802E-4</v>
      </c>
      <c r="K33">
        <v>1.07297588206641E-4</v>
      </c>
      <c r="L33">
        <v>3.7382580321738699E-3</v>
      </c>
      <c r="M33">
        <v>4.9490019941003799E-3</v>
      </c>
      <c r="N33">
        <v>8.7985054495836098E-3</v>
      </c>
      <c r="O33">
        <v>0.47861098111254602</v>
      </c>
      <c r="P33">
        <v>1.7687757903191699E-3</v>
      </c>
      <c r="Q33">
        <v>1.00437946326746E-2</v>
      </c>
    </row>
    <row r="34" spans="1:17" x14ac:dyDescent="0.3">
      <c r="A34" s="16" t="s">
        <v>61</v>
      </c>
      <c r="B34">
        <v>5.4000000000000003E-3</v>
      </c>
      <c r="C34">
        <v>5.6800000000000002E-3</v>
      </c>
      <c r="D34">
        <v>0.14899999999999999</v>
      </c>
      <c r="E34">
        <v>5.79E-2</v>
      </c>
      <c r="F34">
        <v>3.8300000000000001E-3</v>
      </c>
      <c r="G34">
        <v>4.6299999999999996E-3</v>
      </c>
      <c r="H34">
        <v>3.8700000000000002E-3</v>
      </c>
      <c r="I34">
        <v>1.41280381048417E-3</v>
      </c>
      <c r="J34">
        <v>3.2814889831824802E-4</v>
      </c>
      <c r="K34">
        <v>1.07297588206641E-4</v>
      </c>
      <c r="L34">
        <v>3.7382580321738699E-3</v>
      </c>
      <c r="M34">
        <v>4.9490019941003799E-3</v>
      </c>
      <c r="N34">
        <v>8.7985054495836098E-3</v>
      </c>
      <c r="O34">
        <v>0.47861098111254602</v>
      </c>
      <c r="P34">
        <v>1.7687757903191699E-3</v>
      </c>
      <c r="Q34">
        <v>1.00437946326746E-2</v>
      </c>
    </row>
    <row r="35" spans="1:17" x14ac:dyDescent="0.3">
      <c r="A35" s="2" t="s">
        <v>35</v>
      </c>
      <c r="B35">
        <v>5.0299999999999997E-3</v>
      </c>
      <c r="C35">
        <v>3.3700000000000002E-3</v>
      </c>
      <c r="D35">
        <v>4.2399999999999998E-3</v>
      </c>
      <c r="E35">
        <v>5.5999999999999999E-5</v>
      </c>
      <c r="F35">
        <v>1.42E-3</v>
      </c>
      <c r="G35">
        <v>1.7099999999999999E-3</v>
      </c>
      <c r="H35">
        <v>1.14E-3</v>
      </c>
      <c r="I35">
        <v>1.53548095460157E-3</v>
      </c>
      <c r="J35">
        <v>8.4119563454764101E-5</v>
      </c>
      <c r="K35">
        <v>3.9258935597695396E-6</v>
      </c>
      <c r="L35">
        <v>3.2894063396446899E-3</v>
      </c>
      <c r="M35">
        <v>2.1121036479499898E-3</v>
      </c>
      <c r="N35">
        <v>8.3398271240908706E-3</v>
      </c>
      <c r="O35">
        <v>1.0220320732116799E-2</v>
      </c>
      <c r="P35">
        <v>8.9286084778988895E-4</v>
      </c>
      <c r="Q35">
        <v>2.00031413564074E-3</v>
      </c>
    </row>
    <row r="36" spans="1:17" x14ac:dyDescent="0.3">
      <c r="A36" s="16" t="s">
        <v>73</v>
      </c>
      <c r="B36">
        <v>5.0299999999999997E-3</v>
      </c>
      <c r="C36">
        <v>3.3700000000000002E-3</v>
      </c>
      <c r="D36">
        <v>4.2399999999999998E-3</v>
      </c>
      <c r="E36">
        <v>5.5999999999999999E-5</v>
      </c>
      <c r="F36">
        <v>1.42E-3</v>
      </c>
      <c r="G36">
        <v>1.7099999999999999E-3</v>
      </c>
      <c r="H36">
        <v>1.14E-3</v>
      </c>
      <c r="I36">
        <v>1.53548095460157E-3</v>
      </c>
      <c r="J36">
        <v>8.4119563454764101E-5</v>
      </c>
      <c r="K36">
        <v>3.9258935597695396E-6</v>
      </c>
      <c r="L36">
        <v>3.2894063396446899E-3</v>
      </c>
      <c r="M36">
        <v>2.1121036479499898E-3</v>
      </c>
      <c r="N36">
        <v>8.3398271240908706E-3</v>
      </c>
      <c r="O36">
        <v>1.0220320732116799E-2</v>
      </c>
      <c r="P36">
        <v>8.9286084778988895E-4</v>
      </c>
      <c r="Q36">
        <v>2.00031413564074E-3</v>
      </c>
    </row>
    <row r="37" spans="1:17" x14ac:dyDescent="0.3">
      <c r="A37" s="2" t="s">
        <v>49</v>
      </c>
      <c r="B37">
        <v>4.8149542818345294E-3</v>
      </c>
      <c r="C37">
        <v>3.5593009010578E-3</v>
      </c>
      <c r="D37">
        <v>8.8093064831982412E-3</v>
      </c>
      <c r="E37">
        <v>1.9853871787339616E-3</v>
      </c>
      <c r="F37">
        <v>4.2381978972389897E-3</v>
      </c>
      <c r="G37">
        <v>5.0074183865977204E-3</v>
      </c>
      <c r="H37">
        <v>6.9509849860121403E-4</v>
      </c>
      <c r="I37">
        <v>-1.4636E-3</v>
      </c>
      <c r="J37">
        <v>1.3509E-2</v>
      </c>
      <c r="K37">
        <v>1.2900000072E-5</v>
      </c>
      <c r="L37">
        <v>2.7999999999999995E-3</v>
      </c>
      <c r="M37">
        <v>4.5400000000000006E-3</v>
      </c>
      <c r="N37">
        <v>5.9499999999999996E-3</v>
      </c>
      <c r="O37">
        <v>1.584E-4</v>
      </c>
      <c r="P37">
        <v>0.11801579999999999</v>
      </c>
      <c r="Q37">
        <v>2.7794645113483319E-3</v>
      </c>
    </row>
    <row r="38" spans="1:17" x14ac:dyDescent="0.3">
      <c r="A38" s="16" t="s">
        <v>57</v>
      </c>
      <c r="B38">
        <v>2.4202481897135399E-3</v>
      </c>
      <c r="C38">
        <v>2.1078160836920001E-3</v>
      </c>
      <c r="D38">
        <v>4.5296966655507202E-3</v>
      </c>
      <c r="E38">
        <v>3.6165342157901699E-5</v>
      </c>
      <c r="F38">
        <v>2.92837861855839E-3</v>
      </c>
      <c r="G38">
        <v>3.5835799481722902E-3</v>
      </c>
      <c r="H38">
        <v>2.3147214514141501E-4</v>
      </c>
      <c r="I38">
        <v>1.6399999999999999E-5</v>
      </c>
      <c r="J38">
        <v>1.0900000000000001E-4</v>
      </c>
      <c r="K38">
        <v>7.1999999999999996E-14</v>
      </c>
      <c r="L38">
        <v>7.2999999999999996E-4</v>
      </c>
      <c r="M38">
        <v>2.7200000000000002E-3</v>
      </c>
      <c r="N38">
        <v>4.0099999999999997E-3</v>
      </c>
      <c r="O38">
        <v>2.7399999999999999E-5</v>
      </c>
      <c r="P38">
        <v>1.5800000000000001E-5</v>
      </c>
      <c r="Q38">
        <v>9.4496801660980199E-4</v>
      </c>
    </row>
    <row r="39" spans="1:17" x14ac:dyDescent="0.3">
      <c r="A39" s="16" t="s">
        <v>56</v>
      </c>
      <c r="B39">
        <v>2.39470609212099E-3</v>
      </c>
      <c r="C39">
        <v>1.4514848173658001E-3</v>
      </c>
      <c r="D39">
        <v>4.2796098176475202E-3</v>
      </c>
      <c r="E39">
        <v>1.9492218365760601E-3</v>
      </c>
      <c r="F39">
        <v>1.3098192786805999E-3</v>
      </c>
      <c r="G39">
        <v>1.42383843842543E-3</v>
      </c>
      <c r="H39">
        <v>4.63626353459799E-4</v>
      </c>
      <c r="I39">
        <v>-1.48E-3</v>
      </c>
      <c r="J39">
        <v>1.34E-2</v>
      </c>
      <c r="K39">
        <v>1.29E-5</v>
      </c>
      <c r="L39">
        <v>2.0699999999999998E-3</v>
      </c>
      <c r="M39">
        <v>1.82E-3</v>
      </c>
      <c r="N39">
        <v>1.9400000000000001E-3</v>
      </c>
      <c r="O39">
        <v>1.3100000000000001E-4</v>
      </c>
      <c r="P39">
        <v>0.11799999999999999</v>
      </c>
      <c r="Q39">
        <v>1.83449649473853E-3</v>
      </c>
    </row>
    <row r="40" spans="1:17" x14ac:dyDescent="0.3">
      <c r="A40" s="2" t="s">
        <v>30</v>
      </c>
      <c r="B40">
        <v>4.5500000000000002E-3</v>
      </c>
      <c r="C40">
        <v>2.9299999999999999E-3</v>
      </c>
      <c r="D40">
        <v>3.5200000000000001E-3</v>
      </c>
      <c r="E40">
        <v>9.7599999999999997E-6</v>
      </c>
      <c r="F40">
        <v>1.1999999999999999E-3</v>
      </c>
      <c r="G40">
        <v>1.4400000000000001E-3</v>
      </c>
      <c r="H40">
        <v>1.06E-3</v>
      </c>
      <c r="I40">
        <v>1.2205693501535901E-3</v>
      </c>
      <c r="J40">
        <v>4.44180633970957E-5</v>
      </c>
      <c r="K40">
        <v>2.1481441692046699E-11</v>
      </c>
      <c r="L40">
        <v>3.1152047532576601E-3</v>
      </c>
      <c r="M40">
        <v>1.7817120777989799E-3</v>
      </c>
      <c r="N40">
        <v>7.0009412096546601E-3</v>
      </c>
      <c r="O40">
        <v>8.9743217135974604E-4</v>
      </c>
      <c r="P40">
        <v>4.7736479458948598E-4</v>
      </c>
      <c r="Q40">
        <v>1.69755508149076E-3</v>
      </c>
    </row>
    <row r="41" spans="1:17" x14ac:dyDescent="0.3">
      <c r="A41" s="16" t="s">
        <v>72</v>
      </c>
      <c r="B41">
        <v>4.5500000000000002E-3</v>
      </c>
      <c r="C41">
        <v>2.9299999999999999E-3</v>
      </c>
      <c r="D41">
        <v>3.5200000000000001E-3</v>
      </c>
      <c r="E41">
        <v>9.7599999999999997E-6</v>
      </c>
      <c r="F41">
        <v>1.1999999999999999E-3</v>
      </c>
      <c r="G41">
        <v>1.4400000000000001E-3</v>
      </c>
      <c r="H41">
        <v>1.06E-3</v>
      </c>
      <c r="I41">
        <v>1.2205693501535901E-3</v>
      </c>
      <c r="J41">
        <v>4.44180633970957E-5</v>
      </c>
      <c r="K41">
        <v>2.1481441692046699E-11</v>
      </c>
      <c r="L41">
        <v>3.1152047532576601E-3</v>
      </c>
      <c r="M41">
        <v>1.7817120777989799E-3</v>
      </c>
      <c r="N41">
        <v>7.0009412096546601E-3</v>
      </c>
      <c r="O41">
        <v>8.9743217135974604E-4</v>
      </c>
      <c r="P41">
        <v>4.7736479458948598E-4</v>
      </c>
      <c r="Q41">
        <v>1.69755508149076E-3</v>
      </c>
    </row>
    <row r="42" spans="1:17" x14ac:dyDescent="0.3">
      <c r="A42" s="2" t="s">
        <v>15</v>
      </c>
      <c r="B42">
        <v>4.4200000000000003E-3</v>
      </c>
      <c r="C42">
        <v>4.0499999999999998E-3</v>
      </c>
      <c r="D42">
        <v>1.9232099999999999</v>
      </c>
      <c r="E42">
        <v>1.7301399999999998E-2</v>
      </c>
      <c r="F42">
        <v>2.49E-3</v>
      </c>
      <c r="G42">
        <v>2.8799999999999997E-3</v>
      </c>
      <c r="H42">
        <v>1.39E-3</v>
      </c>
      <c r="I42">
        <v>2.4156559608568477E-3</v>
      </c>
      <c r="J42">
        <v>4.2617908802961253E-5</v>
      </c>
      <c r="K42">
        <v>3.1647410893682025E-5</v>
      </c>
      <c r="L42">
        <v>1.903822583488165E-3</v>
      </c>
      <c r="M42">
        <v>4.4687490343036096E-3</v>
      </c>
      <c r="N42">
        <v>8.3898095003435494E-3</v>
      </c>
      <c r="O42">
        <v>8.9519261464407265E-2</v>
      </c>
      <c r="P42">
        <v>0.58815533843110601</v>
      </c>
      <c r="Q42">
        <v>3.9725719810442843E-3</v>
      </c>
    </row>
    <row r="43" spans="1:17" x14ac:dyDescent="0.3">
      <c r="A43" s="16" t="s">
        <v>60</v>
      </c>
      <c r="B43">
        <v>2.7000000000000001E-3</v>
      </c>
      <c r="C43">
        <v>3.0500000000000002E-3</v>
      </c>
      <c r="D43">
        <v>1.92</v>
      </c>
      <c r="E43">
        <v>1.7299999999999999E-2</v>
      </c>
      <c r="F43">
        <v>1.1999999999999999E-3</v>
      </c>
      <c r="G43">
        <v>1.32E-3</v>
      </c>
      <c r="H43">
        <v>1.24E-3</v>
      </c>
      <c r="I43">
        <v>2.4106939362307398E-3</v>
      </c>
      <c r="J43">
        <v>4.2150568957691197E-5</v>
      </c>
      <c r="K43">
        <v>3.1647410873130302E-5</v>
      </c>
      <c r="L43">
        <v>1.60492772078026E-3</v>
      </c>
      <c r="M43">
        <v>2.6999860806286901E-3</v>
      </c>
      <c r="N43">
        <v>5.4880221179947801E-3</v>
      </c>
      <c r="O43">
        <v>8.95120222412331E-2</v>
      </c>
      <c r="P43">
        <v>0.588153751768271</v>
      </c>
      <c r="Q43">
        <v>3.47053348970454E-3</v>
      </c>
    </row>
    <row r="44" spans="1:17" x14ac:dyDescent="0.3">
      <c r="A44" s="16" t="s">
        <v>57</v>
      </c>
      <c r="B44">
        <v>1.72E-3</v>
      </c>
      <c r="C44">
        <v>1E-3</v>
      </c>
      <c r="D44">
        <v>3.2100000000000002E-3</v>
      </c>
      <c r="E44">
        <v>1.3999999999999999E-6</v>
      </c>
      <c r="F44">
        <v>1.2899999999999999E-3</v>
      </c>
      <c r="G44">
        <v>1.56E-3</v>
      </c>
      <c r="H44">
        <v>1.4999999999999999E-4</v>
      </c>
      <c r="I44">
        <v>4.9620246261077801E-6</v>
      </c>
      <c r="J44">
        <v>4.6733984527005599E-7</v>
      </c>
      <c r="K44">
        <v>2.0551719717454101E-14</v>
      </c>
      <c r="L44">
        <v>2.9889486270790502E-4</v>
      </c>
      <c r="M44">
        <v>1.76876295367492E-3</v>
      </c>
      <c r="N44">
        <v>2.9017873823487701E-3</v>
      </c>
      <c r="O44">
        <v>7.2392231741616898E-6</v>
      </c>
      <c r="P44">
        <v>1.58666283501662E-6</v>
      </c>
      <c r="Q44">
        <v>5.0203849133974396E-4</v>
      </c>
    </row>
    <row r="45" spans="1:17" x14ac:dyDescent="0.3">
      <c r="A45" s="2" t="s">
        <v>20</v>
      </c>
      <c r="B45">
        <v>3.934E-3</v>
      </c>
      <c r="C45">
        <v>2.624E-3</v>
      </c>
      <c r="D45">
        <v>3.392E-3</v>
      </c>
      <c r="E45">
        <v>6.7139999999999998E-5</v>
      </c>
      <c r="F45">
        <v>1.124E-3</v>
      </c>
      <c r="G45">
        <v>1.3549999999999999E-3</v>
      </c>
      <c r="H45">
        <v>8.9789999999999998E-4</v>
      </c>
      <c r="I45">
        <v>1.1774773772500599E-3</v>
      </c>
      <c r="J45">
        <v>6.9545198690393266E-5</v>
      </c>
      <c r="K45">
        <v>5.2253492182778109E-6</v>
      </c>
      <c r="L45">
        <v>2.6047752786999287E-3</v>
      </c>
      <c r="M45">
        <v>1.6713366612810701E-3</v>
      </c>
      <c r="N45">
        <v>6.4993647030493094E-3</v>
      </c>
      <c r="O45">
        <v>7.1436310709759353E-3</v>
      </c>
      <c r="P45">
        <v>9.1315822303014694E-4</v>
      </c>
      <c r="Q45">
        <v>1.5544631651042129E-3</v>
      </c>
    </row>
    <row r="46" spans="1:17" x14ac:dyDescent="0.3">
      <c r="A46" s="16" t="s">
        <v>70</v>
      </c>
      <c r="B46">
        <v>3.5400000000000002E-3</v>
      </c>
      <c r="C46">
        <v>2.3700000000000001E-3</v>
      </c>
      <c r="D46">
        <v>3.0899999999999999E-3</v>
      </c>
      <c r="E46">
        <v>6.6299999999999999E-5</v>
      </c>
      <c r="F46">
        <v>1.0200000000000001E-3</v>
      </c>
      <c r="G46">
        <v>1.23E-3</v>
      </c>
      <c r="H46">
        <v>8.0599999999999997E-4</v>
      </c>
      <c r="I46">
        <v>1.0714830056642399E-3</v>
      </c>
      <c r="J46">
        <v>6.5694914368190496E-5</v>
      </c>
      <c r="K46">
        <v>5.2253473519245298E-6</v>
      </c>
      <c r="L46">
        <v>2.3342653382163099E-3</v>
      </c>
      <c r="M46">
        <v>1.51722026367213E-3</v>
      </c>
      <c r="N46">
        <v>5.8940823897170201E-3</v>
      </c>
      <c r="O46">
        <v>7.0656498923800503E-3</v>
      </c>
      <c r="P46">
        <v>8.71756253470801E-4</v>
      </c>
      <c r="Q46">
        <v>1.40790282523102E-3</v>
      </c>
    </row>
    <row r="47" spans="1:17" x14ac:dyDescent="0.3">
      <c r="A47" s="16" t="s">
        <v>72</v>
      </c>
      <c r="B47">
        <v>3.9399999999999998E-4</v>
      </c>
      <c r="C47">
        <v>2.5399999999999999E-4</v>
      </c>
      <c r="D47">
        <v>3.0200000000000002E-4</v>
      </c>
      <c r="E47">
        <v>8.4E-7</v>
      </c>
      <c r="F47">
        <v>1.0399999999999999E-4</v>
      </c>
      <c r="G47">
        <v>1.25E-4</v>
      </c>
      <c r="H47">
        <v>9.1899999999999998E-5</v>
      </c>
      <c r="I47">
        <v>1.0599437158582E-4</v>
      </c>
      <c r="J47">
        <v>3.8502843222027703E-6</v>
      </c>
      <c r="K47">
        <v>1.86635328121168E-12</v>
      </c>
      <c r="L47">
        <v>2.7050994048361898E-4</v>
      </c>
      <c r="M47">
        <v>1.5411639760894001E-4</v>
      </c>
      <c r="N47">
        <v>6.05282313332289E-4</v>
      </c>
      <c r="O47">
        <v>7.7981178595884607E-5</v>
      </c>
      <c r="P47">
        <v>4.1401969559345901E-5</v>
      </c>
      <c r="Q47">
        <v>1.4656033987319299E-4</v>
      </c>
    </row>
    <row r="48" spans="1:17" x14ac:dyDescent="0.3">
      <c r="A48" s="2" t="s">
        <v>29</v>
      </c>
      <c r="B48">
        <v>3.4520000000000002E-3</v>
      </c>
      <c r="C48">
        <v>1.4270000000000001E-3</v>
      </c>
      <c r="D48">
        <v>1.6E-2</v>
      </c>
      <c r="E48">
        <v>2.911E-3</v>
      </c>
      <c r="F48">
        <v>9.5429999999999994E-4</v>
      </c>
      <c r="G48">
        <v>1.049E-3</v>
      </c>
      <c r="H48">
        <v>9.8400000000000007E-4</v>
      </c>
      <c r="I48">
        <v>7.5730285424457098E-4</v>
      </c>
      <c r="J48">
        <v>-6.2034639708672297E-3</v>
      </c>
      <c r="K48">
        <v>2.3845508314155199E-5</v>
      </c>
      <c r="L48">
        <v>2.09088225686288E-3</v>
      </c>
      <c r="M48">
        <v>1.9678939766936709E-3</v>
      </c>
      <c r="N48">
        <v>6.7813758503881445E-3</v>
      </c>
      <c r="O48">
        <v>3.7628418482679699E-4</v>
      </c>
      <c r="P48">
        <v>0.11384302155259182</v>
      </c>
      <c r="Q48">
        <v>3.0746403123849868E-3</v>
      </c>
    </row>
    <row r="49" spans="1:17" x14ac:dyDescent="0.3">
      <c r="A49" s="16" t="s">
        <v>85</v>
      </c>
      <c r="B49">
        <v>2.7100000000000002E-3</v>
      </c>
      <c r="C49">
        <v>1.0300000000000001E-3</v>
      </c>
      <c r="D49">
        <v>1.4800000000000001E-2</v>
      </c>
      <c r="E49">
        <v>9.01E-4</v>
      </c>
      <c r="F49">
        <v>8.5599999999999999E-4</v>
      </c>
      <c r="G49">
        <v>9.1399999999999999E-4</v>
      </c>
      <c r="H49">
        <v>4.7699999999999999E-4</v>
      </c>
      <c r="I49">
        <v>1.54758703902777E-3</v>
      </c>
      <c r="J49">
        <v>1.4706995169613899E-3</v>
      </c>
      <c r="K49">
        <v>1.04167620241902E-5</v>
      </c>
      <c r="L49">
        <v>1.24524470935948E-3</v>
      </c>
      <c r="M49">
        <v>1.26891770273596E-3</v>
      </c>
      <c r="N49">
        <v>7.0051954688055496E-3</v>
      </c>
      <c r="O49">
        <v>1.20520274227921E-4</v>
      </c>
      <c r="P49">
        <v>1.23130246794383E-3</v>
      </c>
      <c r="Q49">
        <v>2.9691943037810599E-3</v>
      </c>
    </row>
    <row r="50" spans="1:17" x14ac:dyDescent="0.3">
      <c r="A50" s="16" t="s">
        <v>56</v>
      </c>
      <c r="B50">
        <v>7.4200000000000004E-4</v>
      </c>
      <c r="C50">
        <v>3.97E-4</v>
      </c>
      <c r="D50">
        <v>1.1999999999999999E-3</v>
      </c>
      <c r="E50">
        <v>2.0100000000000001E-3</v>
      </c>
      <c r="F50">
        <v>9.8300000000000004E-5</v>
      </c>
      <c r="G50">
        <v>1.35E-4</v>
      </c>
      <c r="H50">
        <v>5.0699999999999996E-4</v>
      </c>
      <c r="I50">
        <v>-7.9028418478319898E-4</v>
      </c>
      <c r="J50">
        <v>-7.6741634878286199E-3</v>
      </c>
      <c r="K50">
        <v>1.3428746289965E-5</v>
      </c>
      <c r="L50">
        <v>8.4563754750340003E-4</v>
      </c>
      <c r="M50">
        <v>6.9897627395771103E-4</v>
      </c>
      <c r="N50">
        <v>-2.2381961841740501E-4</v>
      </c>
      <c r="O50">
        <v>2.5576391059887598E-4</v>
      </c>
      <c r="P50">
        <v>0.112611719084648</v>
      </c>
      <c r="Q50">
        <v>1.05446008603927E-4</v>
      </c>
    </row>
    <row r="51" spans="1:17" x14ac:dyDescent="0.3">
      <c r="A51" s="2" t="s">
        <v>3</v>
      </c>
      <c r="B51">
        <v>2.99E-3</v>
      </c>
      <c r="C51">
        <v>6.0999999999999997E-4</v>
      </c>
      <c r="D51">
        <v>9.6391999999999988E-3</v>
      </c>
      <c r="E51">
        <v>2.2645000000000001E-5</v>
      </c>
      <c r="F51">
        <v>5.8799999999999998E-4</v>
      </c>
      <c r="G51">
        <v>6.7400000000000001E-4</v>
      </c>
      <c r="H51">
        <v>3.3979999999999997E-4</v>
      </c>
      <c r="I51">
        <v>1.6487557948293253E-2</v>
      </c>
      <c r="J51">
        <v>9.585739917203096E-5</v>
      </c>
      <c r="K51">
        <v>8.9998061232420893E-12</v>
      </c>
      <c r="L51">
        <v>5.0624971517996002E-4</v>
      </c>
      <c r="M51">
        <v>7.5334132739011397E-4</v>
      </c>
      <c r="N51">
        <v>1.6147380648017771E-2</v>
      </c>
      <c r="O51">
        <v>9.5982445176451844E-5</v>
      </c>
      <c r="P51">
        <v>2.5131328664092554E-4</v>
      </c>
      <c r="Q51">
        <v>1.0266628943820181E-3</v>
      </c>
    </row>
    <row r="52" spans="1:17" x14ac:dyDescent="0.3">
      <c r="A52" s="16" t="s">
        <v>66</v>
      </c>
      <c r="B52">
        <v>1.6900000000000001E-3</v>
      </c>
      <c r="C52">
        <v>1.66E-4</v>
      </c>
      <c r="D52">
        <v>3.9199999999999997E-5</v>
      </c>
      <c r="E52">
        <v>3.4499999999999998E-7</v>
      </c>
      <c r="F52">
        <v>2.14E-4</v>
      </c>
      <c r="G52">
        <v>2.61E-4</v>
      </c>
      <c r="H52">
        <v>8.1799999999999996E-5</v>
      </c>
      <c r="I52">
        <v>7.9237430857528102E-6</v>
      </c>
      <c r="J52">
        <v>4.7585928185905802E-7</v>
      </c>
      <c r="K52">
        <v>1.76444592835202E-14</v>
      </c>
      <c r="L52">
        <v>1.449509161494E-4</v>
      </c>
      <c r="M52">
        <v>2.9573399333324699E-4</v>
      </c>
      <c r="N52">
        <v>3.5168528010920698E-3</v>
      </c>
      <c r="O52">
        <v>6.1636713047660499E-6</v>
      </c>
      <c r="P52">
        <v>8.7030290012456201E-7</v>
      </c>
      <c r="Q52">
        <v>1.8012657720561999E-4</v>
      </c>
    </row>
    <row r="53" spans="1:17" x14ac:dyDescent="0.3">
      <c r="A53" s="16" t="s">
        <v>64</v>
      </c>
      <c r="B53">
        <v>1.2999999999999999E-3</v>
      </c>
      <c r="C53">
        <v>4.44E-4</v>
      </c>
      <c r="D53">
        <v>9.5999999999999992E-3</v>
      </c>
      <c r="E53">
        <v>2.23E-5</v>
      </c>
      <c r="F53">
        <v>3.7399999999999998E-4</v>
      </c>
      <c r="G53">
        <v>4.1300000000000001E-4</v>
      </c>
      <c r="H53">
        <v>2.5799999999999998E-4</v>
      </c>
      <c r="I53">
        <v>1.64796342052075E-2</v>
      </c>
      <c r="J53">
        <v>9.5381539890171903E-5</v>
      </c>
      <c r="K53">
        <v>8.9821616639585693E-12</v>
      </c>
      <c r="L53">
        <v>3.6129879903056E-4</v>
      </c>
      <c r="M53">
        <v>4.5760733405686698E-4</v>
      </c>
      <c r="N53">
        <v>1.26305278469257E-2</v>
      </c>
      <c r="O53">
        <v>8.9818773871685795E-5</v>
      </c>
      <c r="P53">
        <v>2.5044298374080098E-4</v>
      </c>
      <c r="Q53">
        <v>8.4653631717639805E-4</v>
      </c>
    </row>
    <row r="54" spans="1:17" x14ac:dyDescent="0.3">
      <c r="A54" s="2" t="s">
        <v>45</v>
      </c>
      <c r="B54">
        <v>2.89948301390327E-3</v>
      </c>
      <c r="C54">
        <v>1.8084672803348001E-3</v>
      </c>
      <c r="D54">
        <v>2.6079665697598198E-3</v>
      </c>
      <c r="E54">
        <v>9.5306980985787094E-5</v>
      </c>
      <c r="F54">
        <v>8.7190950011598305E-4</v>
      </c>
      <c r="G54">
        <v>1.0496640622557E-3</v>
      </c>
      <c r="H54">
        <v>5.9411842892046201E-4</v>
      </c>
      <c r="I54">
        <v>9.2387573167723898E-4</v>
      </c>
      <c r="J54">
        <v>6.3622179750164103E-5</v>
      </c>
      <c r="K54">
        <v>7.98390172830444E-6</v>
      </c>
      <c r="L54">
        <v>1.77445389309429E-3</v>
      </c>
      <c r="M54">
        <v>1.29350601865394E-3</v>
      </c>
      <c r="N54">
        <v>5.0350972684402202E-3</v>
      </c>
      <c r="O54">
        <v>4.8389001283111301E-3</v>
      </c>
      <c r="P54">
        <v>1.0491178729242999E-3</v>
      </c>
      <c r="Q54">
        <v>1.0445051086071099E-3</v>
      </c>
    </row>
    <row r="55" spans="1:17" x14ac:dyDescent="0.3">
      <c r="A55" s="16" t="s">
        <v>70</v>
      </c>
      <c r="B55">
        <v>2.89948301390327E-3</v>
      </c>
      <c r="C55">
        <v>1.8084672803348001E-3</v>
      </c>
      <c r="D55">
        <v>2.6079665697598198E-3</v>
      </c>
      <c r="E55">
        <v>9.5306980985787094E-5</v>
      </c>
      <c r="F55">
        <v>8.7190950011598305E-4</v>
      </c>
      <c r="G55">
        <v>1.0496640622557E-3</v>
      </c>
      <c r="H55">
        <v>5.9411842892046201E-4</v>
      </c>
      <c r="I55">
        <v>9.2387573167723898E-4</v>
      </c>
      <c r="J55">
        <v>6.3622179750164103E-5</v>
      </c>
      <c r="K55">
        <v>7.98390172830444E-6</v>
      </c>
      <c r="L55">
        <v>1.77445389309429E-3</v>
      </c>
      <c r="M55">
        <v>1.29350601865394E-3</v>
      </c>
      <c r="N55">
        <v>5.0350972684402202E-3</v>
      </c>
      <c r="O55">
        <v>4.8389001283111301E-3</v>
      </c>
      <c r="P55">
        <v>1.0491178729242999E-3</v>
      </c>
      <c r="Q55">
        <v>1.0445051086071099E-3</v>
      </c>
    </row>
    <row r="56" spans="1:17" x14ac:dyDescent="0.3">
      <c r="A56" s="2" t="s">
        <v>27</v>
      </c>
      <c r="B56">
        <v>2.5646949408629376E-3</v>
      </c>
      <c r="C56">
        <v>7.610329297123514E-3</v>
      </c>
      <c r="D56">
        <v>4.6281692208409494E-3</v>
      </c>
      <c r="E56">
        <v>2.5766671577737025E-3</v>
      </c>
      <c r="F56">
        <v>4.3458535847530552E-3</v>
      </c>
      <c r="G56">
        <v>1.0451818879501617E-2</v>
      </c>
      <c r="H56">
        <v>2.0691169009135119E-4</v>
      </c>
      <c r="I56">
        <v>1.162639654696565E-4</v>
      </c>
      <c r="J56">
        <v>2.4019667165586928E-3</v>
      </c>
      <c r="K56">
        <v>4.408125632860483E-6</v>
      </c>
      <c r="L56">
        <v>5.0539915677240786E-3</v>
      </c>
      <c r="M56">
        <v>6.2389808527833995E-4</v>
      </c>
      <c r="N56">
        <v>1.806259764947953E-3</v>
      </c>
      <c r="O56">
        <v>4.8069457998714429E-4</v>
      </c>
      <c r="P56">
        <v>1.8835484919417427E-2</v>
      </c>
      <c r="Q56">
        <v>9.3799655469206601E-4</v>
      </c>
    </row>
    <row r="57" spans="1:17" x14ac:dyDescent="0.3">
      <c r="A57" s="16" t="s">
        <v>80</v>
      </c>
      <c r="B57">
        <v>2.0699999999999998E-3</v>
      </c>
      <c r="C57">
        <v>7.43E-3</v>
      </c>
      <c r="D57">
        <v>2.4199999999999998E-3</v>
      </c>
      <c r="E57">
        <v>2.5600000000000002E-3</v>
      </c>
      <c r="F57">
        <v>4.2100000000000002E-3</v>
      </c>
      <c r="G57">
        <v>1.03E-2</v>
      </c>
      <c r="H57">
        <v>1.15E-4</v>
      </c>
      <c r="I57">
        <v>7.5293016030172306E-5</v>
      </c>
      <c r="J57">
        <v>2.3977125432925401E-3</v>
      </c>
      <c r="K57">
        <v>4.01996985757749E-6</v>
      </c>
      <c r="L57">
        <v>4.8310273884007698E-3</v>
      </c>
      <c r="M57">
        <v>4.1668225117278898E-4</v>
      </c>
      <c r="N57">
        <v>4.22255606319813E-4</v>
      </c>
      <c r="O57">
        <v>9.6514466486020294E-5</v>
      </c>
      <c r="P57">
        <v>1.87314874028633E-2</v>
      </c>
      <c r="Q57">
        <v>4.75184283689058E-4</v>
      </c>
    </row>
    <row r="58" spans="1:17" x14ac:dyDescent="0.3">
      <c r="A58" s="16" t="s">
        <v>79</v>
      </c>
      <c r="B58">
        <v>4.9469494086293796E-4</v>
      </c>
      <c r="C58">
        <v>1.8032929712351401E-4</v>
      </c>
      <c r="D58">
        <v>2.20816922084095E-3</v>
      </c>
      <c r="E58">
        <v>1.6667157773702101E-5</v>
      </c>
      <c r="F58">
        <v>1.3585358475305499E-4</v>
      </c>
      <c r="G58">
        <v>1.51818879501617E-4</v>
      </c>
      <c r="H58">
        <v>9.1911690091351205E-5</v>
      </c>
      <c r="I58">
        <v>4.0970949439484202E-5</v>
      </c>
      <c r="J58">
        <v>4.25417326615256E-6</v>
      </c>
      <c r="K58">
        <v>3.88155775282993E-7</v>
      </c>
      <c r="L58">
        <v>2.22964179323309E-4</v>
      </c>
      <c r="M58">
        <v>2.07215834105551E-4</v>
      </c>
      <c r="N58">
        <v>1.38400415862814E-3</v>
      </c>
      <c r="O58">
        <v>3.84180113501124E-4</v>
      </c>
      <c r="P58">
        <v>1.0399751655412899E-4</v>
      </c>
      <c r="Q58">
        <v>4.6281227100300801E-4</v>
      </c>
    </row>
    <row r="59" spans="1:17" x14ac:dyDescent="0.3">
      <c r="A59" s="2" t="s">
        <v>44</v>
      </c>
      <c r="B59">
        <v>2.4099999999999998E-3</v>
      </c>
      <c r="C59">
        <v>1.5499999999999999E-3</v>
      </c>
      <c r="D59">
        <v>1.8400000000000001E-3</v>
      </c>
      <c r="E59">
        <v>5.13E-6</v>
      </c>
      <c r="F59">
        <v>6.3299999999999999E-4</v>
      </c>
      <c r="G59">
        <v>7.6300000000000001E-4</v>
      </c>
      <c r="H59">
        <v>5.6099999999999998E-4</v>
      </c>
      <c r="I59">
        <v>6.4669983676411702E-4</v>
      </c>
      <c r="J59">
        <v>2.3491608143059801E-5</v>
      </c>
      <c r="K59">
        <v>1.13871174878991E-11</v>
      </c>
      <c r="L59">
        <v>1.6504530545962601E-3</v>
      </c>
      <c r="M59">
        <v>9.4030510946214096E-4</v>
      </c>
      <c r="N59">
        <v>3.6929882914704202E-3</v>
      </c>
      <c r="O59">
        <v>4.7578389978754902E-4</v>
      </c>
      <c r="P59">
        <v>2.5260442186847399E-4</v>
      </c>
      <c r="Q59">
        <v>8.9420359264403605E-4</v>
      </c>
    </row>
    <row r="60" spans="1:17" x14ac:dyDescent="0.3">
      <c r="A60" s="16" t="s">
        <v>72</v>
      </c>
      <c r="B60">
        <v>2.4099999999999998E-3</v>
      </c>
      <c r="C60">
        <v>1.5499999999999999E-3</v>
      </c>
      <c r="D60">
        <v>1.8400000000000001E-3</v>
      </c>
      <c r="E60">
        <v>5.13E-6</v>
      </c>
      <c r="F60">
        <v>6.3299999999999999E-4</v>
      </c>
      <c r="G60">
        <v>7.6300000000000001E-4</v>
      </c>
      <c r="H60">
        <v>5.6099999999999998E-4</v>
      </c>
      <c r="I60">
        <v>6.4669983676411702E-4</v>
      </c>
      <c r="J60">
        <v>2.3491608143059801E-5</v>
      </c>
      <c r="K60">
        <v>1.13871174878991E-11</v>
      </c>
      <c r="L60">
        <v>1.6504530545962601E-3</v>
      </c>
      <c r="M60">
        <v>9.4030510946214096E-4</v>
      </c>
      <c r="N60">
        <v>3.6929882914704202E-3</v>
      </c>
      <c r="O60">
        <v>4.7578389978754902E-4</v>
      </c>
      <c r="P60">
        <v>2.5260442186847399E-4</v>
      </c>
      <c r="Q60">
        <v>8.9420359264403605E-4</v>
      </c>
    </row>
    <row r="61" spans="1:17" x14ac:dyDescent="0.3">
      <c r="A61" s="2" t="s">
        <v>9</v>
      </c>
      <c r="B61">
        <v>2.3600000000000001E-3</v>
      </c>
      <c r="C61">
        <v>9.3899999999999995E-4</v>
      </c>
      <c r="D61">
        <v>4.1000000000000003E-3</v>
      </c>
      <c r="E61">
        <v>1.9400000000000001E-5</v>
      </c>
      <c r="F61">
        <v>4.0299999999999998E-4</v>
      </c>
      <c r="G61">
        <v>4.8899999999999996E-4</v>
      </c>
      <c r="H61">
        <v>2.7799999999999998E-4</v>
      </c>
      <c r="I61">
        <v>1.3226414116439099E-4</v>
      </c>
      <c r="J61">
        <v>3.006552715954E-5</v>
      </c>
      <c r="K61">
        <v>2.0331601112320702E-6</v>
      </c>
      <c r="L61">
        <v>1.03173644636482E-3</v>
      </c>
      <c r="M61">
        <v>6.3255794949373999E-4</v>
      </c>
      <c r="N61">
        <v>3.7210589344579799E-3</v>
      </c>
      <c r="O61">
        <v>2.9850512866280401E-2</v>
      </c>
      <c r="P61">
        <v>1.7980350827603999E-4</v>
      </c>
      <c r="Q61">
        <v>1.2638782804543099E-3</v>
      </c>
    </row>
    <row r="62" spans="1:17" x14ac:dyDescent="0.3">
      <c r="A62" s="16" t="s">
        <v>55</v>
      </c>
      <c r="B62">
        <v>2.3600000000000001E-3</v>
      </c>
      <c r="C62">
        <v>9.3899999999999995E-4</v>
      </c>
      <c r="D62">
        <v>4.1000000000000003E-3</v>
      </c>
      <c r="E62">
        <v>1.9400000000000001E-5</v>
      </c>
      <c r="F62">
        <v>4.0299999999999998E-4</v>
      </c>
      <c r="G62">
        <v>4.8899999999999996E-4</v>
      </c>
      <c r="H62">
        <v>2.7799999999999998E-4</v>
      </c>
      <c r="I62">
        <v>1.3226414116439099E-4</v>
      </c>
      <c r="J62">
        <v>3.006552715954E-5</v>
      </c>
      <c r="K62">
        <v>2.0331601112320702E-6</v>
      </c>
      <c r="L62">
        <v>1.03173644636482E-3</v>
      </c>
      <c r="M62">
        <v>6.3255794949373999E-4</v>
      </c>
      <c r="N62">
        <v>3.7210589344579799E-3</v>
      </c>
      <c r="O62">
        <v>2.9850512866280401E-2</v>
      </c>
      <c r="P62">
        <v>1.7980350827603999E-4</v>
      </c>
      <c r="Q62">
        <v>1.2638782804543099E-3</v>
      </c>
    </row>
    <row r="63" spans="1:17" x14ac:dyDescent="0.3">
      <c r="A63" s="2" t="s">
        <v>26</v>
      </c>
      <c r="B63">
        <v>2.1199999999999999E-3</v>
      </c>
      <c r="C63">
        <v>7.6400000000000001E-3</v>
      </c>
      <c r="D63">
        <v>2.48E-3</v>
      </c>
      <c r="E63">
        <v>2.64E-3</v>
      </c>
      <c r="F63">
        <v>4.3299999999999996E-3</v>
      </c>
      <c r="G63">
        <v>1.06E-2</v>
      </c>
      <c r="H63">
        <v>1.18E-4</v>
      </c>
      <c r="I63">
        <v>7.7399114380666595E-5</v>
      </c>
      <c r="J63">
        <v>2.4647814256223998E-3</v>
      </c>
      <c r="K63">
        <v>4.1324165668803601E-6</v>
      </c>
      <c r="L63">
        <v>4.9661610216427503E-3</v>
      </c>
      <c r="M63">
        <v>4.2833769875804198E-4</v>
      </c>
      <c r="N63">
        <v>4.3406695195113699E-4</v>
      </c>
      <c r="O63">
        <v>9.9214171842272605E-5</v>
      </c>
      <c r="P63">
        <v>1.9255445092453902E-2</v>
      </c>
      <c r="Q63">
        <v>4.8847615176427698E-4</v>
      </c>
    </row>
    <row r="64" spans="1:17" x14ac:dyDescent="0.3">
      <c r="A64" s="16" t="s">
        <v>80</v>
      </c>
      <c r="B64">
        <v>2.1199999999999999E-3</v>
      </c>
      <c r="C64">
        <v>7.6400000000000001E-3</v>
      </c>
      <c r="D64">
        <v>2.48E-3</v>
      </c>
      <c r="E64">
        <v>2.64E-3</v>
      </c>
      <c r="F64">
        <v>4.3299999999999996E-3</v>
      </c>
      <c r="G64">
        <v>1.06E-2</v>
      </c>
      <c r="H64">
        <v>1.18E-4</v>
      </c>
      <c r="I64">
        <v>7.7399114380666595E-5</v>
      </c>
      <c r="J64">
        <v>2.4647814256223998E-3</v>
      </c>
      <c r="K64">
        <v>4.1324165668803601E-6</v>
      </c>
      <c r="L64">
        <v>4.9661610216427503E-3</v>
      </c>
      <c r="M64">
        <v>4.2833769875804198E-4</v>
      </c>
      <c r="N64">
        <v>4.3406695195113699E-4</v>
      </c>
      <c r="O64">
        <v>9.9214171842272605E-5</v>
      </c>
      <c r="P64">
        <v>1.9255445092453902E-2</v>
      </c>
      <c r="Q64">
        <v>4.8847615176427698E-4</v>
      </c>
    </row>
    <row r="65" spans="1:17" x14ac:dyDescent="0.3">
      <c r="A65" s="2" t="s">
        <v>39</v>
      </c>
      <c r="B65">
        <v>1.64E-3</v>
      </c>
      <c r="C65">
        <v>9.2400000000000002E-4</v>
      </c>
      <c r="D65">
        <v>2.0899999999999998E-3</v>
      </c>
      <c r="E65">
        <v>5.4399999999999996E-6</v>
      </c>
      <c r="F65">
        <v>4.1599999999999997E-4</v>
      </c>
      <c r="G65">
        <v>4.9299999999999995E-4</v>
      </c>
      <c r="H65">
        <v>3.5E-4</v>
      </c>
      <c r="I65">
        <v>3.7272849255165399E-4</v>
      </c>
      <c r="J65">
        <v>1.5818055153457298E-5</v>
      </c>
      <c r="K65">
        <v>6.2685810443828399E-12</v>
      </c>
      <c r="L65">
        <v>9.5606448366470395E-4</v>
      </c>
      <c r="M65">
        <v>7.4017465611340603E-4</v>
      </c>
      <c r="N65">
        <v>3.0027583908017398E-3</v>
      </c>
      <c r="O65">
        <v>2.5853827953816399E-4</v>
      </c>
      <c r="P65">
        <v>1.6269594628193199E-4</v>
      </c>
      <c r="Q65">
        <v>7.9445590277953603E-4</v>
      </c>
    </row>
    <row r="66" spans="1:17" x14ac:dyDescent="0.3">
      <c r="A66" s="16" t="s">
        <v>72</v>
      </c>
      <c r="B66">
        <v>1.64E-3</v>
      </c>
      <c r="C66">
        <v>9.2400000000000002E-4</v>
      </c>
      <c r="D66">
        <v>2.0899999999999998E-3</v>
      </c>
      <c r="E66">
        <v>5.4399999999999996E-6</v>
      </c>
      <c r="F66">
        <v>4.1599999999999997E-4</v>
      </c>
      <c r="G66">
        <v>4.9299999999999995E-4</v>
      </c>
      <c r="H66">
        <v>3.5E-4</v>
      </c>
      <c r="I66">
        <v>3.7272849255165399E-4</v>
      </c>
      <c r="J66">
        <v>1.5818055153457298E-5</v>
      </c>
      <c r="K66">
        <v>6.2685810443828399E-12</v>
      </c>
      <c r="L66">
        <v>9.5606448366470395E-4</v>
      </c>
      <c r="M66">
        <v>7.4017465611340603E-4</v>
      </c>
      <c r="N66">
        <v>3.0027583908017398E-3</v>
      </c>
      <c r="O66">
        <v>2.5853827953816399E-4</v>
      </c>
      <c r="P66">
        <v>1.6269594628193199E-4</v>
      </c>
      <c r="Q66">
        <v>7.9445590277953603E-4</v>
      </c>
    </row>
    <row r="67" spans="1:17" x14ac:dyDescent="0.3">
      <c r="A67" s="2" t="s">
        <v>42</v>
      </c>
      <c r="B67">
        <v>1.6229999999999999E-3</v>
      </c>
      <c r="C67">
        <v>9.9799999999999997E-4</v>
      </c>
      <c r="D67">
        <v>1.304E-3</v>
      </c>
      <c r="E67">
        <v>3.2969999999999999E-6</v>
      </c>
      <c r="F67">
        <v>4.26E-4</v>
      </c>
      <c r="G67">
        <v>5.13E-4</v>
      </c>
      <c r="H67">
        <v>3.5739999999999996E-4</v>
      </c>
      <c r="I67">
        <v>5.07786014740582E-4</v>
      </c>
      <c r="J67">
        <v>1.6720786239917748E-5</v>
      </c>
      <c r="K67">
        <v>7.77191810406536E-12</v>
      </c>
      <c r="L67">
        <v>1.0349957288772189E-3</v>
      </c>
      <c r="M67">
        <v>6.2690844114293405E-4</v>
      </c>
      <c r="N67">
        <v>2.5475762738816658E-3</v>
      </c>
      <c r="O67">
        <v>3.1564959697221909E-4</v>
      </c>
      <c r="P67">
        <v>1.4435852932079301E-4</v>
      </c>
      <c r="Q67">
        <v>5.8957060643410105E-4</v>
      </c>
    </row>
    <row r="68" spans="1:17" x14ac:dyDescent="0.3">
      <c r="A68" s="16" t="s">
        <v>72</v>
      </c>
      <c r="B68">
        <v>1.16E-3</v>
      </c>
      <c r="C68">
        <v>7.5000000000000002E-4</v>
      </c>
      <c r="D68">
        <v>8.8999999999999995E-4</v>
      </c>
      <c r="E68">
        <v>2.48E-6</v>
      </c>
      <c r="F68">
        <v>3.0600000000000001E-4</v>
      </c>
      <c r="G68">
        <v>3.6900000000000002E-4</v>
      </c>
      <c r="H68">
        <v>2.7099999999999997E-4</v>
      </c>
      <c r="I68">
        <v>3.1228088590632401E-4</v>
      </c>
      <c r="J68">
        <v>1.1343717417628999E-5</v>
      </c>
      <c r="K68">
        <v>5.49865476205086E-12</v>
      </c>
      <c r="L68">
        <v>7.9697707148813001E-4</v>
      </c>
      <c r="M68">
        <v>4.5405812080355501E-4</v>
      </c>
      <c r="N68">
        <v>1.7832842838998799E-3</v>
      </c>
      <c r="O68">
        <v>2.29748345799901E-4</v>
      </c>
      <c r="P68">
        <v>1.21978587530894E-4</v>
      </c>
      <c r="Q68">
        <v>4.3179644437323501E-4</v>
      </c>
    </row>
    <row r="69" spans="1:17" x14ac:dyDescent="0.3">
      <c r="A69" s="16" t="s">
        <v>94</v>
      </c>
      <c r="B69">
        <v>4.6299999999999998E-4</v>
      </c>
      <c r="C69">
        <v>2.4800000000000001E-4</v>
      </c>
      <c r="D69">
        <v>4.1399999999999998E-4</v>
      </c>
      <c r="E69">
        <v>8.1699999999999997E-7</v>
      </c>
      <c r="F69">
        <v>1.2E-4</v>
      </c>
      <c r="G69">
        <v>1.44E-4</v>
      </c>
      <c r="H69">
        <v>8.6399999999999999E-5</v>
      </c>
      <c r="I69">
        <v>1.9550512883425799E-4</v>
      </c>
      <c r="J69">
        <v>5.3770688222887496E-6</v>
      </c>
      <c r="K69">
        <v>2.2732633420145E-12</v>
      </c>
      <c r="L69">
        <v>2.3801865738908899E-4</v>
      </c>
      <c r="M69">
        <v>1.7285032033937899E-4</v>
      </c>
      <c r="N69">
        <v>7.6429198998178595E-4</v>
      </c>
      <c r="O69">
        <v>8.5901251172318095E-5</v>
      </c>
      <c r="P69">
        <v>2.2379941789899001E-5</v>
      </c>
      <c r="Q69">
        <v>1.5777416206086601E-4</v>
      </c>
    </row>
    <row r="70" spans="1:17" x14ac:dyDescent="0.3">
      <c r="A70" s="2" t="s">
        <v>18</v>
      </c>
      <c r="B70">
        <v>1.5999999999999999E-3</v>
      </c>
      <c r="C70">
        <v>5.7400000000000007E-4</v>
      </c>
      <c r="D70">
        <v>2.2352E-2</v>
      </c>
      <c r="E70">
        <v>2.00977E-4</v>
      </c>
      <c r="F70">
        <v>4.6000000000000001E-4</v>
      </c>
      <c r="G70">
        <v>4.6699999999999997E-4</v>
      </c>
      <c r="H70">
        <v>7.894E-4</v>
      </c>
      <c r="I70">
        <v>5.9424507824188072E-4</v>
      </c>
      <c r="J70">
        <v>3.8818344130512201E-6</v>
      </c>
      <c r="K70">
        <v>7.066286361950753E-12</v>
      </c>
      <c r="L70">
        <v>4.8792467446666902E-4</v>
      </c>
      <c r="M70">
        <v>6.49748037663681E-4</v>
      </c>
      <c r="N70">
        <v>3.2441356036315172E-3</v>
      </c>
      <c r="O70">
        <v>9.0762737947284398E-5</v>
      </c>
      <c r="P70">
        <v>5.8657719518088614E-3</v>
      </c>
      <c r="Q70">
        <v>5.8760644629237422E-3</v>
      </c>
    </row>
    <row r="71" spans="1:17" x14ac:dyDescent="0.3">
      <c r="A71" s="16" t="s">
        <v>59</v>
      </c>
      <c r="B71">
        <v>1.1299999999999999E-3</v>
      </c>
      <c r="C71">
        <v>3.9300000000000001E-4</v>
      </c>
      <c r="D71">
        <v>2.2200000000000001E-2</v>
      </c>
      <c r="E71">
        <v>2.0000000000000001E-4</v>
      </c>
      <c r="F71">
        <v>3.4200000000000002E-4</v>
      </c>
      <c r="G71">
        <v>3.3E-4</v>
      </c>
      <c r="H71">
        <v>7.6999999999999996E-4</v>
      </c>
      <c r="I71">
        <v>5.6434080910387297E-4</v>
      </c>
      <c r="J71">
        <v>1.38117430965399E-6</v>
      </c>
      <c r="K71">
        <v>7.0066911668310096E-12</v>
      </c>
      <c r="L71">
        <v>2.8143065218367701E-4</v>
      </c>
      <c r="M71">
        <v>4.5978770423174602E-4</v>
      </c>
      <c r="N71">
        <v>2.6016410125760401E-3</v>
      </c>
      <c r="O71">
        <v>7.0518206421430694E-5</v>
      </c>
      <c r="P71">
        <v>5.75349268998138E-3</v>
      </c>
      <c r="Q71">
        <v>5.6987424260930104E-3</v>
      </c>
    </row>
    <row r="72" spans="1:17" x14ac:dyDescent="0.3">
      <c r="A72" s="16" t="s">
        <v>58</v>
      </c>
      <c r="B72">
        <v>4.6999999999999999E-4</v>
      </c>
      <c r="C72">
        <v>1.8100000000000001E-4</v>
      </c>
      <c r="D72">
        <v>1.5200000000000001E-4</v>
      </c>
      <c r="E72">
        <v>9.7699999999999992E-7</v>
      </c>
      <c r="F72">
        <v>1.18E-4</v>
      </c>
      <c r="G72">
        <v>1.37E-4</v>
      </c>
      <c r="H72">
        <v>1.9400000000000001E-5</v>
      </c>
      <c r="I72">
        <v>2.9904269138007799E-5</v>
      </c>
      <c r="J72">
        <v>2.5006601033972299E-6</v>
      </c>
      <c r="K72">
        <v>5.9595195119743702E-14</v>
      </c>
      <c r="L72">
        <v>2.0649402228299201E-4</v>
      </c>
      <c r="M72">
        <v>1.8996033343193501E-4</v>
      </c>
      <c r="N72">
        <v>6.4249459105547699E-4</v>
      </c>
      <c r="O72">
        <v>2.0244531525853701E-5</v>
      </c>
      <c r="P72">
        <v>1.12279261827481E-4</v>
      </c>
      <c r="Q72">
        <v>1.7732203683073201E-4</v>
      </c>
    </row>
    <row r="73" spans="1:17" x14ac:dyDescent="0.3">
      <c r="A73" s="2" t="s">
        <v>25</v>
      </c>
      <c r="B73">
        <v>1.5349999999999999E-3</v>
      </c>
      <c r="C73">
        <v>4.254E-3</v>
      </c>
      <c r="D73">
        <v>3.0899999999999999E-3</v>
      </c>
      <c r="E73">
        <v>1.4333E-3</v>
      </c>
      <c r="F73">
        <v>2.4380000000000001E-3</v>
      </c>
      <c r="G73">
        <v>5.8409999999999998E-3</v>
      </c>
      <c r="H73">
        <v>1.37E-4</v>
      </c>
      <c r="I73">
        <v>7.4300000000000004E-5</v>
      </c>
      <c r="J73">
        <v>1.3234E-3</v>
      </c>
      <c r="K73">
        <v>2.530706725295769E-6</v>
      </c>
      <c r="L73">
        <v>2.8468927397468837E-3</v>
      </c>
      <c r="M73">
        <v>3.9562587945671398E-4</v>
      </c>
      <c r="N73">
        <v>1.338193986544128E-3</v>
      </c>
      <c r="O73">
        <v>3.6002942721996919E-4</v>
      </c>
      <c r="P73">
        <v>1.0431190801053453E-2</v>
      </c>
      <c r="Q73">
        <v>6.3199999999999997E-4</v>
      </c>
    </row>
    <row r="74" spans="1:17" x14ac:dyDescent="0.3">
      <c r="A74" s="16" t="s">
        <v>80</v>
      </c>
      <c r="B74">
        <v>1.14E-3</v>
      </c>
      <c r="C74">
        <v>4.1099999999999999E-3</v>
      </c>
      <c r="D74">
        <v>1.33E-3</v>
      </c>
      <c r="E74">
        <v>1.42E-3</v>
      </c>
      <c r="F74">
        <v>2.33E-3</v>
      </c>
      <c r="G74">
        <v>5.7200000000000003E-3</v>
      </c>
      <c r="H74">
        <v>6.3600000000000001E-5</v>
      </c>
      <c r="I74">
        <v>4.1600000000000002E-5</v>
      </c>
      <c r="J74">
        <v>1.32E-3</v>
      </c>
      <c r="K74">
        <v>2.2208225087316199E-6</v>
      </c>
      <c r="L74">
        <v>2.6688892565290999E-3</v>
      </c>
      <c r="M74">
        <v>2.3019508980874401E-4</v>
      </c>
      <c r="N74">
        <v>2.3327407621863801E-4</v>
      </c>
      <c r="O74">
        <v>5.3319180785983198E-5</v>
      </c>
      <c r="P74">
        <v>1.0348164369413999E-2</v>
      </c>
      <c r="Q74">
        <v>2.63E-4</v>
      </c>
    </row>
    <row r="75" spans="1:17" x14ac:dyDescent="0.3">
      <c r="A75" s="16" t="s">
        <v>79</v>
      </c>
      <c r="B75">
        <v>3.9500000000000001E-4</v>
      </c>
      <c r="C75">
        <v>1.44E-4</v>
      </c>
      <c r="D75">
        <v>1.7600000000000001E-3</v>
      </c>
      <c r="E75">
        <v>1.33E-5</v>
      </c>
      <c r="F75">
        <v>1.08E-4</v>
      </c>
      <c r="G75">
        <v>1.21E-4</v>
      </c>
      <c r="H75">
        <v>7.3399999999999995E-5</v>
      </c>
      <c r="I75">
        <v>3.2700000000000002E-5</v>
      </c>
      <c r="J75">
        <v>3.4000000000000001E-6</v>
      </c>
      <c r="K75">
        <v>3.09884216564149E-7</v>
      </c>
      <c r="L75">
        <v>1.7800348321778399E-4</v>
      </c>
      <c r="M75">
        <v>1.6543078964797E-4</v>
      </c>
      <c r="N75">
        <v>1.1049199103254899E-3</v>
      </c>
      <c r="O75">
        <v>3.0671024643398598E-4</v>
      </c>
      <c r="P75">
        <v>8.3026431639454106E-5</v>
      </c>
      <c r="Q75">
        <v>3.6900000000000002E-4</v>
      </c>
    </row>
    <row r="76" spans="1:17" x14ac:dyDescent="0.3">
      <c r="A76" s="2" t="s">
        <v>23</v>
      </c>
      <c r="B76">
        <v>1.3370000000000001E-3</v>
      </c>
      <c r="C76">
        <v>3.336E-3</v>
      </c>
      <c r="D76">
        <v>3.0600000000000002E-3</v>
      </c>
      <c r="E76">
        <v>1.1054000000000001E-3</v>
      </c>
      <c r="F76">
        <v>1.9250000000000001E-3</v>
      </c>
      <c r="G76">
        <v>4.5500000000000002E-3</v>
      </c>
      <c r="H76">
        <v>1.338E-4</v>
      </c>
      <c r="I76">
        <v>6.9859341904324998E-5</v>
      </c>
      <c r="J76">
        <v>1.0267192860826104E-3</v>
      </c>
      <c r="K76">
        <v>2.0723710282888918E-6</v>
      </c>
      <c r="L76">
        <v>2.2661765414222481E-3</v>
      </c>
      <c r="M76">
        <v>3.6862725603814799E-4</v>
      </c>
      <c r="N76">
        <v>1.455030609714783E-3</v>
      </c>
      <c r="O76">
        <v>3.9506694487590881E-4</v>
      </c>
      <c r="P76">
        <v>8.0861544950711333E-3</v>
      </c>
      <c r="Q76">
        <v>6.2903126528550705E-4</v>
      </c>
    </row>
    <row r="77" spans="1:17" x14ac:dyDescent="0.3">
      <c r="A77" s="16" t="s">
        <v>80</v>
      </c>
      <c r="B77">
        <v>8.8099999999999995E-4</v>
      </c>
      <c r="C77">
        <v>3.1700000000000001E-3</v>
      </c>
      <c r="D77">
        <v>1.0300000000000001E-3</v>
      </c>
      <c r="E77">
        <v>1.09E-3</v>
      </c>
      <c r="F77">
        <v>1.8E-3</v>
      </c>
      <c r="G77">
        <v>4.4099999999999999E-3</v>
      </c>
      <c r="H77">
        <v>4.9100000000000001E-5</v>
      </c>
      <c r="I77">
        <v>3.21179998450385E-5</v>
      </c>
      <c r="J77">
        <v>1.0228004555303801E-3</v>
      </c>
      <c r="K77">
        <v>1.71481231686872E-6</v>
      </c>
      <c r="L77">
        <v>2.0607879069401902E-3</v>
      </c>
      <c r="M77">
        <v>1.7774557567510599E-4</v>
      </c>
      <c r="N77">
        <v>1.8012302087768299E-4</v>
      </c>
      <c r="O77">
        <v>4.1170506682847799E-5</v>
      </c>
      <c r="P77">
        <v>7.9903547662563794E-3</v>
      </c>
      <c r="Q77">
        <v>2.02700988147081E-4</v>
      </c>
    </row>
    <row r="78" spans="1:17" x14ac:dyDescent="0.3">
      <c r="A78" s="16" t="s">
        <v>79</v>
      </c>
      <c r="B78">
        <v>4.5600000000000003E-4</v>
      </c>
      <c r="C78">
        <v>1.66E-4</v>
      </c>
      <c r="D78">
        <v>2.0300000000000001E-3</v>
      </c>
      <c r="E78">
        <v>1.5400000000000002E-5</v>
      </c>
      <c r="F78">
        <v>1.25E-4</v>
      </c>
      <c r="G78">
        <v>1.3999999999999999E-4</v>
      </c>
      <c r="H78">
        <v>8.4699999999999999E-5</v>
      </c>
      <c r="I78">
        <v>3.7741342059286498E-5</v>
      </c>
      <c r="J78">
        <v>3.9188305522303603E-6</v>
      </c>
      <c r="K78">
        <v>3.5755871142017198E-7</v>
      </c>
      <c r="L78">
        <v>2.0538863448205799E-4</v>
      </c>
      <c r="M78">
        <v>1.9088168036304201E-4</v>
      </c>
      <c r="N78">
        <v>1.2749075888371E-3</v>
      </c>
      <c r="O78">
        <v>3.5389643819306102E-4</v>
      </c>
      <c r="P78">
        <v>9.5799728814753904E-5</v>
      </c>
      <c r="Q78">
        <v>4.2633027713842602E-4</v>
      </c>
    </row>
    <row r="79" spans="1:17" x14ac:dyDescent="0.3">
      <c r="A79" s="2" t="s">
        <v>17</v>
      </c>
      <c r="B79">
        <v>1.165E-3</v>
      </c>
      <c r="C79">
        <v>9.1200000000000005E-4</v>
      </c>
      <c r="D79">
        <v>1.091E-2</v>
      </c>
      <c r="E79">
        <v>3.8003970000000001E-3</v>
      </c>
      <c r="F79">
        <v>7.2199999999999999E-4</v>
      </c>
      <c r="G79">
        <v>8.7300000000000008E-4</v>
      </c>
      <c r="H79">
        <v>6.5659999999999991E-4</v>
      </c>
      <c r="I79">
        <v>1.3631639685574438E-4</v>
      </c>
      <c r="J79">
        <v>6.8600534647298453E-5</v>
      </c>
      <c r="K79">
        <v>8.0653048834994078E-6</v>
      </c>
      <c r="L79">
        <v>5.4559373564457741E-4</v>
      </c>
      <c r="M79">
        <v>9.9099269848619705E-4</v>
      </c>
      <c r="N79">
        <v>1.8927658399061618E-3</v>
      </c>
      <c r="O79">
        <v>2.4014940935861109E-2</v>
      </c>
      <c r="P79">
        <v>1.4295321655647747E-4</v>
      </c>
      <c r="Q79">
        <v>1.286085974057763E-3</v>
      </c>
    </row>
    <row r="80" spans="1:17" x14ac:dyDescent="0.3">
      <c r="A80" s="16" t="s">
        <v>62</v>
      </c>
      <c r="B80">
        <v>6.7699999999999998E-4</v>
      </c>
      <c r="C80">
        <v>6.2799999999999998E-4</v>
      </c>
      <c r="D80">
        <v>0.01</v>
      </c>
      <c r="E80">
        <v>3.8E-3</v>
      </c>
      <c r="F80">
        <v>3.57E-4</v>
      </c>
      <c r="G80">
        <v>4.3100000000000001E-4</v>
      </c>
      <c r="H80">
        <v>6.1399999999999996E-4</v>
      </c>
      <c r="I80">
        <v>1.3491189735019901E-4</v>
      </c>
      <c r="J80">
        <v>6.8468254251479797E-5</v>
      </c>
      <c r="K80">
        <v>8.0653048776822498E-6</v>
      </c>
      <c r="L80">
        <v>4.60991639017621E-4</v>
      </c>
      <c r="M80">
        <v>4.9034490226354001E-4</v>
      </c>
      <c r="N80">
        <v>1.07141583646945E-3</v>
      </c>
      <c r="O80">
        <v>2.4012891876024699E-2</v>
      </c>
      <c r="P80">
        <v>1.4250411214141199E-4</v>
      </c>
      <c r="Q80">
        <v>1.143984137412E-3</v>
      </c>
    </row>
    <row r="81" spans="1:17" x14ac:dyDescent="0.3">
      <c r="A81" s="16" t="s">
        <v>57</v>
      </c>
      <c r="B81">
        <v>4.8799999999999999E-4</v>
      </c>
      <c r="C81">
        <v>2.8400000000000002E-4</v>
      </c>
      <c r="D81">
        <v>9.1E-4</v>
      </c>
      <c r="E81">
        <v>3.9700000000000002E-7</v>
      </c>
      <c r="F81">
        <v>3.6499999999999998E-4</v>
      </c>
      <c r="G81">
        <v>4.4200000000000001E-4</v>
      </c>
      <c r="H81">
        <v>4.2599999999999999E-5</v>
      </c>
      <c r="I81">
        <v>1.40449950554538E-6</v>
      </c>
      <c r="J81">
        <v>1.3228039581865501E-7</v>
      </c>
      <c r="K81">
        <v>5.8171577846265497E-15</v>
      </c>
      <c r="L81">
        <v>8.4602096626956396E-5</v>
      </c>
      <c r="M81">
        <v>5.0064779622265704E-4</v>
      </c>
      <c r="N81">
        <v>8.2135000343671195E-4</v>
      </c>
      <c r="O81">
        <v>2.0490598364116E-6</v>
      </c>
      <c r="P81">
        <v>4.4910441506546997E-7</v>
      </c>
      <c r="Q81">
        <v>1.42101836645763E-4</v>
      </c>
    </row>
    <row r="82" spans="1:17" x14ac:dyDescent="0.3">
      <c r="A82" s="2" t="s">
        <v>10</v>
      </c>
      <c r="B82">
        <v>1.1389999999999998E-3</v>
      </c>
      <c r="C82">
        <v>5.4269999999999991E-4</v>
      </c>
      <c r="D82">
        <v>1.6681999999999999E-3</v>
      </c>
      <c r="E82">
        <v>2.368E-6</v>
      </c>
      <c r="F82">
        <v>6.1939999999999999E-4</v>
      </c>
      <c r="G82">
        <v>7.4240000000000005E-4</v>
      </c>
      <c r="H82">
        <v>9.1199999999999994E-5</v>
      </c>
      <c r="I82">
        <v>2.8632577565688323E-5</v>
      </c>
      <c r="J82">
        <v>2.9179870110839302E-6</v>
      </c>
      <c r="K82">
        <v>1.2562874304933165E-13</v>
      </c>
      <c r="L82">
        <v>2.6036196689337138E-4</v>
      </c>
      <c r="M82">
        <v>8.8003809639325848E-4</v>
      </c>
      <c r="N82">
        <v>1.9460304208077899E-3</v>
      </c>
      <c r="O82">
        <v>1.6155857459905949E-5</v>
      </c>
      <c r="P82">
        <v>8.2487760726689959E-5</v>
      </c>
      <c r="Q82">
        <v>3.6198739014130509E-4</v>
      </c>
    </row>
    <row r="83" spans="1:17" x14ac:dyDescent="0.3">
      <c r="A83" s="16" t="s">
        <v>57</v>
      </c>
      <c r="B83">
        <v>6.6399999999999999E-4</v>
      </c>
      <c r="C83">
        <v>3.8699999999999997E-4</v>
      </c>
      <c r="D83">
        <v>1.24E-3</v>
      </c>
      <c r="E83">
        <v>5.4099999999999999E-7</v>
      </c>
      <c r="F83">
        <v>4.9700000000000005E-4</v>
      </c>
      <c r="G83">
        <v>6.02E-4</v>
      </c>
      <c r="H83">
        <v>5.8E-5</v>
      </c>
      <c r="I83">
        <v>1.9118921929962699E-6</v>
      </c>
      <c r="J83">
        <v>1.8006831262923001E-7</v>
      </c>
      <c r="K83">
        <v>7.9186774434187393E-15</v>
      </c>
      <c r="L83">
        <v>1.1516564257485099E-4</v>
      </c>
      <c r="M83">
        <v>6.81512958359641E-4</v>
      </c>
      <c r="N83">
        <v>1.11807277474144E-3</v>
      </c>
      <c r="O83">
        <v>2.7893078557520199E-6</v>
      </c>
      <c r="P83">
        <v>6.1134889803356305E-7</v>
      </c>
      <c r="Q83">
        <v>1.9343786951919799E-4</v>
      </c>
    </row>
    <row r="84" spans="1:17" x14ac:dyDescent="0.3">
      <c r="A84" s="16" t="s">
        <v>58</v>
      </c>
      <c r="B84">
        <v>2.6699999999999998E-4</v>
      </c>
      <c r="C84">
        <v>1.02E-4</v>
      </c>
      <c r="D84">
        <v>8.3200000000000003E-5</v>
      </c>
      <c r="E84">
        <v>5.4700000000000001E-7</v>
      </c>
      <c r="F84">
        <v>6.6500000000000004E-5</v>
      </c>
      <c r="G84">
        <v>7.75E-5</v>
      </c>
      <c r="H84">
        <v>1.0900000000000001E-5</v>
      </c>
      <c r="I84">
        <v>8.0112033327005507E-6</v>
      </c>
      <c r="J84">
        <v>1.4118537306960401E-6</v>
      </c>
      <c r="K84">
        <v>3.1395676220163E-14</v>
      </c>
      <c r="L84">
        <v>1.16413389821471E-4</v>
      </c>
      <c r="M84">
        <v>1.07089231118536E-4</v>
      </c>
      <c r="N84">
        <v>3.6149094731997898E-4</v>
      </c>
      <c r="O84">
        <v>1.1410518224539499E-5</v>
      </c>
      <c r="P84">
        <v>6.3450426927855004E-5</v>
      </c>
      <c r="Q84">
        <v>9.9511021024280302E-5</v>
      </c>
    </row>
    <row r="85" spans="1:17" x14ac:dyDescent="0.3">
      <c r="A85" s="16" t="s">
        <v>59</v>
      </c>
      <c r="B85">
        <v>2.0799999999999999E-4</v>
      </c>
      <c r="C85">
        <v>5.3699999999999997E-5</v>
      </c>
      <c r="D85">
        <v>3.4499999999999998E-4</v>
      </c>
      <c r="E85">
        <v>1.28E-6</v>
      </c>
      <c r="F85">
        <v>5.5899999999999997E-5</v>
      </c>
      <c r="G85">
        <v>6.2899999999999997E-5</v>
      </c>
      <c r="H85">
        <v>2.23E-5</v>
      </c>
      <c r="I85">
        <v>1.87094820399915E-5</v>
      </c>
      <c r="J85">
        <v>1.3260649677586601E-6</v>
      </c>
      <c r="K85">
        <v>8.6314389385749902E-14</v>
      </c>
      <c r="L85">
        <v>2.8782934497049401E-5</v>
      </c>
      <c r="M85">
        <v>9.1435906915081493E-5</v>
      </c>
      <c r="N85">
        <v>4.66466698746371E-4</v>
      </c>
      <c r="O85">
        <v>1.9560313796144301E-6</v>
      </c>
      <c r="P85">
        <v>1.8425984900801398E-5</v>
      </c>
      <c r="Q85">
        <v>6.9038499597826798E-5</v>
      </c>
    </row>
    <row r="86" spans="1:17" x14ac:dyDescent="0.3">
      <c r="A86" s="2" t="s">
        <v>38</v>
      </c>
      <c r="B86">
        <v>1.0160518251199199E-3</v>
      </c>
      <c r="C86">
        <v>2.2354845050659299E-3</v>
      </c>
      <c r="D86">
        <v>1.02658557635909E-3</v>
      </c>
      <c r="E86">
        <v>6.5041587003160698E-4</v>
      </c>
      <c r="F86">
        <v>1.20008081959485E-3</v>
      </c>
      <c r="G86">
        <v>2.7809716084736197E-3</v>
      </c>
      <c r="H86">
        <v>1.5416551935258061E-4</v>
      </c>
      <c r="I86">
        <v>1.5918908609894669E-4</v>
      </c>
      <c r="J86">
        <v>6.1418434405885697E-4</v>
      </c>
      <c r="K86">
        <v>1.0176444754627369E-6</v>
      </c>
      <c r="L86">
        <v>1.5740148316686149E-3</v>
      </c>
      <c r="M86">
        <v>3.0652845957340801E-4</v>
      </c>
      <c r="N86">
        <v>8.86429764791705E-4</v>
      </c>
      <c r="O86">
        <v>1.1906522852945835E-3</v>
      </c>
      <c r="P86">
        <v>4.7972100048109048E-3</v>
      </c>
      <c r="Q86">
        <v>3.3705350970701301E-4</v>
      </c>
    </row>
    <row r="87" spans="1:17" x14ac:dyDescent="0.3">
      <c r="A87" s="16" t="s">
        <v>80</v>
      </c>
      <c r="B87">
        <v>5.2305182511992005E-4</v>
      </c>
      <c r="C87">
        <v>1.8814845050659299E-3</v>
      </c>
      <c r="D87">
        <v>6.1158557635909E-4</v>
      </c>
      <c r="E87">
        <v>6.49225870031607E-4</v>
      </c>
      <c r="F87">
        <v>1.06608081959485E-3</v>
      </c>
      <c r="G87">
        <v>2.6189716084736199E-3</v>
      </c>
      <c r="H87">
        <v>2.9165519352580601E-5</v>
      </c>
      <c r="I87">
        <v>1.9060190071973701E-5</v>
      </c>
      <c r="J87">
        <v>6.0697338508524301E-4</v>
      </c>
      <c r="K87">
        <v>1.0176427191909501E-6</v>
      </c>
      <c r="L87">
        <v>1.22295938083991E-3</v>
      </c>
      <c r="M87">
        <v>1.05481800646538E-4</v>
      </c>
      <c r="N87">
        <v>1.06892677963477E-4</v>
      </c>
      <c r="O87">
        <v>2.44323334740835E-5</v>
      </c>
      <c r="P87">
        <v>4.7418170907947699E-3</v>
      </c>
      <c r="Q87">
        <v>1.20291406080727E-4</v>
      </c>
    </row>
    <row r="88" spans="1:17" x14ac:dyDescent="0.3">
      <c r="A88" s="16" t="s">
        <v>70</v>
      </c>
      <c r="B88">
        <v>4.9299999999999995E-4</v>
      </c>
      <c r="C88">
        <v>3.5399999999999999E-4</v>
      </c>
      <c r="D88">
        <v>4.15E-4</v>
      </c>
      <c r="E88">
        <v>1.19E-6</v>
      </c>
      <c r="F88">
        <v>1.34E-4</v>
      </c>
      <c r="G88">
        <v>1.6200000000000001E-4</v>
      </c>
      <c r="H88">
        <v>1.25E-4</v>
      </c>
      <c r="I88">
        <v>1.4012889602697299E-4</v>
      </c>
      <c r="J88">
        <v>7.2109589736139297E-6</v>
      </c>
      <c r="K88">
        <v>1.7562717869004899E-12</v>
      </c>
      <c r="L88">
        <v>3.5105545082870501E-4</v>
      </c>
      <c r="M88">
        <v>2.0104665892686999E-4</v>
      </c>
      <c r="N88">
        <v>7.7953708682822805E-4</v>
      </c>
      <c r="O88">
        <v>1.1662199518205E-3</v>
      </c>
      <c r="P88">
        <v>5.5392914016134901E-5</v>
      </c>
      <c r="Q88">
        <v>2.16762103626286E-4</v>
      </c>
    </row>
    <row r="89" spans="1:17" x14ac:dyDescent="0.3">
      <c r="A89" s="2" t="s">
        <v>28</v>
      </c>
      <c r="B89">
        <v>7.8291604932999802E-4</v>
      </c>
      <c r="C89">
        <v>4.17071245276701E-4</v>
      </c>
      <c r="D89">
        <v>1.1239055049844069E-3</v>
      </c>
      <c r="E89">
        <v>8.8188701414263602E-5</v>
      </c>
      <c r="F89">
        <v>2.097376967170679E-4</v>
      </c>
      <c r="G89">
        <v>2.439070835326754E-4</v>
      </c>
      <c r="H89">
        <v>1.6191270796274889E-4</v>
      </c>
      <c r="I89">
        <v>3.6700014624177409E-4</v>
      </c>
      <c r="J89">
        <v>1.1234339663751448E-5</v>
      </c>
      <c r="K89">
        <v>8.928105430391673E-7</v>
      </c>
      <c r="L89">
        <v>3.9840172976336199E-4</v>
      </c>
      <c r="M89">
        <v>3.3696221394671191E-4</v>
      </c>
      <c r="N89">
        <v>1.9997768039382072E-3</v>
      </c>
      <c r="O89">
        <v>4.0106035478560152E-4</v>
      </c>
      <c r="P89">
        <v>4.1570847833657639E-4</v>
      </c>
      <c r="Q89">
        <v>3.9388459794866427E-4</v>
      </c>
    </row>
    <row r="90" spans="1:17" x14ac:dyDescent="0.3">
      <c r="A90" s="16" t="s">
        <v>78</v>
      </c>
      <c r="B90">
        <v>3.3991604932999799E-4</v>
      </c>
      <c r="C90">
        <v>1.3107124527670099E-4</v>
      </c>
      <c r="D90">
        <v>7.68905504984407E-4</v>
      </c>
      <c r="E90">
        <v>8.42447014142636E-5</v>
      </c>
      <c r="F90">
        <v>8.83376967170679E-5</v>
      </c>
      <c r="G90">
        <v>9.7807083532675399E-5</v>
      </c>
      <c r="H90">
        <v>6.1912707962748903E-5</v>
      </c>
      <c r="I90">
        <v>2.3997893211804899E-4</v>
      </c>
      <c r="J90">
        <v>5.35665864447854E-6</v>
      </c>
      <c r="K90">
        <v>6.2755477725840603E-7</v>
      </c>
      <c r="L90">
        <v>1.04777784409739E-4</v>
      </c>
      <c r="M90">
        <v>1.5697606736361601E-4</v>
      </c>
      <c r="N90">
        <v>1.2911293081050801E-3</v>
      </c>
      <c r="O90">
        <v>2.8145104203170499E-5</v>
      </c>
      <c r="P90">
        <v>3.44851117834099E-4</v>
      </c>
      <c r="Q90">
        <v>2.28467382664899E-4</v>
      </c>
    </row>
    <row r="91" spans="1:17" x14ac:dyDescent="0.3">
      <c r="A91" s="16" t="s">
        <v>72</v>
      </c>
      <c r="B91">
        <v>2.7E-4</v>
      </c>
      <c r="C91">
        <v>1.74E-4</v>
      </c>
      <c r="D91">
        <v>2.0599999999999999E-4</v>
      </c>
      <c r="E91">
        <v>5.7400000000000003E-7</v>
      </c>
      <c r="F91">
        <v>7.1000000000000005E-5</v>
      </c>
      <c r="G91">
        <v>8.5500000000000005E-5</v>
      </c>
      <c r="H91">
        <v>6.2799999999999995E-5</v>
      </c>
      <c r="I91">
        <v>7.2451848932079501E-5</v>
      </c>
      <c r="J91">
        <v>2.6318399164423798E-6</v>
      </c>
      <c r="K91">
        <v>1.2757351542459601E-12</v>
      </c>
      <c r="L91">
        <v>1.8490552893817E-4</v>
      </c>
      <c r="M91">
        <v>1.05345385707377E-4</v>
      </c>
      <c r="N91">
        <v>4.13737277467641E-4</v>
      </c>
      <c r="O91">
        <v>5.3303590432630001E-5</v>
      </c>
      <c r="P91">
        <v>2.8300080458315601E-5</v>
      </c>
      <c r="Q91">
        <v>1.0018048548294199E-4</v>
      </c>
    </row>
    <row r="92" spans="1:17" x14ac:dyDescent="0.3">
      <c r="A92" s="16" t="s">
        <v>70</v>
      </c>
      <c r="B92">
        <v>1.73E-4</v>
      </c>
      <c r="C92">
        <v>1.12E-4</v>
      </c>
      <c r="D92">
        <v>1.4899999999999999E-4</v>
      </c>
      <c r="E92">
        <v>3.3699999999999999E-6</v>
      </c>
      <c r="F92">
        <v>5.0399999999999999E-5</v>
      </c>
      <c r="G92">
        <v>6.0600000000000003E-5</v>
      </c>
      <c r="H92">
        <v>3.7200000000000003E-5</v>
      </c>
      <c r="I92">
        <v>5.4569365191645599E-5</v>
      </c>
      <c r="J92">
        <v>3.2458411028305299E-6</v>
      </c>
      <c r="K92">
        <v>2.6525449004560701E-7</v>
      </c>
      <c r="L92">
        <v>1.0871841641545299E-4</v>
      </c>
      <c r="M92">
        <v>7.4640760875718906E-5</v>
      </c>
      <c r="N92">
        <v>2.9491021836548602E-4</v>
      </c>
      <c r="O92">
        <v>3.1961166014980101E-4</v>
      </c>
      <c r="P92">
        <v>4.2557280044161803E-5</v>
      </c>
      <c r="Q92">
        <v>6.52367298008233E-5</v>
      </c>
    </row>
    <row r="93" spans="1:17" x14ac:dyDescent="0.3">
      <c r="A93" s="2" t="s">
        <v>41</v>
      </c>
      <c r="B93">
        <v>7.4325269635641797E-4</v>
      </c>
      <c r="C93">
        <v>4.5200018300124299E-4</v>
      </c>
      <c r="D93">
        <v>1.147661971010335E-3</v>
      </c>
      <c r="E93">
        <v>1.0566363640045019E-6</v>
      </c>
      <c r="F93">
        <v>4.5656283835597897E-4</v>
      </c>
      <c r="G93">
        <v>5.5266349421066003E-4</v>
      </c>
      <c r="H93">
        <v>9.6007425753464999E-5</v>
      </c>
      <c r="I93">
        <v>5.4653513758079272E-5</v>
      </c>
      <c r="J93">
        <v>2.961574481812337E-6</v>
      </c>
      <c r="K93">
        <v>1.0084115525945948E-12</v>
      </c>
      <c r="L93">
        <v>2.42865366538245E-4</v>
      </c>
      <c r="M93">
        <v>6.2873719952280147E-4</v>
      </c>
      <c r="N93">
        <v>1.216971417830015E-3</v>
      </c>
      <c r="O93">
        <v>4.4268814626411321E-5</v>
      </c>
      <c r="P93">
        <v>2.2965179559916999E-5</v>
      </c>
      <c r="Q93">
        <v>2.3476224183653101E-4</v>
      </c>
    </row>
    <row r="94" spans="1:17" x14ac:dyDescent="0.3">
      <c r="A94" s="16" t="s">
        <v>57</v>
      </c>
      <c r="B94">
        <v>5.2825269635641795E-4</v>
      </c>
      <c r="C94">
        <v>3.1000018300124301E-4</v>
      </c>
      <c r="D94">
        <v>9.8566197101033494E-4</v>
      </c>
      <c r="E94">
        <v>5.3263636400450196E-7</v>
      </c>
      <c r="F94">
        <v>3.9886283835597898E-4</v>
      </c>
      <c r="G94">
        <v>4.8316349421066002E-4</v>
      </c>
      <c r="H94">
        <v>4.6207425753465001E-5</v>
      </c>
      <c r="I94">
        <v>1.55008365197197E-6</v>
      </c>
      <c r="J94">
        <v>4.67501602835397E-7</v>
      </c>
      <c r="K94">
        <v>6.4317914681749002E-15</v>
      </c>
      <c r="L94">
        <v>9.2596222785938995E-5</v>
      </c>
      <c r="M94">
        <v>5.4317431998246598E-4</v>
      </c>
      <c r="N94">
        <v>8.8976102079083399E-4</v>
      </c>
      <c r="O94">
        <v>2.2715403001139198E-6</v>
      </c>
      <c r="P94">
        <v>5.2720621987979895E-7</v>
      </c>
      <c r="Q94">
        <v>1.54688336685507E-4</v>
      </c>
    </row>
    <row r="95" spans="1:17" x14ac:dyDescent="0.3">
      <c r="A95" s="16" t="s">
        <v>72</v>
      </c>
      <c r="B95">
        <v>2.1499999999999999E-4</v>
      </c>
      <c r="C95">
        <v>1.4200000000000001E-4</v>
      </c>
      <c r="D95">
        <v>1.6200000000000001E-4</v>
      </c>
      <c r="E95">
        <v>5.2399999999999998E-7</v>
      </c>
      <c r="F95">
        <v>5.77E-5</v>
      </c>
      <c r="G95">
        <v>6.9499999999999995E-5</v>
      </c>
      <c r="H95">
        <v>4.9799999999999998E-5</v>
      </c>
      <c r="I95">
        <v>5.3103430106107302E-5</v>
      </c>
      <c r="J95">
        <v>2.4940728789769399E-6</v>
      </c>
      <c r="K95">
        <v>1.0019797611264199E-12</v>
      </c>
      <c r="L95">
        <v>1.5026914375230601E-4</v>
      </c>
      <c r="M95">
        <v>8.5562879540335507E-5</v>
      </c>
      <c r="N95">
        <v>3.2721039703918103E-4</v>
      </c>
      <c r="O95">
        <v>4.1997274326297401E-5</v>
      </c>
      <c r="P95">
        <v>2.24379733400372E-5</v>
      </c>
      <c r="Q95">
        <v>8.0073905151024002E-5</v>
      </c>
    </row>
    <row r="96" spans="1:17" x14ac:dyDescent="0.3">
      <c r="A96" s="2" t="s">
        <v>40</v>
      </c>
      <c r="B96">
        <v>5.9838776175541702E-4</v>
      </c>
      <c r="C96">
        <v>3.6105605265985804E-4</v>
      </c>
      <c r="D96">
        <v>9.68367814185714E-4</v>
      </c>
      <c r="E96">
        <v>8.0439400267869005E-7</v>
      </c>
      <c r="F96">
        <v>3.8739244437127499E-4</v>
      </c>
      <c r="G96">
        <v>4.69157719769288E-4</v>
      </c>
      <c r="H96">
        <v>7.1515609872312301E-5</v>
      </c>
      <c r="I96">
        <v>3.4168664952439914E-5</v>
      </c>
      <c r="J96">
        <v>1.990900468916326E-6</v>
      </c>
      <c r="K96">
        <v>6.245517302007331E-13</v>
      </c>
      <c r="L96">
        <v>1.744988954796043E-4</v>
      </c>
      <c r="M96">
        <v>5.3146405187916475E-4</v>
      </c>
      <c r="N96">
        <v>9.8595105876546699E-4</v>
      </c>
      <c r="O96">
        <v>2.7946822520391938E-5</v>
      </c>
      <c r="P96">
        <v>1.4328037094143113E-5</v>
      </c>
      <c r="Q96">
        <v>1.8582298806529959E-4</v>
      </c>
    </row>
    <row r="97" spans="1:17" x14ac:dyDescent="0.3">
      <c r="A97" s="16" t="s">
        <v>57</v>
      </c>
      <c r="B97">
        <v>4.6538776175541699E-4</v>
      </c>
      <c r="C97">
        <v>2.7335605265985802E-4</v>
      </c>
      <c r="D97">
        <v>8.6836781418571395E-4</v>
      </c>
      <c r="E97">
        <v>4.8139400267869003E-7</v>
      </c>
      <c r="F97">
        <v>3.5179244437127499E-4</v>
      </c>
      <c r="G97">
        <v>4.2615771976928799E-4</v>
      </c>
      <c r="H97">
        <v>4.0715609872312298E-5</v>
      </c>
      <c r="I97">
        <v>1.36897692584451E-6</v>
      </c>
      <c r="J97">
        <v>4.5044437403398602E-7</v>
      </c>
      <c r="K97">
        <v>5.68168340649104E-15</v>
      </c>
      <c r="L97">
        <v>8.1686992356785196E-5</v>
      </c>
      <c r="M97">
        <v>4.7861702896255602E-4</v>
      </c>
      <c r="N97">
        <v>7.8384997593828405E-4</v>
      </c>
      <c r="O97">
        <v>2.0073191187275398E-6</v>
      </c>
      <c r="P97">
        <v>4.6929531996081299E-7</v>
      </c>
      <c r="Q97">
        <v>1.36364657460273E-4</v>
      </c>
    </row>
    <row r="98" spans="1:17" x14ac:dyDescent="0.3">
      <c r="A98" s="16" t="s">
        <v>72</v>
      </c>
      <c r="B98">
        <v>1.3300000000000001E-4</v>
      </c>
      <c r="C98">
        <v>8.7700000000000004E-5</v>
      </c>
      <c r="D98">
        <v>1E-4</v>
      </c>
      <c r="E98">
        <v>3.2300000000000002E-7</v>
      </c>
      <c r="F98">
        <v>3.5599999999999998E-5</v>
      </c>
      <c r="G98">
        <v>4.3000000000000002E-5</v>
      </c>
      <c r="H98">
        <v>3.0800000000000003E-5</v>
      </c>
      <c r="I98">
        <v>3.2799688026595402E-5</v>
      </c>
      <c r="J98">
        <v>1.5404560948823399E-6</v>
      </c>
      <c r="K98">
        <v>6.1887004679424204E-13</v>
      </c>
      <c r="L98">
        <v>9.2811903122819099E-5</v>
      </c>
      <c r="M98">
        <v>5.2847022916608699E-5</v>
      </c>
      <c r="N98">
        <v>2.0210108282718299E-4</v>
      </c>
      <c r="O98">
        <v>2.5939503401664399E-5</v>
      </c>
      <c r="P98">
        <v>1.38587417741823E-5</v>
      </c>
      <c r="Q98">
        <v>4.9458330605026597E-5</v>
      </c>
    </row>
    <row r="99" spans="1:17" x14ac:dyDescent="0.3">
      <c r="A99" s="2" t="s">
        <v>14</v>
      </c>
      <c r="B99">
        <v>5.8219999999999995E-4</v>
      </c>
      <c r="C99">
        <v>5.9060000000000004E-4</v>
      </c>
      <c r="D99">
        <v>6.2100000000000002E-4</v>
      </c>
      <c r="E99">
        <v>2.1139999999999999E-4</v>
      </c>
      <c r="F99">
        <v>2.3690000000000001E-4</v>
      </c>
      <c r="G99">
        <v>2.743E-4</v>
      </c>
      <c r="H99">
        <v>7.1915900000000005E-2</v>
      </c>
      <c r="I99">
        <v>4.07977312569363E-5</v>
      </c>
      <c r="J99">
        <v>9.0777199021792605E-5</v>
      </c>
      <c r="K99">
        <v>1.2862638782326199E-6</v>
      </c>
      <c r="L99">
        <v>5.9562489519130401E-4</v>
      </c>
      <c r="M99">
        <v>3.4051886269157442E-4</v>
      </c>
      <c r="N99">
        <v>1.748484827483777E-3</v>
      </c>
      <c r="O99">
        <v>1.7405906452327891E-5</v>
      </c>
      <c r="P99">
        <v>1.2201460977093891E-2</v>
      </c>
      <c r="Q99">
        <v>3.8723450376978801E-4</v>
      </c>
    </row>
    <row r="100" spans="1:17" x14ac:dyDescent="0.3">
      <c r="A100" s="16" t="s">
        <v>14</v>
      </c>
      <c r="B100">
        <v>4.9100000000000001E-4</v>
      </c>
      <c r="C100">
        <v>5.1400000000000003E-4</v>
      </c>
      <c r="D100">
        <v>4.4200000000000001E-4</v>
      </c>
      <c r="E100">
        <v>2.7399999999999999E-5</v>
      </c>
      <c r="F100">
        <v>1.8900000000000001E-4</v>
      </c>
      <c r="G100">
        <v>2.2499999999999999E-4</v>
      </c>
      <c r="H100">
        <v>7.1900000000000006E-2</v>
      </c>
      <c r="I100">
        <v>0</v>
      </c>
      <c r="J100">
        <v>0</v>
      </c>
      <c r="K100">
        <v>0</v>
      </c>
      <c r="L100">
        <v>4.5726354748114897E-4</v>
      </c>
      <c r="M100">
        <v>2.78458716433917E-4</v>
      </c>
      <c r="N100">
        <v>1.6015008928222201E-3</v>
      </c>
      <c r="O100">
        <v>6.6086415416599898E-6</v>
      </c>
      <c r="P100">
        <v>4.45171575565791E-4</v>
      </c>
      <c r="Q100">
        <v>3.5106170665120701E-4</v>
      </c>
    </row>
    <row r="101" spans="1:17" x14ac:dyDescent="0.3">
      <c r="A101" s="16" t="s">
        <v>56</v>
      </c>
      <c r="B101">
        <v>9.1199999999999994E-5</v>
      </c>
      <c r="C101">
        <v>7.6600000000000005E-5</v>
      </c>
      <c r="D101">
        <v>1.7899999999999999E-4</v>
      </c>
      <c r="E101">
        <v>1.84E-4</v>
      </c>
      <c r="F101">
        <v>4.7899999999999999E-5</v>
      </c>
      <c r="G101">
        <v>4.9299999999999999E-5</v>
      </c>
      <c r="H101">
        <v>1.59E-5</v>
      </c>
      <c r="I101">
        <v>4.07977312569363E-5</v>
      </c>
      <c r="J101">
        <v>9.0777199021792605E-5</v>
      </c>
      <c r="K101">
        <v>1.2862638782326199E-6</v>
      </c>
      <c r="L101">
        <v>1.3836134771015501E-4</v>
      </c>
      <c r="M101">
        <v>6.2060146257657405E-5</v>
      </c>
      <c r="N101">
        <v>1.46983934661557E-4</v>
      </c>
      <c r="O101">
        <v>1.0797264910667901E-5</v>
      </c>
      <c r="P101">
        <v>1.17562894015281E-2</v>
      </c>
      <c r="Q101">
        <v>3.6172797118581E-5</v>
      </c>
    </row>
    <row r="102" spans="1:17" x14ac:dyDescent="0.3">
      <c r="A102" s="2" t="s">
        <v>24</v>
      </c>
      <c r="B102">
        <v>5.2300000000000003E-4</v>
      </c>
      <c r="C102">
        <v>1.8799999999999999E-3</v>
      </c>
      <c r="D102">
        <v>6.1200000000000002E-4</v>
      </c>
      <c r="E102">
        <v>6.4899999999999995E-4</v>
      </c>
      <c r="F102">
        <v>1.07E-3</v>
      </c>
      <c r="G102">
        <v>2.6199999999999999E-3</v>
      </c>
      <c r="H102">
        <v>2.9200000000000002E-5</v>
      </c>
      <c r="I102">
        <v>1.9060190071973701E-5</v>
      </c>
      <c r="J102">
        <v>6.0697338508524301E-4</v>
      </c>
      <c r="K102">
        <v>1.0176427191909501E-6</v>
      </c>
      <c r="L102">
        <v>1.22295938083991E-3</v>
      </c>
      <c r="M102">
        <v>1.05481800646538E-4</v>
      </c>
      <c r="N102">
        <v>1.06892677963477E-4</v>
      </c>
      <c r="O102">
        <v>2.44323334740835E-5</v>
      </c>
      <c r="P102">
        <v>4.7418170907947699E-3</v>
      </c>
      <c r="Q102">
        <v>1.20291406080727E-4</v>
      </c>
    </row>
    <row r="103" spans="1:17" x14ac:dyDescent="0.3">
      <c r="A103" s="16" t="s">
        <v>80</v>
      </c>
      <c r="B103">
        <v>5.2300000000000003E-4</v>
      </c>
      <c r="C103">
        <v>1.8799999999999999E-3</v>
      </c>
      <c r="D103">
        <v>6.1200000000000002E-4</v>
      </c>
      <c r="E103">
        <v>6.4899999999999995E-4</v>
      </c>
      <c r="F103">
        <v>1.07E-3</v>
      </c>
      <c r="G103">
        <v>2.6199999999999999E-3</v>
      </c>
      <c r="H103">
        <v>2.9200000000000002E-5</v>
      </c>
      <c r="I103">
        <v>1.9060190071973701E-5</v>
      </c>
      <c r="J103">
        <v>6.0697338508524301E-4</v>
      </c>
      <c r="K103">
        <v>1.0176427191909501E-6</v>
      </c>
      <c r="L103">
        <v>1.22295938083991E-3</v>
      </c>
      <c r="M103">
        <v>1.05481800646538E-4</v>
      </c>
      <c r="N103">
        <v>1.06892677963477E-4</v>
      </c>
      <c r="O103">
        <v>2.44323334740835E-5</v>
      </c>
      <c r="P103">
        <v>4.7418170907947699E-3</v>
      </c>
      <c r="Q103">
        <v>1.20291406080727E-4</v>
      </c>
    </row>
    <row r="104" spans="1:17" x14ac:dyDescent="0.3">
      <c r="A104" s="2" t="s">
        <v>34</v>
      </c>
      <c r="B104">
        <v>4.7472979754445898E-4</v>
      </c>
      <c r="C104">
        <v>4.6060482663319699E-4</v>
      </c>
      <c r="D104">
        <v>5.4613708845507099E-4</v>
      </c>
      <c r="E104">
        <v>3.3312838065919601E-6</v>
      </c>
      <c r="F104">
        <v>2.2598709520592499E-4</v>
      </c>
      <c r="G104">
        <v>2.7149931501001701E-4</v>
      </c>
      <c r="H104">
        <v>1.6556272019584199E-2</v>
      </c>
      <c r="I104">
        <v>4.3128103589112898E-5</v>
      </c>
      <c r="J104">
        <v>1.6433069546036099E-5</v>
      </c>
      <c r="K104">
        <v>2.38995755439258E-13</v>
      </c>
      <c r="L104">
        <v>7.3626483073874498E-4</v>
      </c>
      <c r="M104">
        <v>3.2517136798030201E-4</v>
      </c>
      <c r="N104">
        <v>7.5870275017795002E-4</v>
      </c>
      <c r="O104">
        <v>1.0225397224980499E-3</v>
      </c>
      <c r="P104">
        <v>2.7500858680716198E-4</v>
      </c>
      <c r="Q104">
        <v>2.6847324411218601E-4</v>
      </c>
    </row>
    <row r="105" spans="1:17" x14ac:dyDescent="0.3">
      <c r="A105" s="16" t="s">
        <v>90</v>
      </c>
      <c r="B105">
        <v>4.7472979754445898E-4</v>
      </c>
      <c r="C105">
        <v>4.6060482663319699E-4</v>
      </c>
      <c r="D105">
        <v>5.4613708845507099E-4</v>
      </c>
      <c r="E105">
        <v>3.3312838065919601E-6</v>
      </c>
      <c r="F105">
        <v>2.2598709520592499E-4</v>
      </c>
      <c r="G105">
        <v>2.7149931501001701E-4</v>
      </c>
      <c r="H105">
        <v>1.6556272019584199E-2</v>
      </c>
      <c r="I105">
        <v>4.3128103589112898E-5</v>
      </c>
      <c r="J105">
        <v>1.6433069546036099E-5</v>
      </c>
      <c r="K105">
        <v>2.38995755439258E-13</v>
      </c>
      <c r="L105">
        <v>7.3626483073874498E-4</v>
      </c>
      <c r="M105">
        <v>3.2517136798030201E-4</v>
      </c>
      <c r="N105">
        <v>7.5870275017795002E-4</v>
      </c>
      <c r="O105">
        <v>1.0225397224980499E-3</v>
      </c>
      <c r="P105">
        <v>2.7500858680716198E-4</v>
      </c>
      <c r="Q105">
        <v>2.6847324411218601E-4</v>
      </c>
    </row>
    <row r="106" spans="1:17" x14ac:dyDescent="0.3">
      <c r="A106" s="2" t="s">
        <v>47</v>
      </c>
      <c r="B106">
        <v>1.46E-4</v>
      </c>
      <c r="C106">
        <v>9.4199999999999999E-5</v>
      </c>
      <c r="D106">
        <v>1.12E-4</v>
      </c>
      <c r="E106">
        <v>3.1100000000000002E-7</v>
      </c>
      <c r="F106">
        <v>3.8399999999999998E-5</v>
      </c>
      <c r="G106">
        <v>4.6300000000000001E-5</v>
      </c>
      <c r="H106">
        <v>3.4E-5</v>
      </c>
      <c r="I106">
        <v>3.9244751504876401E-5</v>
      </c>
      <c r="J106">
        <v>1.4255799547396199E-6</v>
      </c>
      <c r="K106">
        <v>6.9102320854989396E-13</v>
      </c>
      <c r="L106">
        <v>1.0015716150817499E-4</v>
      </c>
      <c r="M106">
        <v>5.70620839248292E-5</v>
      </c>
      <c r="N106">
        <v>2.24107691961639E-4</v>
      </c>
      <c r="O106">
        <v>2.8872778151007901E-5</v>
      </c>
      <c r="P106">
        <v>1.53292102482491E-5</v>
      </c>
      <c r="Q106">
        <v>5.4264429636593501E-5</v>
      </c>
    </row>
    <row r="107" spans="1:17" x14ac:dyDescent="0.3">
      <c r="A107" s="16" t="s">
        <v>72</v>
      </c>
      <c r="B107">
        <v>1.46E-4</v>
      </c>
      <c r="C107">
        <v>9.4199999999999999E-5</v>
      </c>
      <c r="D107">
        <v>1.12E-4</v>
      </c>
      <c r="E107">
        <v>3.1100000000000002E-7</v>
      </c>
      <c r="F107">
        <v>3.8399999999999998E-5</v>
      </c>
      <c r="G107">
        <v>4.6300000000000001E-5</v>
      </c>
      <c r="H107">
        <v>3.4E-5</v>
      </c>
      <c r="I107">
        <v>3.9244751504876401E-5</v>
      </c>
      <c r="J107">
        <v>1.4255799547396199E-6</v>
      </c>
      <c r="K107">
        <v>6.9102320854989396E-13</v>
      </c>
      <c r="L107">
        <v>1.0015716150817499E-4</v>
      </c>
      <c r="M107">
        <v>5.70620839248292E-5</v>
      </c>
      <c r="N107">
        <v>2.24107691961639E-4</v>
      </c>
      <c r="O107">
        <v>2.8872778151007901E-5</v>
      </c>
      <c r="P107">
        <v>1.53292102482491E-5</v>
      </c>
      <c r="Q107">
        <v>5.4264429636593501E-5</v>
      </c>
    </row>
    <row r="108" spans="1:17" x14ac:dyDescent="0.3">
      <c r="A108" s="2" t="s">
        <v>21</v>
      </c>
      <c r="B108">
        <v>1.2989999999999999E-4</v>
      </c>
      <c r="C108">
        <v>6.3100000000000002E-5</v>
      </c>
      <c r="D108">
        <v>2.4249999999999999E-4</v>
      </c>
      <c r="E108">
        <v>6.9263999999999994E-6</v>
      </c>
      <c r="F108">
        <v>5.5999999999999999E-5</v>
      </c>
      <c r="G108">
        <v>6.7019999999999992E-5</v>
      </c>
      <c r="H108">
        <v>3.5259999999999998E-5</v>
      </c>
      <c r="I108">
        <v>4.1343E-5</v>
      </c>
      <c r="J108">
        <v>2.6230000000000001E-6</v>
      </c>
      <c r="K108">
        <v>2.8600014279899996E-7</v>
      </c>
      <c r="L108">
        <v>4.3510000000000002E-5</v>
      </c>
      <c r="M108">
        <v>6.7600000000000003E-5</v>
      </c>
      <c r="N108">
        <v>3.5270000000000001E-4</v>
      </c>
      <c r="O108">
        <v>1.1064000000000001E-5</v>
      </c>
      <c r="P108">
        <v>1.3426E-5</v>
      </c>
      <c r="Q108">
        <v>5.1399999999999996E-5</v>
      </c>
    </row>
    <row r="109" spans="1:17" x14ac:dyDescent="0.3">
      <c r="A109" s="16" t="s">
        <v>77</v>
      </c>
      <c r="B109">
        <v>7.2999999999999999E-5</v>
      </c>
      <c r="C109">
        <v>2.0299999999999999E-5</v>
      </c>
      <c r="D109">
        <v>1.6899999999999999E-4</v>
      </c>
      <c r="E109">
        <v>6.46E-6</v>
      </c>
      <c r="F109">
        <v>1.56E-5</v>
      </c>
      <c r="G109">
        <v>1.77E-5</v>
      </c>
      <c r="H109">
        <v>2.5700000000000001E-5</v>
      </c>
      <c r="I109">
        <v>3.3099999999999998E-5</v>
      </c>
      <c r="J109">
        <v>1.1200000000000001E-6</v>
      </c>
      <c r="K109">
        <v>2.8599999999999999E-7</v>
      </c>
      <c r="L109">
        <v>1.4800000000000001E-5</v>
      </c>
      <c r="M109">
        <v>2.5599999999999999E-5</v>
      </c>
      <c r="N109">
        <v>2.6200000000000003E-4</v>
      </c>
      <c r="O109">
        <v>4.8400000000000002E-6</v>
      </c>
      <c r="P109">
        <v>1.01E-5</v>
      </c>
      <c r="Q109">
        <v>2.97E-5</v>
      </c>
    </row>
    <row r="110" spans="1:17" x14ac:dyDescent="0.3">
      <c r="A110" s="16" t="s">
        <v>72</v>
      </c>
      <c r="B110">
        <v>3.0000000000000001E-5</v>
      </c>
      <c r="C110">
        <v>1.9400000000000001E-5</v>
      </c>
      <c r="D110">
        <v>2.3200000000000001E-5</v>
      </c>
      <c r="E110">
        <v>6.4399999999999994E-8</v>
      </c>
      <c r="F110">
        <v>7.9000000000000006E-6</v>
      </c>
      <c r="G110">
        <v>9.5200000000000003E-6</v>
      </c>
      <c r="H110">
        <v>6.99E-6</v>
      </c>
      <c r="I110">
        <v>8.0600000000000008E-6</v>
      </c>
      <c r="J110">
        <v>2.9299999999999999E-7</v>
      </c>
      <c r="K110">
        <v>1.42E-13</v>
      </c>
      <c r="L110">
        <v>2.0599999999999999E-5</v>
      </c>
      <c r="M110">
        <v>1.1800000000000001E-5</v>
      </c>
      <c r="N110">
        <v>4.6199999999999998E-5</v>
      </c>
      <c r="O110">
        <v>5.9200000000000001E-6</v>
      </c>
      <c r="P110">
        <v>3.1499999999999999E-6</v>
      </c>
      <c r="Q110">
        <v>1.1199999999999999E-5</v>
      </c>
    </row>
    <row r="111" spans="1:17" x14ac:dyDescent="0.3">
      <c r="A111" s="16" t="s">
        <v>57</v>
      </c>
      <c r="B111">
        <v>2.69E-5</v>
      </c>
      <c r="C111">
        <v>2.34E-5</v>
      </c>
      <c r="D111">
        <v>5.0300000000000003E-5</v>
      </c>
      <c r="E111">
        <v>4.0200000000000003E-7</v>
      </c>
      <c r="F111">
        <v>3.2499999999999997E-5</v>
      </c>
      <c r="G111">
        <v>3.9799999999999998E-5</v>
      </c>
      <c r="H111">
        <v>2.57E-6</v>
      </c>
      <c r="I111">
        <v>1.8300000000000001E-7</v>
      </c>
      <c r="J111">
        <v>1.2100000000000001E-6</v>
      </c>
      <c r="K111">
        <v>7.9899999999999997E-16</v>
      </c>
      <c r="L111">
        <v>8.1100000000000003E-6</v>
      </c>
      <c r="M111">
        <v>3.0199999999999999E-5</v>
      </c>
      <c r="N111">
        <v>4.4499999999999997E-5</v>
      </c>
      <c r="O111">
        <v>3.0400000000000002E-7</v>
      </c>
      <c r="P111">
        <v>1.7599999999999999E-7</v>
      </c>
      <c r="Q111">
        <v>1.0499999999999999E-5</v>
      </c>
    </row>
    <row r="112" spans="1:17" x14ac:dyDescent="0.3">
      <c r="A112" s="2" t="s">
        <v>46</v>
      </c>
      <c r="B112">
        <v>1.2400000000000001E-4</v>
      </c>
      <c r="C112">
        <v>7.9699999999999999E-5</v>
      </c>
      <c r="D112">
        <v>9.4599999999999996E-5</v>
      </c>
      <c r="E112">
        <v>2.6300000000000001E-7</v>
      </c>
      <c r="F112">
        <v>3.2499999999999997E-5</v>
      </c>
      <c r="G112">
        <v>3.9199999999999997E-5</v>
      </c>
      <c r="H112">
        <v>2.8799999999999999E-5</v>
      </c>
      <c r="I112">
        <v>3.3207097427203101E-5</v>
      </c>
      <c r="J112">
        <v>1.2062599617027499E-6</v>
      </c>
      <c r="K112">
        <v>5.8471194569606704E-13</v>
      </c>
      <c r="L112">
        <v>8.4748367429994398E-5</v>
      </c>
      <c r="M112">
        <v>4.8283301782547701E-5</v>
      </c>
      <c r="N112">
        <v>1.89629585506002E-4</v>
      </c>
      <c r="O112">
        <v>2.44308122816221E-5</v>
      </c>
      <c r="P112">
        <v>1.2970870210054401E-5</v>
      </c>
      <c r="Q112">
        <v>4.5916055846348303E-5</v>
      </c>
    </row>
    <row r="113" spans="1:17" x14ac:dyDescent="0.3">
      <c r="A113" s="16" t="s">
        <v>72</v>
      </c>
      <c r="B113">
        <v>1.2400000000000001E-4</v>
      </c>
      <c r="C113">
        <v>7.9699999999999999E-5</v>
      </c>
      <c r="D113">
        <v>9.4599999999999996E-5</v>
      </c>
      <c r="E113">
        <v>2.6300000000000001E-7</v>
      </c>
      <c r="F113">
        <v>3.2499999999999997E-5</v>
      </c>
      <c r="G113">
        <v>3.9199999999999997E-5</v>
      </c>
      <c r="H113">
        <v>2.8799999999999999E-5</v>
      </c>
      <c r="I113">
        <v>3.3207097427203101E-5</v>
      </c>
      <c r="J113">
        <v>1.2062599617027499E-6</v>
      </c>
      <c r="K113">
        <v>5.8471194569606704E-13</v>
      </c>
      <c r="L113">
        <v>8.4748367429994398E-5</v>
      </c>
      <c r="M113">
        <v>4.8283301782547701E-5</v>
      </c>
      <c r="N113">
        <v>1.89629585506002E-4</v>
      </c>
      <c r="O113">
        <v>2.44308122816221E-5</v>
      </c>
      <c r="P113">
        <v>1.2970870210054401E-5</v>
      </c>
      <c r="Q113">
        <v>4.5916055846348303E-5</v>
      </c>
    </row>
    <row r="114" spans="1:17" x14ac:dyDescent="0.3">
      <c r="A114" s="2" t="s">
        <v>22</v>
      </c>
      <c r="B114">
        <v>3.1000000000000001E-5</v>
      </c>
      <c r="C114">
        <v>1.696E-5</v>
      </c>
      <c r="D114">
        <v>6.7399999999999998E-5</v>
      </c>
      <c r="E114">
        <v>3.061E-5</v>
      </c>
      <c r="F114">
        <v>1.119E-5</v>
      </c>
      <c r="G114">
        <v>1.1949999999999999E-5</v>
      </c>
      <c r="H114">
        <v>5.6400000000000002E-6</v>
      </c>
      <c r="I114">
        <v>1.881143884265924E-5</v>
      </c>
      <c r="J114">
        <v>1.9447438618190229E-5</v>
      </c>
      <c r="K114">
        <v>1.8986128008783342E-7</v>
      </c>
      <c r="L114">
        <v>2.2347203724072759E-5</v>
      </c>
      <c r="M114">
        <v>1.7046587431337489E-5</v>
      </c>
      <c r="N114">
        <v>9.37647455203985E-5</v>
      </c>
      <c r="O114">
        <v>3.3085313452095799E-6</v>
      </c>
      <c r="P114">
        <v>1.3433618391548148E-3</v>
      </c>
      <c r="Q114">
        <v>1.79200191506679E-5</v>
      </c>
    </row>
    <row r="115" spans="1:17" x14ac:dyDescent="0.3">
      <c r="A115" s="16" t="s">
        <v>78</v>
      </c>
      <c r="B115">
        <v>2.02E-5</v>
      </c>
      <c r="C115">
        <v>7.79E-6</v>
      </c>
      <c r="D115">
        <v>4.57E-5</v>
      </c>
      <c r="E115">
        <v>5.0100000000000003E-6</v>
      </c>
      <c r="F115">
        <v>5.2499999999999997E-6</v>
      </c>
      <c r="G115">
        <v>5.8100000000000003E-6</v>
      </c>
      <c r="H115">
        <v>3.6799999999999999E-6</v>
      </c>
      <c r="I115">
        <v>1.42623137951295E-5</v>
      </c>
      <c r="J115">
        <v>3.1835438972353102E-7</v>
      </c>
      <c r="K115">
        <v>3.7296537149724397E-8</v>
      </c>
      <c r="L115">
        <v>6.2271034662118596E-6</v>
      </c>
      <c r="M115">
        <v>9.3293270009384103E-6</v>
      </c>
      <c r="N115">
        <v>7.6733783169035603E-5</v>
      </c>
      <c r="O115">
        <v>1.67270645135122E-6</v>
      </c>
      <c r="P115">
        <v>2.0495027674894798E-5</v>
      </c>
      <c r="Q115">
        <v>1.3578164861221399E-5</v>
      </c>
    </row>
    <row r="116" spans="1:17" x14ac:dyDescent="0.3">
      <c r="A116" s="16" t="s">
        <v>56</v>
      </c>
      <c r="B116">
        <v>1.08E-5</v>
      </c>
      <c r="C116">
        <v>9.1700000000000003E-6</v>
      </c>
      <c r="D116">
        <v>2.1699999999999999E-5</v>
      </c>
      <c r="E116">
        <v>2.5599999999999999E-5</v>
      </c>
      <c r="F116">
        <v>5.9399999999999999E-6</v>
      </c>
      <c r="G116">
        <v>6.1399999999999997E-6</v>
      </c>
      <c r="H116">
        <v>1.9599999999999999E-6</v>
      </c>
      <c r="I116">
        <v>4.5491250475297396E-6</v>
      </c>
      <c r="J116">
        <v>1.9129084228466699E-5</v>
      </c>
      <c r="K116">
        <v>1.5256474293810901E-7</v>
      </c>
      <c r="L116">
        <v>1.61201002578609E-5</v>
      </c>
      <c r="M116">
        <v>7.7172604303990792E-6</v>
      </c>
      <c r="N116">
        <v>1.70309623513629E-5</v>
      </c>
      <c r="O116">
        <v>1.63582489385836E-6</v>
      </c>
      <c r="P116">
        <v>1.32286681147992E-3</v>
      </c>
      <c r="Q116">
        <v>4.3418542894465003E-6</v>
      </c>
    </row>
    <row r="117" spans="1:17" x14ac:dyDescent="0.3">
      <c r="A117" s="2" t="s">
        <v>48</v>
      </c>
      <c r="B117">
        <v>2.3300000000000001E-5</v>
      </c>
      <c r="C117">
        <v>1.7220000000000001E-5</v>
      </c>
      <c r="D117">
        <v>3.1259999999999995E-5</v>
      </c>
      <c r="E117">
        <v>2.56266E-5</v>
      </c>
      <c r="F117">
        <v>9.2199999999999998E-6</v>
      </c>
      <c r="G117">
        <v>1.01E-5</v>
      </c>
      <c r="H117">
        <v>4.87E-6</v>
      </c>
      <c r="I117">
        <v>7.9033773129037895E-6</v>
      </c>
      <c r="J117">
        <v>1.9250928669042735E-5</v>
      </c>
      <c r="K117">
        <v>1.5256480199992172E-7</v>
      </c>
      <c r="L117">
        <v>2.4680541412405791E-5</v>
      </c>
      <c r="M117">
        <v>1.2594361620555418E-5</v>
      </c>
      <c r="N117">
        <v>3.6185465937827702E-5</v>
      </c>
      <c r="O117">
        <v>4.1035837101838201E-6</v>
      </c>
      <c r="P117">
        <v>1.3241770003900252E-3</v>
      </c>
      <c r="Q117">
        <v>8.9798397284715806E-6</v>
      </c>
    </row>
    <row r="118" spans="1:17" x14ac:dyDescent="0.3">
      <c r="A118" s="16" t="s">
        <v>72</v>
      </c>
      <c r="B118">
        <v>1.2500000000000001E-5</v>
      </c>
      <c r="C118">
        <v>8.0499999999999992E-6</v>
      </c>
      <c r="D118">
        <v>9.5599999999999999E-6</v>
      </c>
      <c r="E118">
        <v>2.66E-8</v>
      </c>
      <c r="F118">
        <v>3.2799999999999999E-6</v>
      </c>
      <c r="G118">
        <v>3.9600000000000002E-6</v>
      </c>
      <c r="H118">
        <v>2.9100000000000001E-6</v>
      </c>
      <c r="I118">
        <v>3.3542522653740499E-6</v>
      </c>
      <c r="J118">
        <v>1.21844440576036E-7</v>
      </c>
      <c r="K118">
        <v>5.9061812696572401E-14</v>
      </c>
      <c r="L118">
        <v>8.5604411545448906E-6</v>
      </c>
      <c r="M118">
        <v>4.87710119015634E-6</v>
      </c>
      <c r="N118">
        <v>1.9154503586464799E-5</v>
      </c>
      <c r="O118">
        <v>2.4677588163254601E-6</v>
      </c>
      <c r="P118">
        <v>1.31018891010525E-6</v>
      </c>
      <c r="Q118">
        <v>4.6379854390250803E-6</v>
      </c>
    </row>
    <row r="119" spans="1:17" x14ac:dyDescent="0.3">
      <c r="A119" s="16" t="s">
        <v>56</v>
      </c>
      <c r="B119">
        <v>1.08E-5</v>
      </c>
      <c r="C119">
        <v>9.1700000000000003E-6</v>
      </c>
      <c r="D119">
        <v>2.1699999999999999E-5</v>
      </c>
      <c r="E119">
        <v>2.5599999999999999E-5</v>
      </c>
      <c r="F119">
        <v>5.9399999999999999E-6</v>
      </c>
      <c r="G119">
        <v>6.1399999999999997E-6</v>
      </c>
      <c r="H119">
        <v>1.9599999999999999E-6</v>
      </c>
      <c r="I119">
        <v>4.5491250475297396E-6</v>
      </c>
      <c r="J119">
        <v>1.9129084228466699E-5</v>
      </c>
      <c r="K119">
        <v>1.5256474293810901E-7</v>
      </c>
      <c r="L119">
        <v>1.61201002578609E-5</v>
      </c>
      <c r="M119">
        <v>7.7172604303990792E-6</v>
      </c>
      <c r="N119">
        <v>1.70309623513629E-5</v>
      </c>
      <c r="O119">
        <v>1.63582489385836E-6</v>
      </c>
      <c r="P119">
        <v>1.32286681147992E-3</v>
      </c>
      <c r="Q119">
        <v>4.3418542894465003E-6</v>
      </c>
    </row>
    <row r="120" spans="1:17" x14ac:dyDescent="0.3">
      <c r="A120" s="2" t="s">
        <v>197</v>
      </c>
      <c r="B120">
        <v>50.114470483685388</v>
      </c>
      <c r="C120">
        <v>29.864333354389746</v>
      </c>
      <c r="D120">
        <v>5.5191929914917228</v>
      </c>
      <c r="E120">
        <v>1.4780602552404993</v>
      </c>
      <c r="F120">
        <v>40.951308120434831</v>
      </c>
      <c r="G120">
        <v>49.589802698611983</v>
      </c>
      <c r="H120">
        <v>0.22006864492834255</v>
      </c>
      <c r="I120">
        <v>0.10963785723822771</v>
      </c>
      <c r="J120">
        <v>2.8059114586406798E-2</v>
      </c>
      <c r="K120">
        <v>2.721405432724189E-3</v>
      </c>
      <c r="L120">
        <v>7.9721950169616838</v>
      </c>
      <c r="M120">
        <v>54.210902587183419</v>
      </c>
      <c r="N120">
        <v>0.57363768433462703</v>
      </c>
      <c r="O120">
        <v>10.602439951537331</v>
      </c>
      <c r="P120">
        <v>3.6878427070921371</v>
      </c>
      <c r="Q120">
        <v>2.0039314809268078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C01C-0F28-4A42-84B8-2F23E15E3C63}">
  <dimension ref="A1:Q3"/>
  <sheetViews>
    <sheetView workbookViewId="0">
      <selection sqref="A1:XFD3"/>
    </sheetView>
  </sheetViews>
  <sheetFormatPr baseColWidth="10" defaultRowHeight="14.4" x14ac:dyDescent="0.3"/>
  <cols>
    <col min="2" max="2" width="26.44140625" customWidth="1"/>
  </cols>
  <sheetData>
    <row r="1" spans="1:17" x14ac:dyDescent="0.3">
      <c r="A1" t="s">
        <v>195</v>
      </c>
      <c r="B1" t="s">
        <v>196</v>
      </c>
      <c r="C1" t="s">
        <v>207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270</v>
      </c>
      <c r="L1" t="s">
        <v>271</v>
      </c>
      <c r="M1" t="s">
        <v>272</v>
      </c>
      <c r="N1" t="s">
        <v>206</v>
      </c>
      <c r="O1" t="s">
        <v>273</v>
      </c>
      <c r="P1" t="s">
        <v>274</v>
      </c>
      <c r="Q1" t="s">
        <v>275</v>
      </c>
    </row>
    <row r="2" spans="1:17" x14ac:dyDescent="0.3">
      <c r="A2" s="2" t="s">
        <v>50</v>
      </c>
      <c r="B2">
        <v>49.77</v>
      </c>
      <c r="C2">
        <v>29.610000000000003</v>
      </c>
      <c r="D2">
        <v>2.4570000000000002E-2</v>
      </c>
      <c r="E2">
        <v>0</v>
      </c>
      <c r="F2">
        <v>40.74</v>
      </c>
      <c r="G2">
        <v>49.35</v>
      </c>
      <c r="H2">
        <v>0</v>
      </c>
      <c r="I2">
        <v>0</v>
      </c>
      <c r="J2">
        <v>0</v>
      </c>
      <c r="K2">
        <v>0</v>
      </c>
      <c r="L2">
        <v>7.7396735763711</v>
      </c>
      <c r="M2">
        <v>53.98071195359563</v>
      </c>
      <c r="N2">
        <v>0</v>
      </c>
      <c r="O2">
        <v>0</v>
      </c>
      <c r="P2">
        <v>0</v>
      </c>
      <c r="Q2">
        <v>1.583597955820286</v>
      </c>
    </row>
    <row r="3" spans="1:17" x14ac:dyDescent="0.3">
      <c r="A3" s="16" t="s">
        <v>97</v>
      </c>
      <c r="B3">
        <v>49.77</v>
      </c>
      <c r="C3">
        <v>29.610000000000003</v>
      </c>
      <c r="D3">
        <v>2.4570000000000002E-2</v>
      </c>
      <c r="E3">
        <v>0</v>
      </c>
      <c r="F3">
        <v>40.74</v>
      </c>
      <c r="G3">
        <v>49.35</v>
      </c>
      <c r="H3">
        <v>0</v>
      </c>
      <c r="I3">
        <v>0</v>
      </c>
      <c r="J3">
        <v>0</v>
      </c>
      <c r="K3">
        <v>0</v>
      </c>
      <c r="L3">
        <v>7.7396735763711</v>
      </c>
      <c r="M3">
        <v>53.98071195359563</v>
      </c>
      <c r="N3">
        <v>0</v>
      </c>
      <c r="O3">
        <v>0</v>
      </c>
      <c r="P3">
        <v>0</v>
      </c>
      <c r="Q3">
        <v>1.583597955820286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4B67-7043-41DE-A810-45ECC40AB3CE}">
  <dimension ref="A1:G257"/>
  <sheetViews>
    <sheetView workbookViewId="0">
      <selection activeCell="D2" sqref="D2"/>
    </sheetView>
  </sheetViews>
  <sheetFormatPr baseColWidth="10" defaultRowHeight="14.4" x14ac:dyDescent="0.3"/>
  <cols>
    <col min="3" max="3" width="12.6640625" customWidth="1"/>
    <col min="5" max="5" width="16.77734375" customWidth="1"/>
    <col min="6" max="6" width="33.77734375" customWidth="1"/>
    <col min="7" max="7" width="22" customWidth="1"/>
  </cols>
  <sheetData>
    <row r="1" spans="1:7" x14ac:dyDescent="0.3">
      <c r="A1" t="s">
        <v>0</v>
      </c>
      <c r="B1" t="s">
        <v>8</v>
      </c>
      <c r="C1" t="s">
        <v>54</v>
      </c>
      <c r="D1" t="s">
        <v>198</v>
      </c>
      <c r="E1" t="s">
        <v>199</v>
      </c>
      <c r="F1" t="s">
        <v>200</v>
      </c>
      <c r="G1" t="s">
        <v>201</v>
      </c>
    </row>
    <row r="2" spans="1:7" x14ac:dyDescent="0.3">
      <c r="A2" t="s">
        <v>1</v>
      </c>
      <c r="B2" t="s">
        <v>9</v>
      </c>
      <c r="C2" t="s">
        <v>55</v>
      </c>
      <c r="D2">
        <v>5.446677676764216E-2</v>
      </c>
      <c r="E2">
        <v>5.446677676764216E-2</v>
      </c>
      <c r="F2">
        <v>5.446677676764216E-2</v>
      </c>
      <c r="G2">
        <v>5.446677676764216E-2</v>
      </c>
    </row>
    <row r="3" spans="1:7" x14ac:dyDescent="0.3">
      <c r="A3" t="s">
        <v>1</v>
      </c>
      <c r="B3" t="s">
        <v>9</v>
      </c>
      <c r="C3" t="s">
        <v>56</v>
      </c>
      <c r="D3">
        <v>2.3258473204249613E-4</v>
      </c>
      <c r="E3">
        <v>2.3258473204249613E-4</v>
      </c>
      <c r="F3">
        <v>2.3258473204249613E-4</v>
      </c>
      <c r="G3">
        <v>2.3258473204249613E-4</v>
      </c>
    </row>
    <row r="4" spans="1:7" x14ac:dyDescent="0.3">
      <c r="A4" t="s">
        <v>1</v>
      </c>
      <c r="B4" t="s">
        <v>9</v>
      </c>
      <c r="C4" t="s">
        <v>57</v>
      </c>
      <c r="D4">
        <v>6.5364198290506051E-5</v>
      </c>
      <c r="E4">
        <v>6.5364198290506051E-5</v>
      </c>
      <c r="F4">
        <v>6.5364198290506051E-5</v>
      </c>
      <c r="G4">
        <v>6.5364198290506051E-5</v>
      </c>
    </row>
    <row r="5" spans="1:7" x14ac:dyDescent="0.3">
      <c r="A5" t="s">
        <v>1</v>
      </c>
      <c r="B5" t="s">
        <v>10</v>
      </c>
      <c r="C5" t="s">
        <v>58</v>
      </c>
      <c r="D5">
        <v>1.9755826961922987E-3</v>
      </c>
      <c r="E5">
        <v>1.9688447494544334E-3</v>
      </c>
      <c r="F5">
        <v>1.9755826961922987E-3</v>
      </c>
      <c r="G5">
        <v>1.9755826961922987E-3</v>
      </c>
    </row>
    <row r="6" spans="1:7" x14ac:dyDescent="0.3">
      <c r="A6" t="s">
        <v>1</v>
      </c>
      <c r="B6" t="s">
        <v>10</v>
      </c>
      <c r="C6" t="s">
        <v>59</v>
      </c>
      <c r="D6">
        <v>1.7287288209293396E-3</v>
      </c>
      <c r="E6">
        <v>1.7287288209293396E-3</v>
      </c>
      <c r="F6">
        <v>1.7287288209293396E-3</v>
      </c>
      <c r="G6">
        <v>1.7287288209293396E-3</v>
      </c>
    </row>
    <row r="7" spans="1:7" x14ac:dyDescent="0.3">
      <c r="A7" t="s">
        <v>1</v>
      </c>
      <c r="B7" t="s">
        <v>10</v>
      </c>
      <c r="C7" t="s">
        <v>56</v>
      </c>
      <c r="D7">
        <v>3.8144071073210059E-4</v>
      </c>
      <c r="E7">
        <v>3.8144071073210059E-4</v>
      </c>
      <c r="F7">
        <v>3.8144071073210059E-4</v>
      </c>
      <c r="G7">
        <v>3.8144071073210059E-4</v>
      </c>
    </row>
    <row r="8" spans="1:7" x14ac:dyDescent="0.3">
      <c r="A8" t="s">
        <v>1</v>
      </c>
      <c r="B8" t="s">
        <v>10</v>
      </c>
      <c r="C8" t="s">
        <v>57</v>
      </c>
      <c r="D8">
        <v>5.8525939583945925E-3</v>
      </c>
      <c r="E8">
        <v>5.8525939583945925E-3</v>
      </c>
      <c r="F8">
        <v>5.8525939583945925E-3</v>
      </c>
      <c r="G8">
        <v>5.8525939583945925E-3</v>
      </c>
    </row>
    <row r="9" spans="1:7" x14ac:dyDescent="0.3">
      <c r="A9" t="s">
        <v>1</v>
      </c>
      <c r="B9" t="s">
        <v>11</v>
      </c>
      <c r="C9" t="s">
        <v>11</v>
      </c>
      <c r="D9">
        <v>4.5624716601322062</v>
      </c>
      <c r="E9">
        <v>4.5624716601322062</v>
      </c>
      <c r="F9">
        <v>4.5624716601322062</v>
      </c>
      <c r="G9">
        <v>4.5624716601322062</v>
      </c>
    </row>
    <row r="10" spans="1:7" x14ac:dyDescent="0.3">
      <c r="A10" t="s">
        <v>1</v>
      </c>
      <c r="B10" t="s">
        <v>11</v>
      </c>
      <c r="C10" t="s">
        <v>56</v>
      </c>
      <c r="D10">
        <v>1.571409905048942E-2</v>
      </c>
      <c r="E10">
        <v>1.571409905048942E-2</v>
      </c>
      <c r="F10">
        <v>1.571409905048942E-2</v>
      </c>
      <c r="G10">
        <v>1.571409905048942E-2</v>
      </c>
    </row>
    <row r="11" spans="1:7" x14ac:dyDescent="0.3">
      <c r="A11" t="s">
        <v>1</v>
      </c>
      <c r="B11" t="s">
        <v>11</v>
      </c>
      <c r="C11" t="s">
        <v>57</v>
      </c>
      <c r="D11">
        <v>6.6959196018407459E-5</v>
      </c>
      <c r="E11">
        <v>6.6959196018407459E-5</v>
      </c>
      <c r="F11">
        <v>6.6959196018407459E-5</v>
      </c>
      <c r="G11">
        <v>6.6959196018407459E-5</v>
      </c>
    </row>
    <row r="12" spans="1:7" x14ac:dyDescent="0.3">
      <c r="A12" t="s">
        <v>2</v>
      </c>
      <c r="B12" t="s">
        <v>12</v>
      </c>
      <c r="C12" t="s">
        <v>12</v>
      </c>
      <c r="D12">
        <v>4.5513093546421208</v>
      </c>
      <c r="E12">
        <v>4.5513093546421208</v>
      </c>
      <c r="F12">
        <v>4.5513093546421208</v>
      </c>
      <c r="G12">
        <v>4.5513093546421208</v>
      </c>
    </row>
    <row r="13" spans="1:7" x14ac:dyDescent="0.3">
      <c r="A13" t="s">
        <v>2</v>
      </c>
      <c r="B13" t="s">
        <v>12</v>
      </c>
      <c r="C13" t="s">
        <v>56</v>
      </c>
      <c r="D13">
        <v>2.356913873573406E-2</v>
      </c>
      <c r="E13">
        <v>2.356913873573406E-2</v>
      </c>
      <c r="F13">
        <v>2.356913873573406E-2</v>
      </c>
      <c r="G13">
        <v>2.356913873573406E-2</v>
      </c>
    </row>
    <row r="14" spans="1:7" x14ac:dyDescent="0.3">
      <c r="A14" t="s">
        <v>2</v>
      </c>
      <c r="B14" t="s">
        <v>12</v>
      </c>
      <c r="C14" t="s">
        <v>57</v>
      </c>
      <c r="D14">
        <v>2.3549785574290678E-2</v>
      </c>
      <c r="E14">
        <v>2.3549785574290678E-2</v>
      </c>
      <c r="F14">
        <v>2.3549785574290678E-2</v>
      </c>
      <c r="G14">
        <v>2.3549785574290678E-2</v>
      </c>
    </row>
    <row r="15" spans="1:7" x14ac:dyDescent="0.3">
      <c r="A15" t="s">
        <v>1</v>
      </c>
      <c r="B15" t="s">
        <v>13</v>
      </c>
      <c r="C15" t="s">
        <v>13</v>
      </c>
      <c r="D15">
        <v>0.43635632120149043</v>
      </c>
      <c r="E15">
        <v>0.43635632120149043</v>
      </c>
      <c r="F15">
        <v>0.43635632120149043</v>
      </c>
      <c r="G15">
        <v>0.43635632120149043</v>
      </c>
    </row>
    <row r="16" spans="1:7" x14ac:dyDescent="0.3">
      <c r="A16" t="s">
        <v>1</v>
      </c>
      <c r="B16" t="s">
        <v>13</v>
      </c>
      <c r="C16" t="s">
        <v>56</v>
      </c>
      <c r="D16">
        <v>1.571409905048942E-2</v>
      </c>
      <c r="E16">
        <v>1.571409905048942E-2</v>
      </c>
      <c r="F16">
        <v>1.571409905048942E-2</v>
      </c>
      <c r="G16">
        <v>1.571409905048942E-2</v>
      </c>
    </row>
    <row r="17" spans="1:7" x14ac:dyDescent="0.3">
      <c r="A17" t="s">
        <v>1</v>
      </c>
      <c r="B17" t="s">
        <v>13</v>
      </c>
      <c r="C17" t="s">
        <v>57</v>
      </c>
      <c r="D17">
        <v>6.8881178853219093E-5</v>
      </c>
      <c r="E17">
        <v>6.8881178853219093E-5</v>
      </c>
      <c r="F17">
        <v>6.8881178853219093E-5</v>
      </c>
      <c r="G17">
        <v>6.8881178853219093E-5</v>
      </c>
    </row>
    <row r="18" spans="1:7" x14ac:dyDescent="0.3">
      <c r="A18" t="s">
        <v>1</v>
      </c>
      <c r="B18" t="s">
        <v>14</v>
      </c>
      <c r="C18" t="s">
        <v>56</v>
      </c>
      <c r="D18">
        <v>1.7199949045385365E-2</v>
      </c>
      <c r="E18">
        <v>1.7199949045385365E-2</v>
      </c>
      <c r="F18">
        <v>1.7199949045385365E-2</v>
      </c>
      <c r="G18">
        <v>1.7199949045385365E-2</v>
      </c>
    </row>
    <row r="19" spans="1:7" x14ac:dyDescent="0.3">
      <c r="A19" t="s">
        <v>1</v>
      </c>
      <c r="B19" t="s">
        <v>14</v>
      </c>
      <c r="C19" t="s">
        <v>14</v>
      </c>
      <c r="D19">
        <v>3.0756907259233399E-2</v>
      </c>
      <c r="E19">
        <v>3.0756907259233399E-2</v>
      </c>
      <c r="F19">
        <v>3.0756907259233399E-2</v>
      </c>
      <c r="G19">
        <v>3.0756907259233399E-2</v>
      </c>
    </row>
    <row r="20" spans="1:7" x14ac:dyDescent="0.3">
      <c r="A20" t="s">
        <v>1</v>
      </c>
      <c r="B20" t="s">
        <v>14</v>
      </c>
      <c r="C20" t="s">
        <v>57</v>
      </c>
      <c r="D20">
        <v>3.2756545584031193E-4</v>
      </c>
      <c r="E20">
        <v>3.2756545584031193E-4</v>
      </c>
      <c r="F20">
        <v>3.2756545584031193E-4</v>
      </c>
      <c r="G20">
        <v>3.2756545584031193E-4</v>
      </c>
    </row>
    <row r="21" spans="1:7" x14ac:dyDescent="0.3">
      <c r="A21" t="s">
        <v>2</v>
      </c>
      <c r="B21" t="s">
        <v>15</v>
      </c>
      <c r="C21" t="s">
        <v>56</v>
      </c>
      <c r="D21">
        <v>1.571409905048942E-2</v>
      </c>
      <c r="E21">
        <v>1.571409905048942E-2</v>
      </c>
      <c r="F21">
        <v>1.571409905048942E-2</v>
      </c>
      <c r="G21">
        <v>1.571409905048942E-2</v>
      </c>
    </row>
    <row r="22" spans="1:7" x14ac:dyDescent="0.3">
      <c r="A22" t="s">
        <v>2</v>
      </c>
      <c r="B22" t="s">
        <v>15</v>
      </c>
      <c r="C22" t="s">
        <v>60</v>
      </c>
      <c r="D22">
        <v>1.5351441206810104</v>
      </c>
      <c r="E22">
        <v>1.5351441206810104</v>
      </c>
      <c r="F22">
        <v>1.5351441206810104</v>
      </c>
      <c r="G22">
        <v>1.5351441206810104</v>
      </c>
    </row>
    <row r="23" spans="1:7" x14ac:dyDescent="0.3">
      <c r="A23" t="s">
        <v>2</v>
      </c>
      <c r="B23" t="s">
        <v>15</v>
      </c>
      <c r="C23" t="s">
        <v>57</v>
      </c>
      <c r="D23">
        <v>1.5169912926592749E-2</v>
      </c>
      <c r="E23">
        <v>1.5169912926592749E-2</v>
      </c>
      <c r="F23">
        <v>1.5169912926592749E-2</v>
      </c>
      <c r="G23">
        <v>1.5169912926592749E-2</v>
      </c>
    </row>
    <row r="24" spans="1:7" x14ac:dyDescent="0.3">
      <c r="A24" t="s">
        <v>1</v>
      </c>
      <c r="B24" t="s">
        <v>16</v>
      </c>
      <c r="C24" t="s">
        <v>56</v>
      </c>
      <c r="D24">
        <v>1.571409905048942E-2</v>
      </c>
      <c r="E24">
        <v>1.571409905048942E-2</v>
      </c>
      <c r="F24">
        <v>1.571409905048942E-2</v>
      </c>
      <c r="G24">
        <v>1.571409905048942E-2</v>
      </c>
    </row>
    <row r="25" spans="1:7" x14ac:dyDescent="0.3">
      <c r="A25" t="s">
        <v>1</v>
      </c>
      <c r="B25" t="s">
        <v>16</v>
      </c>
      <c r="C25" t="s">
        <v>61</v>
      </c>
      <c r="D25">
        <v>0.70746532087437264</v>
      </c>
      <c r="E25">
        <v>0.70746532087437264</v>
      </c>
      <c r="F25">
        <v>0.70746532087437264</v>
      </c>
      <c r="G25">
        <v>0.70746532087437264</v>
      </c>
    </row>
    <row r="26" spans="1:7" x14ac:dyDescent="0.3">
      <c r="A26" t="s">
        <v>1</v>
      </c>
      <c r="B26" t="s">
        <v>16</v>
      </c>
      <c r="C26" t="s">
        <v>57</v>
      </c>
      <c r="D26">
        <v>4.096347010496912E-5</v>
      </c>
      <c r="E26">
        <v>4.096347010496912E-5</v>
      </c>
      <c r="F26">
        <v>4.096347010496912E-5</v>
      </c>
      <c r="G26">
        <v>4.096347010496912E-5</v>
      </c>
    </row>
    <row r="27" spans="1:7" x14ac:dyDescent="0.3">
      <c r="A27" t="s">
        <v>1</v>
      </c>
      <c r="B27" t="s">
        <v>17</v>
      </c>
      <c r="C27" t="s">
        <v>56</v>
      </c>
      <c r="D27">
        <v>1.571409905048942E-2</v>
      </c>
      <c r="E27">
        <v>1.571409905048942E-2</v>
      </c>
      <c r="F27">
        <v>1.571409905048942E-2</v>
      </c>
      <c r="G27">
        <v>1.571409905048942E-2</v>
      </c>
    </row>
    <row r="28" spans="1:7" x14ac:dyDescent="0.3">
      <c r="A28" t="s">
        <v>1</v>
      </c>
      <c r="B28" t="s">
        <v>17</v>
      </c>
      <c r="C28" t="s">
        <v>62</v>
      </c>
      <c r="D28">
        <v>4.0516591450760128E-2</v>
      </c>
      <c r="E28">
        <v>4.0516591450760128E-2</v>
      </c>
      <c r="F28">
        <v>4.0516591450760128E-2</v>
      </c>
      <c r="G28">
        <v>4.0516591450760128E-2</v>
      </c>
    </row>
    <row r="29" spans="1:7" x14ac:dyDescent="0.3">
      <c r="A29" t="s">
        <v>1</v>
      </c>
      <c r="B29" t="s">
        <v>17</v>
      </c>
      <c r="C29" t="s">
        <v>57</v>
      </c>
      <c r="D29">
        <v>4.299353502237261E-3</v>
      </c>
      <c r="E29">
        <v>4.299353502237261E-3</v>
      </c>
      <c r="F29">
        <v>4.299353502237261E-3</v>
      </c>
      <c r="G29">
        <v>4.299353502237261E-3</v>
      </c>
    </row>
    <row r="30" spans="1:7" x14ac:dyDescent="0.3">
      <c r="A30" t="s">
        <v>1</v>
      </c>
      <c r="B30" t="s">
        <v>18</v>
      </c>
      <c r="C30" t="s">
        <v>58</v>
      </c>
      <c r="D30">
        <v>3.5075024543937392E-3</v>
      </c>
      <c r="E30">
        <v>3.5075024543937392E-3</v>
      </c>
      <c r="F30">
        <v>3.5075024543937392E-3</v>
      </c>
      <c r="G30">
        <v>3.5075024543937392E-3</v>
      </c>
    </row>
    <row r="31" spans="1:7" x14ac:dyDescent="0.3">
      <c r="A31" t="s">
        <v>1</v>
      </c>
      <c r="B31" t="s">
        <v>18</v>
      </c>
      <c r="C31" t="s">
        <v>59</v>
      </c>
      <c r="D31">
        <v>2.5996609988880301E-2</v>
      </c>
      <c r="E31">
        <v>2.5996609988880301E-2</v>
      </c>
      <c r="F31">
        <v>2.5996609988880301E-2</v>
      </c>
      <c r="G31">
        <v>2.5996609988880301E-2</v>
      </c>
    </row>
    <row r="32" spans="1:7" x14ac:dyDescent="0.3">
      <c r="A32" t="s">
        <v>1</v>
      </c>
      <c r="B32" t="s">
        <v>18</v>
      </c>
      <c r="C32" t="s">
        <v>56</v>
      </c>
      <c r="D32">
        <v>6.2853273161957419E-6</v>
      </c>
      <c r="E32">
        <v>6.2853273161957419E-6</v>
      </c>
      <c r="F32">
        <v>6.2853273161957419E-6</v>
      </c>
      <c r="G32">
        <v>6.2853273161957419E-6</v>
      </c>
    </row>
    <row r="33" spans="1:7" x14ac:dyDescent="0.3">
      <c r="A33" t="s">
        <v>2</v>
      </c>
      <c r="B33" t="s">
        <v>19</v>
      </c>
      <c r="C33" t="s">
        <v>56</v>
      </c>
      <c r="D33">
        <v>1.571409905048942E-2</v>
      </c>
      <c r="E33">
        <v>1.571409905048942E-2</v>
      </c>
      <c r="F33">
        <v>1.571409905048942E-2</v>
      </c>
      <c r="G33">
        <v>1.571409905048942E-2</v>
      </c>
    </row>
    <row r="34" spans="1:7" x14ac:dyDescent="0.3">
      <c r="A34" t="s">
        <v>2</v>
      </c>
      <c r="B34" t="s">
        <v>19</v>
      </c>
      <c r="C34" t="s">
        <v>63</v>
      </c>
      <c r="D34">
        <v>9.0706284739787417</v>
      </c>
      <c r="E34">
        <v>9.0706284739787417</v>
      </c>
      <c r="F34">
        <v>9.0706284739787417</v>
      </c>
      <c r="G34">
        <v>9.0706284739787417</v>
      </c>
    </row>
    <row r="35" spans="1:7" x14ac:dyDescent="0.3">
      <c r="A35" t="s">
        <v>2</v>
      </c>
      <c r="B35" t="s">
        <v>19</v>
      </c>
      <c r="C35" t="s">
        <v>57</v>
      </c>
      <c r="D35">
        <v>6.6959196018407459E-5</v>
      </c>
      <c r="E35">
        <v>6.6959196018407459E-5</v>
      </c>
      <c r="F35">
        <v>6.6959196018407459E-5</v>
      </c>
      <c r="G35">
        <v>6.6959196018407459E-5</v>
      </c>
    </row>
    <row r="36" spans="1:7" x14ac:dyDescent="0.3">
      <c r="A36" t="s">
        <v>3</v>
      </c>
      <c r="B36" t="s">
        <v>3</v>
      </c>
      <c r="C36" t="s">
        <v>64</v>
      </c>
      <c r="D36">
        <v>4.0001914750718792E-2</v>
      </c>
      <c r="E36">
        <v>4.0001914750718792E-2</v>
      </c>
      <c r="F36">
        <v>4.0001914750718792E-2</v>
      </c>
      <c r="G36">
        <v>4.0001914750718792E-2</v>
      </c>
    </row>
    <row r="37" spans="1:7" x14ac:dyDescent="0.3">
      <c r="A37" t="s">
        <v>3</v>
      </c>
      <c r="B37" t="s">
        <v>3</v>
      </c>
      <c r="C37" t="s">
        <v>65</v>
      </c>
      <c r="D37">
        <v>2.1226314495263335E-3</v>
      </c>
      <c r="E37">
        <v>2.1226314495263335E-3</v>
      </c>
      <c r="F37">
        <v>2.1226314495263335E-3</v>
      </c>
      <c r="G37">
        <v>2.1226314495263335E-3</v>
      </c>
    </row>
    <row r="38" spans="1:7" x14ac:dyDescent="0.3">
      <c r="A38" t="s">
        <v>3</v>
      </c>
      <c r="B38" t="s">
        <v>3</v>
      </c>
      <c r="C38" t="s">
        <v>66</v>
      </c>
      <c r="D38">
        <v>1.133987986810814E-2</v>
      </c>
      <c r="E38">
        <v>1.133987986810814E-2</v>
      </c>
      <c r="F38">
        <v>1.133987986810814E-2</v>
      </c>
      <c r="G38">
        <v>1.133987986810814E-2</v>
      </c>
    </row>
    <row r="39" spans="1:7" x14ac:dyDescent="0.3">
      <c r="A39" t="s">
        <v>3</v>
      </c>
      <c r="B39" t="s">
        <v>3</v>
      </c>
      <c r="C39" t="s">
        <v>67</v>
      </c>
      <c r="D39">
        <v>8.569585890516949E-4</v>
      </c>
      <c r="E39">
        <v>8.569585890516949E-4</v>
      </c>
      <c r="F39">
        <v>8.569585890516949E-4</v>
      </c>
      <c r="G39">
        <v>8.569585890516949E-4</v>
      </c>
    </row>
    <row r="40" spans="1:7" x14ac:dyDescent="0.3">
      <c r="A40" t="s">
        <v>3</v>
      </c>
      <c r="B40" t="s">
        <v>3</v>
      </c>
      <c r="C40" t="s">
        <v>68</v>
      </c>
      <c r="D40">
        <v>8.0220310021430986E-6</v>
      </c>
      <c r="E40">
        <v>8.0220310021430986E-6</v>
      </c>
      <c r="F40">
        <v>8.0220310021430986E-6</v>
      </c>
      <c r="G40">
        <v>8.0220310021430986E-6</v>
      </c>
    </row>
    <row r="41" spans="1:7" x14ac:dyDescent="0.3">
      <c r="A41" t="s">
        <v>1</v>
      </c>
      <c r="B41" t="s">
        <v>20</v>
      </c>
      <c r="C41" t="s">
        <v>69</v>
      </c>
      <c r="D41">
        <v>7.3785668104541335E-5</v>
      </c>
      <c r="E41">
        <v>7.3785668104541335E-5</v>
      </c>
      <c r="F41">
        <v>7.3785668104541335E-5</v>
      </c>
      <c r="G41">
        <v>7.3785668104541335E-5</v>
      </c>
    </row>
    <row r="42" spans="1:7" x14ac:dyDescent="0.3">
      <c r="A42" t="s">
        <v>1</v>
      </c>
      <c r="B42" t="s">
        <v>20</v>
      </c>
      <c r="C42" t="s">
        <v>70</v>
      </c>
      <c r="D42">
        <v>4.0183644607423907E-2</v>
      </c>
      <c r="E42">
        <v>4.0183644607423907E-2</v>
      </c>
      <c r="F42">
        <v>4.0183644607423907E-2</v>
      </c>
      <c r="G42">
        <v>4.0183644607423907E-2</v>
      </c>
    </row>
    <row r="43" spans="1:7" x14ac:dyDescent="0.3">
      <c r="A43" t="s">
        <v>1</v>
      </c>
      <c r="B43" t="s">
        <v>20</v>
      </c>
      <c r="C43" t="s">
        <v>71</v>
      </c>
      <c r="D43">
        <v>2.3269737995819358E-3</v>
      </c>
      <c r="E43">
        <v>2.3269737995819358E-3</v>
      </c>
      <c r="F43">
        <v>2.3269737995819358E-3</v>
      </c>
      <c r="G43">
        <v>2.3269737995819358E-3</v>
      </c>
    </row>
    <row r="44" spans="1:7" x14ac:dyDescent="0.3">
      <c r="A44" t="s">
        <v>1</v>
      </c>
      <c r="B44" t="s">
        <v>20</v>
      </c>
      <c r="C44" t="s">
        <v>72</v>
      </c>
      <c r="D44">
        <v>3.4225161679814682E-3</v>
      </c>
      <c r="E44">
        <v>3.4225161679814682E-3</v>
      </c>
      <c r="F44">
        <v>3.4225161679814682E-3</v>
      </c>
      <c r="G44">
        <v>3.4225161679814682E-3</v>
      </c>
    </row>
    <row r="45" spans="1:7" x14ac:dyDescent="0.3">
      <c r="A45" t="s">
        <v>1</v>
      </c>
      <c r="B45" t="s">
        <v>20</v>
      </c>
      <c r="C45" t="s">
        <v>58</v>
      </c>
      <c r="D45">
        <v>1.9397655159342339E-3</v>
      </c>
      <c r="E45">
        <v>1.9397655159342339E-3</v>
      </c>
      <c r="F45">
        <v>1.9397655159342339E-3</v>
      </c>
      <c r="G45">
        <v>1.9397655159342339E-3</v>
      </c>
    </row>
    <row r="46" spans="1:7" x14ac:dyDescent="0.3">
      <c r="A46" t="s">
        <v>1</v>
      </c>
      <c r="B46" t="s">
        <v>20</v>
      </c>
      <c r="C46" t="s">
        <v>73</v>
      </c>
      <c r="D46">
        <v>1.5222154013237704E-3</v>
      </c>
      <c r="E46">
        <v>1.5222154013237704E-3</v>
      </c>
      <c r="F46">
        <v>1.5222154013237704E-3</v>
      </c>
      <c r="G46">
        <v>1.5222154013237704E-3</v>
      </c>
    </row>
    <row r="47" spans="1:7" x14ac:dyDescent="0.3">
      <c r="A47" t="s">
        <v>1</v>
      </c>
      <c r="B47" t="s">
        <v>20</v>
      </c>
      <c r="C47" t="s">
        <v>74</v>
      </c>
      <c r="D47">
        <v>8.40334017109294E-5</v>
      </c>
      <c r="E47">
        <v>8.40334017109294E-5</v>
      </c>
      <c r="F47">
        <v>8.40334017109294E-5</v>
      </c>
      <c r="G47">
        <v>8.40334017109294E-5</v>
      </c>
    </row>
    <row r="48" spans="1:7" x14ac:dyDescent="0.3">
      <c r="A48" t="s">
        <v>1</v>
      </c>
      <c r="B48" t="s">
        <v>20</v>
      </c>
      <c r="C48" t="s">
        <v>75</v>
      </c>
      <c r="D48">
        <v>2.5302273629459522E-4</v>
      </c>
      <c r="E48">
        <v>2.5302273629459522E-4</v>
      </c>
      <c r="F48">
        <v>2.5302273629459522E-4</v>
      </c>
      <c r="G48">
        <v>2.5302273629459522E-4</v>
      </c>
    </row>
    <row r="49" spans="1:7" x14ac:dyDescent="0.3">
      <c r="A49" t="s">
        <v>1</v>
      </c>
      <c r="B49" t="s">
        <v>20</v>
      </c>
      <c r="C49" t="s">
        <v>56</v>
      </c>
      <c r="D49">
        <v>1.1923842496340613E-4</v>
      </c>
      <c r="E49">
        <v>1.1923842496340613E-4</v>
      </c>
      <c r="F49">
        <v>1.1923842496340613E-4</v>
      </c>
      <c r="G49">
        <v>1.1923842496340613E-4</v>
      </c>
    </row>
    <row r="50" spans="1:7" x14ac:dyDescent="0.3">
      <c r="A50" t="s">
        <v>1</v>
      </c>
      <c r="B50" t="s">
        <v>20</v>
      </c>
      <c r="C50" t="s">
        <v>57</v>
      </c>
      <c r="D50">
        <v>4.1725213508525793E-4</v>
      </c>
      <c r="E50">
        <v>4.1725213508525793E-4</v>
      </c>
      <c r="F50">
        <v>4.1725213508525793E-4</v>
      </c>
      <c r="G50">
        <v>4.1725213508525793E-4</v>
      </c>
    </row>
    <row r="51" spans="1:7" x14ac:dyDescent="0.3">
      <c r="A51" t="s">
        <v>1</v>
      </c>
      <c r="B51" t="s">
        <v>21</v>
      </c>
      <c r="C51" t="s">
        <v>72</v>
      </c>
      <c r="D51">
        <v>2.6089243854336323E-4</v>
      </c>
      <c r="E51">
        <v>2.6089243854336323E-4</v>
      </c>
      <c r="F51">
        <v>2.6089243854336323E-4</v>
      </c>
      <c r="G51">
        <v>2.6089243854336323E-4</v>
      </c>
    </row>
    <row r="52" spans="1:7" x14ac:dyDescent="0.3">
      <c r="A52" t="s">
        <v>1</v>
      </c>
      <c r="B52" t="s">
        <v>21</v>
      </c>
      <c r="C52" t="s">
        <v>58</v>
      </c>
      <c r="D52">
        <v>6.5571426881120661E-5</v>
      </c>
      <c r="E52">
        <v>6.5571426881120661E-5</v>
      </c>
      <c r="F52">
        <v>6.5571426881120661E-5</v>
      </c>
      <c r="G52">
        <v>6.5571426881120661E-5</v>
      </c>
    </row>
    <row r="53" spans="1:7" x14ac:dyDescent="0.3">
      <c r="A53" t="s">
        <v>1</v>
      </c>
      <c r="B53" t="s">
        <v>21</v>
      </c>
      <c r="C53" t="s">
        <v>76</v>
      </c>
      <c r="D53">
        <v>4.5704281951118881E-3</v>
      </c>
      <c r="E53">
        <v>4.5704281951118881E-3</v>
      </c>
      <c r="F53">
        <v>4.5704281951118881E-3</v>
      </c>
      <c r="G53">
        <v>4.5704281951118881E-3</v>
      </c>
    </row>
    <row r="54" spans="1:7" x14ac:dyDescent="0.3">
      <c r="A54" t="s">
        <v>1</v>
      </c>
      <c r="B54" t="s">
        <v>21</v>
      </c>
      <c r="C54" t="s">
        <v>77</v>
      </c>
      <c r="D54">
        <v>7.9374039360000017E-4</v>
      </c>
      <c r="E54">
        <v>7.9374039360000017E-4</v>
      </c>
      <c r="F54">
        <v>7.9374039360000017E-4</v>
      </c>
      <c r="G54">
        <v>7.9374039360000017E-4</v>
      </c>
    </row>
    <row r="55" spans="1:7" x14ac:dyDescent="0.3">
      <c r="A55" t="s">
        <v>1</v>
      </c>
      <c r="B55" t="s">
        <v>21</v>
      </c>
      <c r="C55" t="s">
        <v>56</v>
      </c>
      <c r="D55">
        <v>2.6014228687999998E-3</v>
      </c>
      <c r="E55">
        <v>2.6014228687999998E-3</v>
      </c>
      <c r="F55">
        <v>2.6014228687999998E-3</v>
      </c>
      <c r="G55">
        <v>2.6014228687999998E-3</v>
      </c>
    </row>
    <row r="56" spans="1:7" x14ac:dyDescent="0.3">
      <c r="A56" t="s">
        <v>1</v>
      </c>
      <c r="B56" t="s">
        <v>21</v>
      </c>
      <c r="C56" t="s">
        <v>57</v>
      </c>
      <c r="D56">
        <v>2.6872423840080672E-4</v>
      </c>
      <c r="E56">
        <v>2.6872423840080672E-4</v>
      </c>
      <c r="F56">
        <v>2.6872423840080672E-4</v>
      </c>
      <c r="G56">
        <v>2.6872423840080672E-4</v>
      </c>
    </row>
    <row r="57" spans="1:7" x14ac:dyDescent="0.3">
      <c r="A57" t="s">
        <v>1</v>
      </c>
      <c r="B57" t="s">
        <v>22</v>
      </c>
      <c r="C57" t="s">
        <v>78</v>
      </c>
      <c r="D57">
        <v>2.632755705233988E-4</v>
      </c>
      <c r="E57">
        <v>2.632755705233988E-4</v>
      </c>
      <c r="F57">
        <v>2.632755705233988E-4</v>
      </c>
      <c r="G57">
        <v>2.632755705233988E-4</v>
      </c>
    </row>
    <row r="58" spans="1:7" x14ac:dyDescent="0.3">
      <c r="A58" t="s">
        <v>1</v>
      </c>
      <c r="B58" t="s">
        <v>22</v>
      </c>
      <c r="C58" t="s">
        <v>56</v>
      </c>
      <c r="D58">
        <v>1.9550047350810401E-3</v>
      </c>
      <c r="E58">
        <v>1.9550047350810401E-3</v>
      </c>
      <c r="F58">
        <v>1.9550047350810401E-3</v>
      </c>
      <c r="G58">
        <v>1.9550047350810401E-3</v>
      </c>
    </row>
    <row r="59" spans="1:7" x14ac:dyDescent="0.3">
      <c r="A59" t="s">
        <v>1</v>
      </c>
      <c r="B59" t="s">
        <v>22</v>
      </c>
      <c r="C59" t="s">
        <v>57</v>
      </c>
      <c r="D59">
        <v>4.9899681943322158E-6</v>
      </c>
      <c r="E59">
        <v>4.9899681943322158E-6</v>
      </c>
      <c r="F59">
        <v>4.9899681943322158E-6</v>
      </c>
      <c r="G59">
        <v>4.9899681943322158E-6</v>
      </c>
    </row>
    <row r="60" spans="1:7" x14ac:dyDescent="0.3">
      <c r="A60" t="s">
        <v>1</v>
      </c>
      <c r="B60" t="s">
        <v>23</v>
      </c>
      <c r="C60" t="s">
        <v>79</v>
      </c>
      <c r="D60">
        <v>5.3595353728793475E-3</v>
      </c>
      <c r="E60">
        <v>5.3595353728793475E-3</v>
      </c>
      <c r="F60">
        <v>5.3595353728793475E-3</v>
      </c>
      <c r="G60">
        <v>5.3595353728793475E-3</v>
      </c>
    </row>
    <row r="61" spans="1:7" x14ac:dyDescent="0.3">
      <c r="A61" t="s">
        <v>1</v>
      </c>
      <c r="B61" t="s">
        <v>23</v>
      </c>
      <c r="C61" t="s">
        <v>78</v>
      </c>
      <c r="D61">
        <v>1.4107114361399647E-4</v>
      </c>
      <c r="E61">
        <v>1.4107114361399647E-4</v>
      </c>
      <c r="F61">
        <v>1.4107114361399647E-4</v>
      </c>
      <c r="G61">
        <v>1.4107114361399647E-4</v>
      </c>
    </row>
    <row r="62" spans="1:7" x14ac:dyDescent="0.3">
      <c r="A62" t="s">
        <v>1</v>
      </c>
      <c r="B62" t="s">
        <v>23</v>
      </c>
      <c r="C62" t="s">
        <v>56</v>
      </c>
      <c r="D62">
        <v>1.25124342021187E-2</v>
      </c>
      <c r="E62">
        <v>1.25124342021187E-2</v>
      </c>
      <c r="F62">
        <v>1.25124342021187E-2</v>
      </c>
      <c r="G62">
        <v>1.25124342021187E-2</v>
      </c>
    </row>
    <row r="63" spans="1:7" x14ac:dyDescent="0.3">
      <c r="A63" t="s">
        <v>1</v>
      </c>
      <c r="B63" t="s">
        <v>23</v>
      </c>
      <c r="C63" t="s">
        <v>80</v>
      </c>
      <c r="D63">
        <v>2.6050966959672905E-2</v>
      </c>
      <c r="E63">
        <v>2.6050966959672905E-2</v>
      </c>
      <c r="F63">
        <v>2.6050966959672905E-2</v>
      </c>
      <c r="G63">
        <v>2.6050966959672905E-2</v>
      </c>
    </row>
    <row r="64" spans="1:7" x14ac:dyDescent="0.3">
      <c r="A64" t="s">
        <v>1</v>
      </c>
      <c r="B64" t="s">
        <v>23</v>
      </c>
      <c r="C64" t="s">
        <v>57</v>
      </c>
      <c r="D64">
        <v>5.1305196670124666E-4</v>
      </c>
      <c r="E64">
        <v>5.1305196670124666E-4</v>
      </c>
      <c r="F64">
        <v>5.1305196670124666E-4</v>
      </c>
      <c r="G64">
        <v>5.1305196670124666E-4</v>
      </c>
    </row>
    <row r="65" spans="1:7" x14ac:dyDescent="0.3">
      <c r="A65" t="s">
        <v>1</v>
      </c>
      <c r="B65" t="s">
        <v>23</v>
      </c>
      <c r="C65" t="s">
        <v>81</v>
      </c>
      <c r="D65">
        <v>2.540974555809207E-4</v>
      </c>
      <c r="E65">
        <v>2.540974555809207E-4</v>
      </c>
      <c r="F65">
        <v>2.540974555809207E-4</v>
      </c>
      <c r="G65">
        <v>2.540974555809207E-4</v>
      </c>
    </row>
    <row r="66" spans="1:7" x14ac:dyDescent="0.3">
      <c r="A66" t="s">
        <v>1</v>
      </c>
      <c r="B66" t="s">
        <v>24</v>
      </c>
      <c r="C66" t="s">
        <v>79</v>
      </c>
      <c r="D66">
        <v>6.4545770901333415E-4</v>
      </c>
      <c r="E66">
        <v>6.4545770901333415E-4</v>
      </c>
      <c r="F66">
        <v>6.4545770901333415E-4</v>
      </c>
      <c r="G66">
        <v>6.4545770901333415E-4</v>
      </c>
    </row>
    <row r="67" spans="1:7" x14ac:dyDescent="0.3">
      <c r="A67" t="s">
        <v>1</v>
      </c>
      <c r="B67" t="s">
        <v>24</v>
      </c>
      <c r="C67" t="s">
        <v>56</v>
      </c>
      <c r="D67">
        <v>2.6066256044892859E-3</v>
      </c>
      <c r="E67">
        <v>2.6066256044892859E-3</v>
      </c>
      <c r="F67">
        <v>2.6066256044892859E-3</v>
      </c>
      <c r="G67">
        <v>2.6066256044892859E-3</v>
      </c>
    </row>
    <row r="68" spans="1:7" x14ac:dyDescent="0.3">
      <c r="A68" t="s">
        <v>1</v>
      </c>
      <c r="B68" t="s">
        <v>24</v>
      </c>
      <c r="C68" t="s">
        <v>80</v>
      </c>
      <c r="D68">
        <v>1.5462948390887847E-2</v>
      </c>
      <c r="E68">
        <v>1.5462948390887847E-2</v>
      </c>
      <c r="F68">
        <v>1.5462948390887847E-2</v>
      </c>
      <c r="G68">
        <v>1.5462948390887847E-2</v>
      </c>
    </row>
    <row r="69" spans="1:7" x14ac:dyDescent="0.3">
      <c r="A69" t="s">
        <v>1</v>
      </c>
      <c r="B69" t="s">
        <v>24</v>
      </c>
      <c r="C69" t="s">
        <v>57</v>
      </c>
      <c r="D69">
        <v>9.2391253633261112E-5</v>
      </c>
      <c r="E69">
        <v>9.2391253633261112E-5</v>
      </c>
      <c r="F69">
        <v>9.2391253633261112E-5</v>
      </c>
      <c r="G69">
        <v>9.2391253633261112E-5</v>
      </c>
    </row>
    <row r="70" spans="1:7" x14ac:dyDescent="0.3">
      <c r="A70" t="s">
        <v>1</v>
      </c>
      <c r="B70" t="s">
        <v>24</v>
      </c>
      <c r="C70" t="s">
        <v>82</v>
      </c>
      <c r="D70">
        <v>5.230724377254259E-5</v>
      </c>
      <c r="E70">
        <v>5.230724377254259E-5</v>
      </c>
      <c r="F70">
        <v>5.230724377254259E-5</v>
      </c>
      <c r="G70">
        <v>5.230724377254259E-5</v>
      </c>
    </row>
    <row r="71" spans="1:7" x14ac:dyDescent="0.3">
      <c r="A71" t="s">
        <v>1</v>
      </c>
      <c r="B71" t="s">
        <v>24</v>
      </c>
      <c r="C71" t="s">
        <v>81</v>
      </c>
      <c r="D71">
        <v>2.2412436215755905E-5</v>
      </c>
      <c r="E71">
        <v>2.2412436215755905E-5</v>
      </c>
      <c r="F71">
        <v>2.2412436215755905E-5</v>
      </c>
      <c r="G71">
        <v>2.2412436215755905E-5</v>
      </c>
    </row>
    <row r="72" spans="1:7" x14ac:dyDescent="0.3">
      <c r="A72" t="s">
        <v>1</v>
      </c>
      <c r="B72" t="s">
        <v>25</v>
      </c>
      <c r="C72" t="s">
        <v>79</v>
      </c>
      <c r="D72">
        <v>4.6440690722066537E-3</v>
      </c>
      <c r="E72">
        <v>4.6440690722066537E-3</v>
      </c>
      <c r="F72">
        <v>4.6440690722066537E-3</v>
      </c>
      <c r="G72">
        <v>4.6440690722066537E-3</v>
      </c>
    </row>
    <row r="73" spans="1:7" x14ac:dyDescent="0.3">
      <c r="A73" t="s">
        <v>1</v>
      </c>
      <c r="B73" t="s">
        <v>25</v>
      </c>
      <c r="C73" t="s">
        <v>56</v>
      </c>
      <c r="D73">
        <v>1.1339180357630476E-2</v>
      </c>
      <c r="E73">
        <v>1.1339180357630476E-2</v>
      </c>
      <c r="F73">
        <v>1.1339180357630476E-2</v>
      </c>
      <c r="G73">
        <v>1.1339180357630476E-2</v>
      </c>
    </row>
    <row r="74" spans="1:7" x14ac:dyDescent="0.3">
      <c r="A74" t="s">
        <v>1</v>
      </c>
      <c r="B74" t="s">
        <v>25</v>
      </c>
      <c r="C74" t="s">
        <v>80</v>
      </c>
      <c r="D74">
        <v>3.374087625129648E-2</v>
      </c>
      <c r="E74">
        <v>3.374087625129648E-2</v>
      </c>
      <c r="F74">
        <v>3.374087625129648E-2</v>
      </c>
      <c r="G74">
        <v>3.374087625129648E-2</v>
      </c>
    </row>
    <row r="75" spans="1:7" x14ac:dyDescent="0.3">
      <c r="A75" t="s">
        <v>1</v>
      </c>
      <c r="B75" t="s">
        <v>25</v>
      </c>
      <c r="C75" t="s">
        <v>57</v>
      </c>
      <c r="D75">
        <v>3.8895825601413568E-4</v>
      </c>
      <c r="E75">
        <v>3.8895825601413568E-4</v>
      </c>
      <c r="F75">
        <v>3.8895825601413568E-4</v>
      </c>
      <c r="G75">
        <v>3.8895825601413568E-4</v>
      </c>
    </row>
    <row r="76" spans="1:7" x14ac:dyDescent="0.3">
      <c r="A76" t="s">
        <v>1</v>
      </c>
      <c r="B76" t="s">
        <v>25</v>
      </c>
      <c r="C76" t="s">
        <v>81</v>
      </c>
      <c r="D76">
        <v>1.8669516557130085E-4</v>
      </c>
      <c r="E76">
        <v>1.8669516557130085E-4</v>
      </c>
      <c r="F76">
        <v>1.8669516557130085E-4</v>
      </c>
      <c r="G76">
        <v>1.8669516557130085E-4</v>
      </c>
    </row>
    <row r="77" spans="1:7" x14ac:dyDescent="0.3">
      <c r="A77" t="s">
        <v>1</v>
      </c>
      <c r="B77" t="s">
        <v>26</v>
      </c>
      <c r="C77" t="s">
        <v>79</v>
      </c>
      <c r="D77">
        <v>4.5539648037800622E-3</v>
      </c>
      <c r="E77">
        <v>4.5539648037800622E-3</v>
      </c>
      <c r="F77">
        <v>4.5539648037800622E-3</v>
      </c>
      <c r="G77">
        <v>4.5539648037800622E-3</v>
      </c>
    </row>
    <row r="78" spans="1:7" x14ac:dyDescent="0.3">
      <c r="A78" t="s">
        <v>1</v>
      </c>
      <c r="B78" t="s">
        <v>26</v>
      </c>
      <c r="C78" t="s">
        <v>56</v>
      </c>
      <c r="D78">
        <v>1.25124342021187E-2</v>
      </c>
      <c r="E78">
        <v>1.25124342021187E-2</v>
      </c>
      <c r="F78">
        <v>1.25124342021187E-2</v>
      </c>
      <c r="G78">
        <v>1.25124342021187E-2</v>
      </c>
    </row>
    <row r="79" spans="1:7" x14ac:dyDescent="0.3">
      <c r="A79" t="s">
        <v>1</v>
      </c>
      <c r="B79" t="s">
        <v>26</v>
      </c>
      <c r="C79" t="s">
        <v>80</v>
      </c>
      <c r="D79">
        <v>6.2754327116588807E-2</v>
      </c>
      <c r="E79">
        <v>6.2754327116588807E-2</v>
      </c>
      <c r="F79">
        <v>6.2754327116588807E-2</v>
      </c>
      <c r="G79">
        <v>6.2754327116588807E-2</v>
      </c>
    </row>
    <row r="80" spans="1:7" x14ac:dyDescent="0.3">
      <c r="A80" t="s">
        <v>1</v>
      </c>
      <c r="B80" t="s">
        <v>26</v>
      </c>
      <c r="C80" t="s">
        <v>57</v>
      </c>
      <c r="D80">
        <v>4.636010482437881E-4</v>
      </c>
      <c r="E80">
        <v>4.636010482437881E-4</v>
      </c>
      <c r="F80">
        <v>4.636010482437881E-4</v>
      </c>
      <c r="G80">
        <v>4.636010482437881E-4</v>
      </c>
    </row>
    <row r="81" spans="1:7" x14ac:dyDescent="0.3">
      <c r="A81" t="s">
        <v>1</v>
      </c>
      <c r="B81" t="s">
        <v>26</v>
      </c>
      <c r="C81" t="s">
        <v>82</v>
      </c>
      <c r="D81">
        <v>3.7372056408958973E-5</v>
      </c>
      <c r="E81">
        <v>3.7372056408958973E-5</v>
      </c>
      <c r="F81">
        <v>3.7372056408958973E-5</v>
      </c>
      <c r="G81">
        <v>3.7372056408958973E-5</v>
      </c>
    </row>
    <row r="82" spans="1:7" x14ac:dyDescent="0.3">
      <c r="A82" t="s">
        <v>1</v>
      </c>
      <c r="B82" t="s">
        <v>26</v>
      </c>
      <c r="C82" t="s">
        <v>81</v>
      </c>
      <c r="D82">
        <v>5.9782483854334228E-5</v>
      </c>
      <c r="E82">
        <v>5.9782483854334228E-5</v>
      </c>
      <c r="F82">
        <v>5.9782483854334228E-5</v>
      </c>
      <c r="G82">
        <v>5.9782483854334228E-5</v>
      </c>
    </row>
    <row r="83" spans="1:7" x14ac:dyDescent="0.3">
      <c r="A83" t="s">
        <v>1</v>
      </c>
      <c r="B83" t="s">
        <v>27</v>
      </c>
      <c r="C83" t="s">
        <v>79</v>
      </c>
      <c r="D83">
        <v>5.8185003338566618E-3</v>
      </c>
      <c r="E83">
        <v>5.8185003338566618E-3</v>
      </c>
      <c r="F83">
        <v>5.8185003338566618E-3</v>
      </c>
      <c r="G83">
        <v>5.8185003338566618E-3</v>
      </c>
    </row>
    <row r="84" spans="1:7" x14ac:dyDescent="0.3">
      <c r="A84" t="s">
        <v>1</v>
      </c>
      <c r="B84" t="s">
        <v>27</v>
      </c>
      <c r="C84" t="s">
        <v>56</v>
      </c>
      <c r="D84">
        <v>1.25124342021187E-2</v>
      </c>
      <c r="E84">
        <v>1.25124342021187E-2</v>
      </c>
      <c r="F84">
        <v>1.25124342021187E-2</v>
      </c>
      <c r="G84">
        <v>1.25124342021187E-2</v>
      </c>
    </row>
    <row r="85" spans="1:7" x14ac:dyDescent="0.3">
      <c r="A85" t="s">
        <v>1</v>
      </c>
      <c r="B85" t="s">
        <v>27</v>
      </c>
      <c r="C85" t="s">
        <v>80</v>
      </c>
      <c r="D85">
        <v>6.1061354547429912E-2</v>
      </c>
      <c r="E85">
        <v>6.1061354547429912E-2</v>
      </c>
      <c r="F85">
        <v>6.1061354547429912E-2</v>
      </c>
      <c r="G85">
        <v>6.1061354547429912E-2</v>
      </c>
    </row>
    <row r="86" spans="1:7" x14ac:dyDescent="0.3">
      <c r="A86" t="s">
        <v>1</v>
      </c>
      <c r="B86" t="s">
        <v>27</v>
      </c>
      <c r="C86" t="s">
        <v>57</v>
      </c>
      <c r="D86">
        <v>5.0811181216408739E-4</v>
      </c>
      <c r="E86">
        <v>5.0811181216408739E-4</v>
      </c>
      <c r="F86">
        <v>5.0811181216408739E-4</v>
      </c>
      <c r="G86">
        <v>5.0811181216408739E-4</v>
      </c>
    </row>
    <row r="87" spans="1:7" x14ac:dyDescent="0.3">
      <c r="A87" t="s">
        <v>1</v>
      </c>
      <c r="B87" t="s">
        <v>27</v>
      </c>
      <c r="C87" t="s">
        <v>82</v>
      </c>
      <c r="D87">
        <v>4.4818899690750763E-5</v>
      </c>
      <c r="E87">
        <v>4.4818899690750763E-5</v>
      </c>
      <c r="F87">
        <v>4.4818899690750763E-5</v>
      </c>
      <c r="G87">
        <v>4.4818899690750763E-5</v>
      </c>
    </row>
    <row r="88" spans="1:7" x14ac:dyDescent="0.3">
      <c r="A88" t="s">
        <v>1</v>
      </c>
      <c r="B88" t="s">
        <v>27</v>
      </c>
      <c r="C88" t="s">
        <v>81</v>
      </c>
      <c r="D88">
        <v>1.6433495219941928E-4</v>
      </c>
      <c r="E88">
        <v>1.6433495219941928E-4</v>
      </c>
      <c r="F88">
        <v>1.6433495219941928E-4</v>
      </c>
      <c r="G88">
        <v>1.6433495219941928E-4</v>
      </c>
    </row>
    <row r="89" spans="1:7" x14ac:dyDescent="0.3">
      <c r="A89" t="s">
        <v>1</v>
      </c>
      <c r="B89" t="s">
        <v>28</v>
      </c>
      <c r="C89" t="s">
        <v>83</v>
      </c>
      <c r="D89">
        <v>6.0119444944441031E-5</v>
      </c>
      <c r="E89">
        <v>6.0119444944441031E-5</v>
      </c>
      <c r="F89">
        <v>6.0119444944441031E-5</v>
      </c>
      <c r="G89">
        <v>6.0119444944441031E-5</v>
      </c>
    </row>
    <row r="90" spans="1:7" x14ac:dyDescent="0.3">
      <c r="A90" t="s">
        <v>1</v>
      </c>
      <c r="B90" t="s">
        <v>28</v>
      </c>
      <c r="C90" t="s">
        <v>70</v>
      </c>
      <c r="D90">
        <v>1.9307518702093402E-3</v>
      </c>
      <c r="E90">
        <v>1.9307518702093402E-3</v>
      </c>
      <c r="F90">
        <v>1.9307518702093402E-3</v>
      </c>
      <c r="G90">
        <v>1.9307518702093402E-3</v>
      </c>
    </row>
    <row r="91" spans="1:7" x14ac:dyDescent="0.3">
      <c r="A91" t="s">
        <v>1</v>
      </c>
      <c r="B91" t="s">
        <v>28</v>
      </c>
      <c r="C91" t="s">
        <v>72</v>
      </c>
      <c r="D91">
        <v>2.3419749275823093E-3</v>
      </c>
      <c r="E91">
        <v>2.3419749275823093E-3</v>
      </c>
      <c r="F91">
        <v>2.3419749275823093E-3</v>
      </c>
      <c r="G91">
        <v>2.3419749275823093E-3</v>
      </c>
    </row>
    <row r="92" spans="1:7" x14ac:dyDescent="0.3">
      <c r="A92" t="s">
        <v>1</v>
      </c>
      <c r="B92" t="s">
        <v>28</v>
      </c>
      <c r="C92" t="s">
        <v>58</v>
      </c>
      <c r="D92">
        <v>4.1541512510781462E-5</v>
      </c>
      <c r="E92">
        <v>4.1541512510781462E-5</v>
      </c>
      <c r="F92">
        <v>4.1541512510781462E-5</v>
      </c>
      <c r="G92">
        <v>4.1541512510781462E-5</v>
      </c>
    </row>
    <row r="93" spans="1:7" x14ac:dyDescent="0.3">
      <c r="A93" t="s">
        <v>1</v>
      </c>
      <c r="B93" t="s">
        <v>28</v>
      </c>
      <c r="C93" t="s">
        <v>84</v>
      </c>
      <c r="D93">
        <v>2.7551309902673119E-3</v>
      </c>
      <c r="E93">
        <v>2.7551309902673119E-3</v>
      </c>
      <c r="F93">
        <v>2.7551309902673119E-3</v>
      </c>
      <c r="G93">
        <v>2.7551309902673119E-3</v>
      </c>
    </row>
    <row r="94" spans="1:7" x14ac:dyDescent="0.3">
      <c r="A94" t="s">
        <v>1</v>
      </c>
      <c r="B94" t="s">
        <v>28</v>
      </c>
      <c r="C94" t="s">
        <v>74</v>
      </c>
      <c r="D94">
        <v>2.5180909421195701E-5</v>
      </c>
      <c r="E94">
        <v>2.5180909421195701E-5</v>
      </c>
      <c r="F94">
        <v>2.5180909421195701E-5</v>
      </c>
      <c r="G94">
        <v>2.5180909421195701E-5</v>
      </c>
    </row>
    <row r="95" spans="1:7" x14ac:dyDescent="0.3">
      <c r="A95" t="s">
        <v>1</v>
      </c>
      <c r="B95" t="s">
        <v>28</v>
      </c>
      <c r="C95" t="s">
        <v>79</v>
      </c>
      <c r="D95">
        <v>8.5330893988731904E-5</v>
      </c>
      <c r="E95">
        <v>8.5330893988731904E-5</v>
      </c>
      <c r="F95">
        <v>8.5330893988731904E-5</v>
      </c>
      <c r="G95">
        <v>8.5330893988731904E-5</v>
      </c>
    </row>
    <row r="96" spans="1:7" x14ac:dyDescent="0.3">
      <c r="A96" t="s">
        <v>1</v>
      </c>
      <c r="B96" t="s">
        <v>28</v>
      </c>
      <c r="C96" t="s">
        <v>78</v>
      </c>
      <c r="D96">
        <v>4.4299792801323103E-3</v>
      </c>
      <c r="E96">
        <v>4.4299792801323103E-3</v>
      </c>
      <c r="F96">
        <v>4.4299792801323103E-3</v>
      </c>
      <c r="G96">
        <v>4.4299792801323103E-3</v>
      </c>
    </row>
    <row r="97" spans="1:7" x14ac:dyDescent="0.3">
      <c r="A97" t="s">
        <v>1</v>
      </c>
      <c r="B97" t="s">
        <v>28</v>
      </c>
      <c r="C97" t="s">
        <v>59</v>
      </c>
      <c r="D97">
        <v>1.2141908349594975E-4</v>
      </c>
      <c r="E97">
        <v>1.2141908349594975E-4</v>
      </c>
      <c r="F97">
        <v>1.2141908349594975E-4</v>
      </c>
      <c r="G97">
        <v>1.2141908349594975E-4</v>
      </c>
    </row>
    <row r="98" spans="1:7" x14ac:dyDescent="0.3">
      <c r="A98" t="s">
        <v>1</v>
      </c>
      <c r="B98" t="s">
        <v>28</v>
      </c>
      <c r="C98" t="s">
        <v>56</v>
      </c>
      <c r="D98">
        <v>1.0591153391304856E-4</v>
      </c>
      <c r="E98">
        <v>1.0591153391304856E-4</v>
      </c>
      <c r="F98">
        <v>1.0591153391304856E-4</v>
      </c>
      <c r="G98">
        <v>1.0591153391304856E-4</v>
      </c>
    </row>
    <row r="99" spans="1:7" x14ac:dyDescent="0.3">
      <c r="A99" t="s">
        <v>1</v>
      </c>
      <c r="B99" t="s">
        <v>28</v>
      </c>
      <c r="C99" t="s">
        <v>57</v>
      </c>
      <c r="D99">
        <v>1.5772902243659103E-4</v>
      </c>
      <c r="E99">
        <v>1.5772902243659103E-4</v>
      </c>
      <c r="F99">
        <v>1.5772902243659103E-4</v>
      </c>
      <c r="G99">
        <v>1.5772902243659103E-4</v>
      </c>
    </row>
    <row r="100" spans="1:7" x14ac:dyDescent="0.3">
      <c r="A100" t="s">
        <v>1</v>
      </c>
      <c r="B100" t="s">
        <v>29</v>
      </c>
      <c r="C100" t="s">
        <v>58</v>
      </c>
      <c r="D100">
        <v>1.1321631078810967E-3</v>
      </c>
      <c r="E100">
        <v>1.1321631078810967E-3</v>
      </c>
      <c r="F100">
        <v>1.1321631078810967E-3</v>
      </c>
      <c r="G100">
        <v>1.1321631078810967E-3</v>
      </c>
    </row>
    <row r="101" spans="1:7" x14ac:dyDescent="0.3">
      <c r="A101" t="s">
        <v>1</v>
      </c>
      <c r="B101" t="s">
        <v>29</v>
      </c>
      <c r="C101" t="s">
        <v>85</v>
      </c>
      <c r="D101">
        <v>3.4110764816888989E-2</v>
      </c>
      <c r="E101">
        <v>3.4110764816888989E-2</v>
      </c>
      <c r="F101">
        <v>3.4110764816888989E-2</v>
      </c>
      <c r="G101">
        <v>3.4110764816888989E-2</v>
      </c>
    </row>
    <row r="102" spans="1:7" x14ac:dyDescent="0.3">
      <c r="A102" t="s">
        <v>1</v>
      </c>
      <c r="B102" t="s">
        <v>29</v>
      </c>
      <c r="C102" t="s">
        <v>56</v>
      </c>
      <c r="D102">
        <v>0.14921452942577426</v>
      </c>
      <c r="E102">
        <v>0.14921452942577426</v>
      </c>
      <c r="F102">
        <v>0.14921452942577426</v>
      </c>
      <c r="G102">
        <v>0.14921452942577426</v>
      </c>
    </row>
    <row r="103" spans="1:7" x14ac:dyDescent="0.3">
      <c r="A103" t="s">
        <v>1</v>
      </c>
      <c r="B103" t="s">
        <v>29</v>
      </c>
      <c r="C103" t="s">
        <v>86</v>
      </c>
      <c r="D103">
        <v>6.9357030081447224E-3</v>
      </c>
      <c r="E103">
        <v>6.9357030081447224E-3</v>
      </c>
      <c r="F103">
        <v>6.9357030081447224E-3</v>
      </c>
      <c r="G103">
        <v>6.9357030081447224E-3</v>
      </c>
    </row>
    <row r="104" spans="1:7" x14ac:dyDescent="0.3">
      <c r="A104" t="s">
        <v>1</v>
      </c>
      <c r="B104" t="s">
        <v>29</v>
      </c>
      <c r="C104" t="s">
        <v>57</v>
      </c>
      <c r="D104">
        <v>9.3339336546012443E-4</v>
      </c>
      <c r="E104">
        <v>9.3339336546012443E-4</v>
      </c>
      <c r="F104">
        <v>9.3339336546012443E-4</v>
      </c>
      <c r="G104">
        <v>9.3339336546012443E-4</v>
      </c>
    </row>
    <row r="105" spans="1:7" x14ac:dyDescent="0.3">
      <c r="A105" t="s">
        <v>1</v>
      </c>
      <c r="B105" t="s">
        <v>30</v>
      </c>
      <c r="C105" t="s">
        <v>72</v>
      </c>
      <c r="D105">
        <v>3.9525247653480082E-2</v>
      </c>
      <c r="E105">
        <v>3.9525247653480082E-2</v>
      </c>
      <c r="F105">
        <v>3.9525247653480082E-2</v>
      </c>
      <c r="G105">
        <v>3.9525247653480082E-2</v>
      </c>
    </row>
    <row r="106" spans="1:7" x14ac:dyDescent="0.3">
      <c r="A106" t="s">
        <v>1</v>
      </c>
      <c r="B106" t="s">
        <v>30</v>
      </c>
      <c r="C106" t="s">
        <v>58</v>
      </c>
      <c r="D106">
        <v>2.7237900827154231E-4</v>
      </c>
      <c r="E106">
        <v>2.7237900827154231E-4</v>
      </c>
      <c r="F106">
        <v>2.7237900827154231E-4</v>
      </c>
      <c r="G106">
        <v>2.7237900827154231E-4</v>
      </c>
    </row>
    <row r="107" spans="1:7" x14ac:dyDescent="0.3">
      <c r="A107" t="s">
        <v>1</v>
      </c>
      <c r="B107" t="s">
        <v>30</v>
      </c>
      <c r="C107" t="s">
        <v>74</v>
      </c>
      <c r="D107">
        <v>1.4522948231444308E-6</v>
      </c>
      <c r="E107">
        <v>1.4522948231444308E-6</v>
      </c>
      <c r="F107">
        <v>1.4522948231444308E-6</v>
      </c>
      <c r="G107">
        <v>1.4522948231444308E-6</v>
      </c>
    </row>
    <row r="108" spans="1:7" x14ac:dyDescent="0.3">
      <c r="A108" t="s">
        <v>1</v>
      </c>
      <c r="B108" t="s">
        <v>30</v>
      </c>
      <c r="C108" t="s">
        <v>59</v>
      </c>
      <c r="D108">
        <v>5.2174639381506648E-5</v>
      </c>
      <c r="E108">
        <v>5.2174639381506648E-5</v>
      </c>
      <c r="F108">
        <v>5.2174639381506648E-5</v>
      </c>
      <c r="G108">
        <v>5.2174639381506648E-5</v>
      </c>
    </row>
    <row r="109" spans="1:7" x14ac:dyDescent="0.3">
      <c r="A109" t="s">
        <v>1</v>
      </c>
      <c r="B109" t="s">
        <v>30</v>
      </c>
      <c r="C109" t="s">
        <v>56</v>
      </c>
      <c r="D109">
        <v>2.5774854393347708E-8</v>
      </c>
      <c r="E109">
        <v>2.5774854393347708E-8</v>
      </c>
      <c r="F109">
        <v>2.5774854393347708E-8</v>
      </c>
      <c r="G109">
        <v>2.5774854393347708E-8</v>
      </c>
    </row>
    <row r="110" spans="1:7" x14ac:dyDescent="0.3">
      <c r="A110" t="s">
        <v>1</v>
      </c>
      <c r="B110" t="s">
        <v>30</v>
      </c>
      <c r="C110" t="s">
        <v>57</v>
      </c>
      <c r="D110">
        <v>1.0225389050486993E-3</v>
      </c>
      <c r="E110">
        <v>1.0225389050486993E-3</v>
      </c>
      <c r="F110">
        <v>1.0225389050486993E-3</v>
      </c>
      <c r="G110">
        <v>1.0225389050486993E-3</v>
      </c>
    </row>
    <row r="111" spans="1:7" x14ac:dyDescent="0.3">
      <c r="A111" t="s">
        <v>1</v>
      </c>
      <c r="B111" t="s">
        <v>30</v>
      </c>
      <c r="C111" t="s">
        <v>81</v>
      </c>
      <c r="D111">
        <v>5.9766496575348919E-5</v>
      </c>
      <c r="E111">
        <v>5.9766496575348919E-5</v>
      </c>
      <c r="F111">
        <v>5.9766496575348919E-5</v>
      </c>
      <c r="G111">
        <v>5.9766496575348919E-5</v>
      </c>
    </row>
    <row r="112" spans="1:7" x14ac:dyDescent="0.3">
      <c r="A112" t="s">
        <v>1</v>
      </c>
      <c r="B112" t="s">
        <v>31</v>
      </c>
      <c r="C112" t="s">
        <v>87</v>
      </c>
      <c r="D112">
        <v>1.5583793506514267E-4</v>
      </c>
      <c r="E112">
        <v>1.5583793506514267E-4</v>
      </c>
      <c r="F112">
        <v>1.5583793506514267E-4</v>
      </c>
      <c r="G112">
        <v>1.5583793506514267E-4</v>
      </c>
    </row>
    <row r="113" spans="1:7" x14ac:dyDescent="0.3">
      <c r="A113" t="s">
        <v>1</v>
      </c>
      <c r="B113" t="s">
        <v>31</v>
      </c>
      <c r="C113" t="s">
        <v>70</v>
      </c>
      <c r="D113">
        <v>0.21990953593752827</v>
      </c>
      <c r="E113">
        <v>0.21990953593752827</v>
      </c>
      <c r="F113">
        <v>0.21990953593752827</v>
      </c>
      <c r="G113">
        <v>0.21990953593752827</v>
      </c>
    </row>
    <row r="114" spans="1:7" x14ac:dyDescent="0.3">
      <c r="A114" t="s">
        <v>1</v>
      </c>
      <c r="B114" t="s">
        <v>31</v>
      </c>
      <c r="C114" t="s">
        <v>58</v>
      </c>
      <c r="D114">
        <v>1.583416936171627E-3</v>
      </c>
      <c r="E114">
        <v>1.583416936171627E-3</v>
      </c>
      <c r="F114">
        <v>1.583416936171627E-3</v>
      </c>
      <c r="G114">
        <v>1.583416936171627E-3</v>
      </c>
    </row>
    <row r="115" spans="1:7" x14ac:dyDescent="0.3">
      <c r="A115" t="s">
        <v>1</v>
      </c>
      <c r="B115" t="s">
        <v>31</v>
      </c>
      <c r="C115" t="s">
        <v>73</v>
      </c>
      <c r="D115">
        <v>2.2576115967100959E-3</v>
      </c>
      <c r="E115">
        <v>2.2576115967100959E-3</v>
      </c>
      <c r="F115">
        <v>2.2576115967100959E-3</v>
      </c>
      <c r="G115">
        <v>2.2576115967100959E-3</v>
      </c>
    </row>
    <row r="116" spans="1:7" x14ac:dyDescent="0.3">
      <c r="A116" t="s">
        <v>1</v>
      </c>
      <c r="B116" t="s">
        <v>31</v>
      </c>
      <c r="C116" t="s">
        <v>75</v>
      </c>
      <c r="D116">
        <v>3.3182713587639448E-4</v>
      </c>
      <c r="E116">
        <v>3.3182713587639448E-4</v>
      </c>
      <c r="F116">
        <v>3.3182713587639448E-4</v>
      </c>
      <c r="G116">
        <v>3.3182713587639448E-4</v>
      </c>
    </row>
    <row r="117" spans="1:7" x14ac:dyDescent="0.3">
      <c r="A117" t="s">
        <v>1</v>
      </c>
      <c r="B117" t="s">
        <v>31</v>
      </c>
      <c r="C117" t="s">
        <v>59</v>
      </c>
      <c r="D117">
        <v>8.0937906806480731E-4</v>
      </c>
      <c r="E117">
        <v>8.0937906806480731E-4</v>
      </c>
      <c r="F117">
        <v>8.0937906806480731E-4</v>
      </c>
      <c r="G117">
        <v>8.0937906806480731E-4</v>
      </c>
    </row>
    <row r="118" spans="1:7" x14ac:dyDescent="0.3">
      <c r="A118" t="s">
        <v>1</v>
      </c>
      <c r="B118" t="s">
        <v>31</v>
      </c>
      <c r="C118" t="s">
        <v>56</v>
      </c>
      <c r="D118">
        <v>5.5656073473492741E-4</v>
      </c>
      <c r="E118">
        <v>5.5656073473492741E-4</v>
      </c>
      <c r="F118">
        <v>5.5656073473492741E-4</v>
      </c>
      <c r="G118">
        <v>5.5656073473492741E-4</v>
      </c>
    </row>
    <row r="119" spans="1:7" x14ac:dyDescent="0.3">
      <c r="A119" t="s">
        <v>1</v>
      </c>
      <c r="B119" t="s">
        <v>31</v>
      </c>
      <c r="C119" t="s">
        <v>88</v>
      </c>
      <c r="D119">
        <v>1.9954931538189047E-5</v>
      </c>
      <c r="E119">
        <v>1.9954931538189047E-5</v>
      </c>
      <c r="F119">
        <v>1.9954931538189047E-5</v>
      </c>
      <c r="G119">
        <v>1.9954931538189047E-5</v>
      </c>
    </row>
    <row r="120" spans="1:7" x14ac:dyDescent="0.3">
      <c r="A120" t="s">
        <v>1</v>
      </c>
      <c r="B120" t="s">
        <v>31</v>
      </c>
      <c r="C120" t="s">
        <v>57</v>
      </c>
      <c r="D120">
        <v>1.6957473940799801E-3</v>
      </c>
      <c r="E120">
        <v>1.6957473940799801E-3</v>
      </c>
      <c r="F120">
        <v>1.6957473940799801E-3</v>
      </c>
      <c r="G120">
        <v>1.6957473940799801E-3</v>
      </c>
    </row>
    <row r="121" spans="1:7" x14ac:dyDescent="0.3">
      <c r="A121" t="s">
        <v>1</v>
      </c>
      <c r="B121" t="s">
        <v>32</v>
      </c>
      <c r="C121" t="s">
        <v>58</v>
      </c>
      <c r="D121">
        <v>1.177903562057108E-4</v>
      </c>
      <c r="E121">
        <v>1.177903562057108E-4</v>
      </c>
      <c r="F121">
        <v>1.177903562057108E-4</v>
      </c>
      <c r="G121">
        <v>1.177903562057108E-4</v>
      </c>
    </row>
    <row r="122" spans="1:7" x14ac:dyDescent="0.3">
      <c r="A122" t="s">
        <v>1</v>
      </c>
      <c r="B122" t="s">
        <v>32</v>
      </c>
      <c r="C122" t="s">
        <v>89</v>
      </c>
      <c r="D122">
        <v>1.4966313896401795E-3</v>
      </c>
      <c r="E122">
        <v>1.4966313896401795E-3</v>
      </c>
      <c r="F122">
        <v>1.4966313896401795E-3</v>
      </c>
      <c r="G122">
        <v>1.4966313896401795E-3</v>
      </c>
    </row>
    <row r="123" spans="1:7" x14ac:dyDescent="0.3">
      <c r="A123" t="s">
        <v>1</v>
      </c>
      <c r="B123" t="s">
        <v>32</v>
      </c>
      <c r="C123" t="s">
        <v>73</v>
      </c>
      <c r="D123">
        <v>9.2359460431069004E-2</v>
      </c>
      <c r="E123">
        <v>9.2359460431069004E-2</v>
      </c>
      <c r="F123">
        <v>9.2359460431069004E-2</v>
      </c>
      <c r="G123">
        <v>9.2359460431069004E-2</v>
      </c>
    </row>
    <row r="124" spans="1:7" x14ac:dyDescent="0.3">
      <c r="A124" t="s">
        <v>1</v>
      </c>
      <c r="B124" t="s">
        <v>32</v>
      </c>
      <c r="C124" t="s">
        <v>74</v>
      </c>
      <c r="D124">
        <v>1.6797043868065463E-5</v>
      </c>
      <c r="E124">
        <v>1.6797043868065463E-5</v>
      </c>
      <c r="F124">
        <v>1.6797043868065463E-5</v>
      </c>
      <c r="G124">
        <v>1.6797043868065463E-5</v>
      </c>
    </row>
    <row r="125" spans="1:7" x14ac:dyDescent="0.3">
      <c r="A125" t="s">
        <v>1</v>
      </c>
      <c r="B125" t="s">
        <v>32</v>
      </c>
      <c r="C125" t="s">
        <v>75</v>
      </c>
      <c r="D125">
        <v>6.6517920575329887E-5</v>
      </c>
      <c r="E125">
        <v>6.6517920575329887E-5</v>
      </c>
      <c r="F125">
        <v>6.6517920575329887E-5</v>
      </c>
      <c r="G125">
        <v>6.6517920575329887E-5</v>
      </c>
    </row>
    <row r="126" spans="1:7" x14ac:dyDescent="0.3">
      <c r="A126" t="s">
        <v>1</v>
      </c>
      <c r="B126" t="s">
        <v>32</v>
      </c>
      <c r="C126" t="s">
        <v>78</v>
      </c>
      <c r="D126">
        <v>5.2808710798476401E-3</v>
      </c>
      <c r="E126">
        <v>5.2808710798476401E-3</v>
      </c>
      <c r="F126">
        <v>5.2808710798476401E-3</v>
      </c>
      <c r="G126">
        <v>5.2808710798476401E-3</v>
      </c>
    </row>
    <row r="127" spans="1:7" x14ac:dyDescent="0.3">
      <c r="A127" t="s">
        <v>1</v>
      </c>
      <c r="B127" t="s">
        <v>32</v>
      </c>
      <c r="C127" t="s">
        <v>59</v>
      </c>
      <c r="D127">
        <v>2.1045974472631265E-4</v>
      </c>
      <c r="E127">
        <v>2.1045974472631265E-4</v>
      </c>
      <c r="F127">
        <v>2.1045974472631265E-4</v>
      </c>
      <c r="G127">
        <v>2.1045974472631265E-4</v>
      </c>
    </row>
    <row r="128" spans="1:7" x14ac:dyDescent="0.3">
      <c r="A128" t="s">
        <v>1</v>
      </c>
      <c r="B128" t="s">
        <v>32</v>
      </c>
      <c r="C128" t="s">
        <v>56</v>
      </c>
      <c r="D128">
        <v>5.5656073473492741E-4</v>
      </c>
      <c r="E128">
        <v>5.5656073473492741E-4</v>
      </c>
      <c r="F128">
        <v>5.5656073473492741E-4</v>
      </c>
      <c r="G128">
        <v>5.5656073473492741E-4</v>
      </c>
    </row>
    <row r="129" spans="1:7" x14ac:dyDescent="0.3">
      <c r="A129" t="s">
        <v>1</v>
      </c>
      <c r="B129" t="s">
        <v>32</v>
      </c>
      <c r="C129" t="s">
        <v>57</v>
      </c>
      <c r="D129">
        <v>8.2876345595702132E-4</v>
      </c>
      <c r="E129">
        <v>8.2876345595702132E-4</v>
      </c>
      <c r="F129">
        <v>8.2876345595702132E-4</v>
      </c>
      <c r="G129">
        <v>8.2876345595702132E-4</v>
      </c>
    </row>
    <row r="130" spans="1:7" x14ac:dyDescent="0.3">
      <c r="A130" t="s">
        <v>1</v>
      </c>
      <c r="B130" t="s">
        <v>33</v>
      </c>
      <c r="C130" t="s">
        <v>87</v>
      </c>
      <c r="D130">
        <v>8.6093939646081884E-3</v>
      </c>
      <c r="E130">
        <v>8.4884961500837353E-3</v>
      </c>
      <c r="F130">
        <v>8.6093939646081884E-3</v>
      </c>
      <c r="G130">
        <v>8.6093939646081884E-3</v>
      </c>
    </row>
    <row r="131" spans="1:7" x14ac:dyDescent="0.3">
      <c r="A131" t="s">
        <v>1</v>
      </c>
      <c r="B131" t="s">
        <v>33</v>
      </c>
      <c r="C131">
        <v>4140</v>
      </c>
      <c r="D131">
        <v>1.2153968066235955E-5</v>
      </c>
      <c r="E131">
        <v>5.4650167686001847E-6</v>
      </c>
      <c r="F131">
        <v>1.2153968066235955E-5</v>
      </c>
      <c r="G131">
        <v>1.2153968066235955E-5</v>
      </c>
    </row>
    <row r="132" spans="1:7" x14ac:dyDescent="0.3">
      <c r="A132" t="s">
        <v>1</v>
      </c>
      <c r="B132" t="s">
        <v>33</v>
      </c>
      <c r="C132" t="s">
        <v>70</v>
      </c>
      <c r="D132">
        <v>0.22287377855089849</v>
      </c>
      <c r="E132">
        <v>0.21681671967473523</v>
      </c>
      <c r="F132">
        <v>0.22287377855089849</v>
      </c>
      <c r="G132">
        <v>0.22287377855089849</v>
      </c>
    </row>
    <row r="133" spans="1:7" x14ac:dyDescent="0.3">
      <c r="A133" t="s">
        <v>1</v>
      </c>
      <c r="B133" t="s">
        <v>33</v>
      </c>
      <c r="C133" t="s">
        <v>71</v>
      </c>
      <c r="D133">
        <v>9.2269151362274412E-2</v>
      </c>
      <c r="E133">
        <v>9.0398457977171817E-2</v>
      </c>
      <c r="F133">
        <v>9.2269151362274412E-2</v>
      </c>
      <c r="G133">
        <v>9.2269151362274412E-2</v>
      </c>
    </row>
    <row r="134" spans="1:7" x14ac:dyDescent="0.3">
      <c r="A134" t="s">
        <v>1</v>
      </c>
      <c r="B134" t="s">
        <v>33</v>
      </c>
      <c r="C134" t="s">
        <v>72</v>
      </c>
      <c r="D134">
        <v>5.0287389539828992E-3</v>
      </c>
      <c r="E134">
        <v>4.9632765999788244E-3</v>
      </c>
      <c r="F134">
        <v>5.0287389539828992E-3</v>
      </c>
      <c r="G134">
        <v>5.0287389539828992E-3</v>
      </c>
    </row>
    <row r="135" spans="1:7" x14ac:dyDescent="0.3">
      <c r="A135" t="s">
        <v>1</v>
      </c>
      <c r="B135" t="s">
        <v>33</v>
      </c>
      <c r="C135" t="s">
        <v>58</v>
      </c>
      <c r="D135">
        <v>1.0251516925154667E-2</v>
      </c>
      <c r="E135">
        <v>1.0105923080586649E-2</v>
      </c>
      <c r="F135">
        <v>1.0251516925154667E-2</v>
      </c>
      <c r="G135">
        <v>1.0251516925154667E-2</v>
      </c>
    </row>
    <row r="136" spans="1:7" x14ac:dyDescent="0.3">
      <c r="A136" t="s">
        <v>1</v>
      </c>
      <c r="B136" t="s">
        <v>33</v>
      </c>
      <c r="C136" t="s">
        <v>75</v>
      </c>
      <c r="D136">
        <v>6.3294570479503103E-4</v>
      </c>
      <c r="E136">
        <v>6.2906205156114815E-4</v>
      </c>
      <c r="F136">
        <v>6.3294570479503103E-4</v>
      </c>
      <c r="G136">
        <v>6.3294570479503103E-4</v>
      </c>
    </row>
    <row r="137" spans="1:7" x14ac:dyDescent="0.3">
      <c r="A137" t="s">
        <v>1</v>
      </c>
      <c r="B137" t="s">
        <v>33</v>
      </c>
      <c r="C137" t="s">
        <v>59</v>
      </c>
      <c r="D137">
        <v>1.7341579478393166E-3</v>
      </c>
      <c r="E137">
        <v>1.6392163288312346E-3</v>
      </c>
      <c r="F137">
        <v>1.7341579478393166E-3</v>
      </c>
      <c r="G137">
        <v>1.7341579478393166E-3</v>
      </c>
    </row>
    <row r="138" spans="1:7" x14ac:dyDescent="0.3">
      <c r="A138" t="s">
        <v>1</v>
      </c>
      <c r="B138" t="s">
        <v>33</v>
      </c>
      <c r="C138" t="s">
        <v>56</v>
      </c>
      <c r="D138">
        <v>4.3000495297944565E-2</v>
      </c>
      <c r="E138">
        <v>4.3000923173463476E-2</v>
      </c>
      <c r="F138">
        <v>4.3000495297944565E-2</v>
      </c>
      <c r="G138">
        <v>4.3000495297944565E-2</v>
      </c>
    </row>
    <row r="139" spans="1:7" x14ac:dyDescent="0.3">
      <c r="A139" t="s">
        <v>1</v>
      </c>
      <c r="B139" t="s">
        <v>33</v>
      </c>
      <c r="C139" t="s">
        <v>57</v>
      </c>
      <c r="D139">
        <v>0.17205475770250733</v>
      </c>
      <c r="E139">
        <v>0.17201041206169065</v>
      </c>
      <c r="F139">
        <v>0.17205475770250733</v>
      </c>
      <c r="G139">
        <v>0.17205475770250733</v>
      </c>
    </row>
    <row r="140" spans="1:7" x14ac:dyDescent="0.3">
      <c r="A140" t="s">
        <v>1</v>
      </c>
      <c r="B140" t="s">
        <v>34</v>
      </c>
      <c r="C140" t="s">
        <v>82</v>
      </c>
      <c r="D140">
        <v>4.4824872431511705E-4</v>
      </c>
      <c r="E140">
        <v>4.4818899690750725E-4</v>
      </c>
      <c r="F140">
        <v>4.4824872431511705E-4</v>
      </c>
      <c r="G140">
        <v>4.4824872431511705E-4</v>
      </c>
    </row>
    <row r="141" spans="1:7" x14ac:dyDescent="0.3">
      <c r="A141" t="s">
        <v>1</v>
      </c>
      <c r="B141" t="s">
        <v>34</v>
      </c>
      <c r="C141" t="s">
        <v>90</v>
      </c>
      <c r="D141">
        <v>1.2194753912384258E-2</v>
      </c>
      <c r="E141">
        <v>1.2134357481148715E-2</v>
      </c>
      <c r="F141">
        <v>1.2194753912384258E-2</v>
      </c>
      <c r="G141">
        <v>1.2194753912384258E-2</v>
      </c>
    </row>
    <row r="142" spans="1:7" x14ac:dyDescent="0.3">
      <c r="A142" t="s">
        <v>1</v>
      </c>
      <c r="B142" t="s">
        <v>35</v>
      </c>
      <c r="C142" t="s">
        <v>87</v>
      </c>
      <c r="D142">
        <v>6.6121615997241401E-5</v>
      </c>
      <c r="E142">
        <v>6.6121615997241401E-5</v>
      </c>
      <c r="F142">
        <v>6.6121615997241401E-5</v>
      </c>
      <c r="G142">
        <v>6.6121615997241401E-5</v>
      </c>
    </row>
    <row r="143" spans="1:7" x14ac:dyDescent="0.3">
      <c r="A143" t="s">
        <v>1</v>
      </c>
      <c r="B143" t="s">
        <v>35</v>
      </c>
      <c r="C143" t="s">
        <v>58</v>
      </c>
      <c r="D143">
        <v>3.9156694243091582E-3</v>
      </c>
      <c r="E143">
        <v>3.9156694243091582E-3</v>
      </c>
      <c r="F143">
        <v>3.9156694243091582E-3</v>
      </c>
      <c r="G143">
        <v>3.9156694243091582E-3</v>
      </c>
    </row>
    <row r="144" spans="1:7" x14ac:dyDescent="0.3">
      <c r="A144" t="s">
        <v>1</v>
      </c>
      <c r="B144" t="s">
        <v>35</v>
      </c>
      <c r="C144" t="s">
        <v>73</v>
      </c>
      <c r="D144">
        <v>5.6621261531096485E-2</v>
      </c>
      <c r="E144">
        <v>5.6621261531096485E-2</v>
      </c>
      <c r="F144">
        <v>5.6621261531096485E-2</v>
      </c>
      <c r="G144">
        <v>5.6621261531096485E-2</v>
      </c>
    </row>
    <row r="145" spans="1:7" x14ac:dyDescent="0.3">
      <c r="A145" t="s">
        <v>1</v>
      </c>
      <c r="B145" t="s">
        <v>35</v>
      </c>
      <c r="C145" t="s">
        <v>91</v>
      </c>
      <c r="D145">
        <v>2.6778316816330606E-3</v>
      </c>
      <c r="E145">
        <v>2.6778316816330606E-3</v>
      </c>
      <c r="F145">
        <v>2.6778316816330606E-3</v>
      </c>
      <c r="G145">
        <v>2.6778316816330606E-3</v>
      </c>
    </row>
    <row r="146" spans="1:7" x14ac:dyDescent="0.3">
      <c r="A146" t="s">
        <v>1</v>
      </c>
      <c r="B146" t="s">
        <v>35</v>
      </c>
      <c r="C146" t="s">
        <v>75</v>
      </c>
      <c r="D146">
        <v>3.7745717099771158E-4</v>
      </c>
      <c r="E146">
        <v>3.7745717099771158E-4</v>
      </c>
      <c r="F146">
        <v>3.7745717099771158E-4</v>
      </c>
      <c r="G146">
        <v>3.7745717099771158E-4</v>
      </c>
    </row>
    <row r="147" spans="1:7" x14ac:dyDescent="0.3">
      <c r="A147" t="s">
        <v>1</v>
      </c>
      <c r="B147" t="s">
        <v>35</v>
      </c>
      <c r="C147" t="s">
        <v>59</v>
      </c>
      <c r="D147">
        <v>5.3909304084672849E-4</v>
      </c>
      <c r="E147">
        <v>5.3909304084672849E-4</v>
      </c>
      <c r="F147">
        <v>5.3909304084672849E-4</v>
      </c>
      <c r="G147">
        <v>5.3909304084672849E-4</v>
      </c>
    </row>
    <row r="148" spans="1:7" x14ac:dyDescent="0.3">
      <c r="A148" t="s">
        <v>1</v>
      </c>
      <c r="B148" t="s">
        <v>35</v>
      </c>
      <c r="C148" t="s">
        <v>56</v>
      </c>
      <c r="D148">
        <v>2.7652475393491041E-2</v>
      </c>
      <c r="E148">
        <v>2.7652475393491041E-2</v>
      </c>
      <c r="F148">
        <v>2.7652475393491041E-2</v>
      </c>
      <c r="G148">
        <v>2.7652475393491041E-2</v>
      </c>
    </row>
    <row r="149" spans="1:7" x14ac:dyDescent="0.3">
      <c r="A149" t="s">
        <v>1</v>
      </c>
      <c r="B149" t="s">
        <v>35</v>
      </c>
      <c r="C149" t="s">
        <v>57</v>
      </c>
      <c r="D149">
        <v>3.1831903508738418E-4</v>
      </c>
      <c r="E149">
        <v>3.1831903508738418E-4</v>
      </c>
      <c r="F149">
        <v>3.1831903508738418E-4</v>
      </c>
      <c r="G149">
        <v>3.1831903508738418E-4</v>
      </c>
    </row>
    <row r="150" spans="1:7" x14ac:dyDescent="0.3">
      <c r="A150" t="s">
        <v>1</v>
      </c>
      <c r="B150" t="s">
        <v>36</v>
      </c>
      <c r="C150" t="s">
        <v>70</v>
      </c>
      <c r="D150">
        <v>0.22625200715636551</v>
      </c>
      <c r="E150">
        <v>0.22625200715636551</v>
      </c>
      <c r="F150">
        <v>0.22625200715636551</v>
      </c>
      <c r="G150">
        <v>0.22625200715636551</v>
      </c>
    </row>
    <row r="151" spans="1:7" x14ac:dyDescent="0.3">
      <c r="A151" t="s">
        <v>1</v>
      </c>
      <c r="B151" t="s">
        <v>36</v>
      </c>
      <c r="C151" t="s">
        <v>71</v>
      </c>
      <c r="D151">
        <v>6.311199449277609E-3</v>
      </c>
      <c r="E151">
        <v>6.311199449277609E-3</v>
      </c>
      <c r="F151">
        <v>6.311199449277609E-3</v>
      </c>
      <c r="G151">
        <v>6.311199449277609E-3</v>
      </c>
    </row>
    <row r="152" spans="1:7" x14ac:dyDescent="0.3">
      <c r="A152" t="s">
        <v>1</v>
      </c>
      <c r="B152" t="s">
        <v>36</v>
      </c>
      <c r="C152" t="s">
        <v>58</v>
      </c>
      <c r="D152">
        <v>3.0961810266387124E-3</v>
      </c>
      <c r="E152">
        <v>3.0961810266387124E-3</v>
      </c>
      <c r="F152">
        <v>3.0961810266387124E-3</v>
      </c>
      <c r="G152">
        <v>3.0961810266387124E-3</v>
      </c>
    </row>
    <row r="153" spans="1:7" x14ac:dyDescent="0.3">
      <c r="A153" t="s">
        <v>1</v>
      </c>
      <c r="B153" t="s">
        <v>36</v>
      </c>
      <c r="C153" t="s">
        <v>75</v>
      </c>
      <c r="D153">
        <v>1.6771208168787167E-4</v>
      </c>
      <c r="E153">
        <v>1.6771208168787167E-4</v>
      </c>
      <c r="F153">
        <v>1.6771208168787167E-4</v>
      </c>
      <c r="G153">
        <v>1.6771208168787167E-4</v>
      </c>
    </row>
    <row r="154" spans="1:7" x14ac:dyDescent="0.3">
      <c r="A154" t="s">
        <v>1</v>
      </c>
      <c r="B154" t="s">
        <v>36</v>
      </c>
      <c r="C154" t="s">
        <v>78</v>
      </c>
      <c r="D154">
        <v>1.7326471567771454E-3</v>
      </c>
      <c r="E154">
        <v>1.7326471567771454E-3</v>
      </c>
      <c r="F154">
        <v>1.7326471567771454E-3</v>
      </c>
      <c r="G154">
        <v>1.7326471567771454E-3</v>
      </c>
    </row>
    <row r="155" spans="1:7" x14ac:dyDescent="0.3">
      <c r="A155" t="s">
        <v>1</v>
      </c>
      <c r="B155" t="s">
        <v>36</v>
      </c>
      <c r="C155" t="s">
        <v>59</v>
      </c>
      <c r="D155">
        <v>5.2814049351228619E-3</v>
      </c>
      <c r="E155">
        <v>5.2814049351228619E-3</v>
      </c>
      <c r="F155">
        <v>5.2814049351228619E-3</v>
      </c>
      <c r="G155">
        <v>5.2814049351228619E-3</v>
      </c>
    </row>
    <row r="156" spans="1:7" x14ac:dyDescent="0.3">
      <c r="A156" t="s">
        <v>1</v>
      </c>
      <c r="B156" t="s">
        <v>36</v>
      </c>
      <c r="C156" t="s">
        <v>56</v>
      </c>
      <c r="D156">
        <v>4.5738041002545104E-5</v>
      </c>
      <c r="E156">
        <v>4.5738041002545104E-5</v>
      </c>
      <c r="F156">
        <v>4.5738041002545104E-5</v>
      </c>
      <c r="G156">
        <v>4.5738041002545104E-5</v>
      </c>
    </row>
    <row r="157" spans="1:7" x14ac:dyDescent="0.3">
      <c r="A157" t="s">
        <v>1</v>
      </c>
      <c r="B157" t="s">
        <v>36</v>
      </c>
      <c r="C157" t="s">
        <v>80</v>
      </c>
      <c r="D157">
        <v>1.7085183647087766E-4</v>
      </c>
      <c r="E157">
        <v>1.7085183647087766E-4</v>
      </c>
      <c r="F157">
        <v>1.7085183647087766E-4</v>
      </c>
      <c r="G157">
        <v>1.7085183647087766E-4</v>
      </c>
    </row>
    <row r="158" spans="1:7" x14ac:dyDescent="0.3">
      <c r="A158" t="s">
        <v>1</v>
      </c>
      <c r="B158" t="s">
        <v>36</v>
      </c>
      <c r="C158" t="s">
        <v>57</v>
      </c>
      <c r="D158">
        <v>2.6780886037593502E-4</v>
      </c>
      <c r="E158">
        <v>2.6780886037593502E-4</v>
      </c>
      <c r="F158">
        <v>2.6780886037593502E-4</v>
      </c>
      <c r="G158">
        <v>2.6780886037593502E-4</v>
      </c>
    </row>
    <row r="159" spans="1:7" x14ac:dyDescent="0.3">
      <c r="A159" t="s">
        <v>1</v>
      </c>
      <c r="B159" t="s">
        <v>37</v>
      </c>
      <c r="C159" t="s">
        <v>70</v>
      </c>
      <c r="D159">
        <v>8.1887232878453245E-2</v>
      </c>
      <c r="E159">
        <v>8.1887232878453245E-2</v>
      </c>
      <c r="F159">
        <v>8.1887232878453245E-2</v>
      </c>
      <c r="G159">
        <v>8.1887232878453245E-2</v>
      </c>
    </row>
    <row r="160" spans="1:7" x14ac:dyDescent="0.3">
      <c r="A160" t="s">
        <v>1</v>
      </c>
      <c r="B160" t="s">
        <v>37</v>
      </c>
      <c r="C160" t="s">
        <v>71</v>
      </c>
      <c r="D160">
        <v>2.264725147586847E-2</v>
      </c>
      <c r="E160">
        <v>2.264725147586847E-2</v>
      </c>
      <c r="F160">
        <v>2.264725147586847E-2</v>
      </c>
      <c r="G160">
        <v>2.264725147586847E-2</v>
      </c>
    </row>
    <row r="161" spans="1:7" x14ac:dyDescent="0.3">
      <c r="A161" t="s">
        <v>1</v>
      </c>
      <c r="B161" t="s">
        <v>37</v>
      </c>
      <c r="C161" t="s">
        <v>92</v>
      </c>
      <c r="D161">
        <v>4.2570430714986902E-4</v>
      </c>
      <c r="E161">
        <v>4.2570430714986902E-4</v>
      </c>
      <c r="F161">
        <v>4.2570430714986902E-4</v>
      </c>
      <c r="G161">
        <v>4.2570430714986902E-4</v>
      </c>
    </row>
    <row r="162" spans="1:7" x14ac:dyDescent="0.3">
      <c r="A162" t="s">
        <v>1</v>
      </c>
      <c r="B162" t="s">
        <v>37</v>
      </c>
      <c r="C162" t="s">
        <v>58</v>
      </c>
      <c r="D162">
        <v>3.1833722677096049E-4</v>
      </c>
      <c r="E162">
        <v>3.1833722677096049E-4</v>
      </c>
      <c r="F162">
        <v>3.1833722677096049E-4</v>
      </c>
      <c r="G162">
        <v>3.1833722677096049E-4</v>
      </c>
    </row>
    <row r="163" spans="1:7" x14ac:dyDescent="0.3">
      <c r="A163" t="s">
        <v>1</v>
      </c>
      <c r="B163" t="s">
        <v>37</v>
      </c>
      <c r="C163" t="s">
        <v>74</v>
      </c>
      <c r="D163">
        <v>5.8823381197650576E-5</v>
      </c>
      <c r="E163">
        <v>5.8823381197650576E-5</v>
      </c>
      <c r="F163">
        <v>5.8823381197650576E-5</v>
      </c>
      <c r="G163">
        <v>5.8823381197650576E-5</v>
      </c>
    </row>
    <row r="164" spans="1:7" x14ac:dyDescent="0.3">
      <c r="A164" t="s">
        <v>1</v>
      </c>
      <c r="B164" t="s">
        <v>37</v>
      </c>
      <c r="C164" t="s">
        <v>75</v>
      </c>
      <c r="D164">
        <v>1.9558331876918367E-4</v>
      </c>
      <c r="E164">
        <v>1.9558331876918367E-4</v>
      </c>
      <c r="F164">
        <v>1.9558331876918367E-4</v>
      </c>
      <c r="G164">
        <v>1.9558331876918367E-4</v>
      </c>
    </row>
    <row r="165" spans="1:7" x14ac:dyDescent="0.3">
      <c r="A165" t="s">
        <v>1</v>
      </c>
      <c r="B165" t="s">
        <v>37</v>
      </c>
      <c r="C165" t="s">
        <v>78</v>
      </c>
      <c r="D165">
        <v>2.2521959311421044E-4</v>
      </c>
      <c r="E165">
        <v>2.2521959311421044E-4</v>
      </c>
      <c r="F165">
        <v>2.2521959311421044E-4</v>
      </c>
      <c r="G165">
        <v>2.2521959311421044E-4</v>
      </c>
    </row>
    <row r="166" spans="1:7" x14ac:dyDescent="0.3">
      <c r="A166" t="s">
        <v>1</v>
      </c>
      <c r="B166" t="s">
        <v>37</v>
      </c>
      <c r="C166" t="s">
        <v>59</v>
      </c>
      <c r="D166">
        <v>7.1836313690751578E-4</v>
      </c>
      <c r="E166">
        <v>7.1836313690751578E-4</v>
      </c>
      <c r="F166">
        <v>7.1836313690751578E-4</v>
      </c>
      <c r="G166">
        <v>7.1836313690751578E-4</v>
      </c>
    </row>
    <row r="167" spans="1:7" x14ac:dyDescent="0.3">
      <c r="A167" t="s">
        <v>1</v>
      </c>
      <c r="B167" t="s">
        <v>37</v>
      </c>
      <c r="C167" t="s">
        <v>56</v>
      </c>
      <c r="D167">
        <v>5.0866576433428554E-5</v>
      </c>
      <c r="E167">
        <v>5.0866576433428554E-5</v>
      </c>
      <c r="F167">
        <v>5.0866576433428554E-5</v>
      </c>
      <c r="G167">
        <v>5.0866576433428554E-5</v>
      </c>
    </row>
    <row r="168" spans="1:7" x14ac:dyDescent="0.3">
      <c r="A168" t="s">
        <v>1</v>
      </c>
      <c r="B168" t="s">
        <v>37</v>
      </c>
      <c r="C168" t="s">
        <v>93</v>
      </c>
      <c r="D168">
        <v>9.769672873358278E-6</v>
      </c>
      <c r="E168">
        <v>9.769672873358278E-6</v>
      </c>
      <c r="F168">
        <v>9.769672873358278E-6</v>
      </c>
      <c r="G168">
        <v>9.769672873358278E-6</v>
      </c>
    </row>
    <row r="169" spans="1:7" x14ac:dyDescent="0.3">
      <c r="A169" t="s">
        <v>1</v>
      </c>
      <c r="B169" t="s">
        <v>37</v>
      </c>
      <c r="C169" t="s">
        <v>57</v>
      </c>
      <c r="D169">
        <v>2.0478968649505688E-4</v>
      </c>
      <c r="E169">
        <v>2.0478968649505688E-4</v>
      </c>
      <c r="F169">
        <v>2.0478968649505688E-4</v>
      </c>
      <c r="G169">
        <v>2.0478968649505688E-4</v>
      </c>
    </row>
    <row r="170" spans="1:7" x14ac:dyDescent="0.3">
      <c r="A170" t="s">
        <v>1</v>
      </c>
      <c r="B170" t="s">
        <v>38</v>
      </c>
      <c r="C170" t="s">
        <v>70</v>
      </c>
      <c r="D170">
        <v>5.7069004529805827E-3</v>
      </c>
      <c r="E170">
        <v>5.7069004529805827E-3</v>
      </c>
      <c r="F170">
        <v>5.7069004529805827E-3</v>
      </c>
      <c r="G170">
        <v>5.7069004529805827E-3</v>
      </c>
    </row>
    <row r="171" spans="1:7" x14ac:dyDescent="0.3">
      <c r="A171" t="s">
        <v>1</v>
      </c>
      <c r="B171" t="s">
        <v>38</v>
      </c>
      <c r="C171" t="s">
        <v>71</v>
      </c>
      <c r="D171">
        <v>3.7397431665635485E-4</v>
      </c>
      <c r="E171">
        <v>3.7397431665635485E-4</v>
      </c>
      <c r="F171">
        <v>3.7397431665635485E-4</v>
      </c>
      <c r="G171">
        <v>3.7397431665635485E-4</v>
      </c>
    </row>
    <row r="172" spans="1:7" x14ac:dyDescent="0.3">
      <c r="A172" t="s">
        <v>1</v>
      </c>
      <c r="B172" t="s">
        <v>38</v>
      </c>
      <c r="C172" t="s">
        <v>75</v>
      </c>
      <c r="D172">
        <v>1.3948170084530428E-5</v>
      </c>
      <c r="E172">
        <v>1.3948170084530428E-5</v>
      </c>
      <c r="F172">
        <v>1.3948170084530428E-5</v>
      </c>
      <c r="G172">
        <v>1.3948170084530428E-5</v>
      </c>
    </row>
    <row r="173" spans="1:7" x14ac:dyDescent="0.3">
      <c r="A173" t="s">
        <v>1</v>
      </c>
      <c r="B173" t="s">
        <v>38</v>
      </c>
      <c r="C173" t="s">
        <v>59</v>
      </c>
      <c r="D173">
        <v>7.0789920499897893E-5</v>
      </c>
      <c r="E173">
        <v>7.0789920499897893E-5</v>
      </c>
      <c r="F173">
        <v>7.0789920499897893E-5</v>
      </c>
      <c r="G173">
        <v>7.0789920499897893E-5</v>
      </c>
    </row>
    <row r="174" spans="1:7" x14ac:dyDescent="0.3">
      <c r="A174" t="s">
        <v>1</v>
      </c>
      <c r="B174" t="s">
        <v>38</v>
      </c>
      <c r="C174" t="s">
        <v>56</v>
      </c>
      <c r="D174">
        <v>4.9111043924377866E-3</v>
      </c>
      <c r="E174">
        <v>4.9111043924377866E-3</v>
      </c>
      <c r="F174">
        <v>4.9111043924377866E-3</v>
      </c>
      <c r="G174">
        <v>4.9111043924377866E-3</v>
      </c>
    </row>
    <row r="175" spans="1:7" x14ac:dyDescent="0.3">
      <c r="A175" t="s">
        <v>1</v>
      </c>
      <c r="B175" t="s">
        <v>38</v>
      </c>
      <c r="C175" t="s">
        <v>80</v>
      </c>
      <c r="D175">
        <v>1.5462091200614425E-2</v>
      </c>
      <c r="E175">
        <v>1.5462091200614425E-2</v>
      </c>
      <c r="F175">
        <v>1.5462091200614425E-2</v>
      </c>
      <c r="G175">
        <v>1.5462091200614425E-2</v>
      </c>
    </row>
    <row r="176" spans="1:7" x14ac:dyDescent="0.3">
      <c r="A176" t="s">
        <v>1</v>
      </c>
      <c r="B176" t="s">
        <v>38</v>
      </c>
      <c r="C176" t="s">
        <v>57</v>
      </c>
      <c r="D176">
        <v>4.270590622871916E-5</v>
      </c>
      <c r="E176">
        <v>4.270590622871916E-5</v>
      </c>
      <c r="F176">
        <v>4.270590622871916E-5</v>
      </c>
      <c r="G176">
        <v>4.270590622871916E-5</v>
      </c>
    </row>
    <row r="177" spans="1:7" x14ac:dyDescent="0.3">
      <c r="A177" t="s">
        <v>1</v>
      </c>
      <c r="B177" t="s">
        <v>39</v>
      </c>
      <c r="C177" t="s">
        <v>72</v>
      </c>
      <c r="D177">
        <v>1.471675439375552E-2</v>
      </c>
      <c r="E177">
        <v>1.471675439375552E-2</v>
      </c>
      <c r="F177">
        <v>1.471675439375552E-2</v>
      </c>
      <c r="G177">
        <v>1.471675439375552E-2</v>
      </c>
    </row>
    <row r="178" spans="1:7" x14ac:dyDescent="0.3">
      <c r="A178" t="s">
        <v>1</v>
      </c>
      <c r="B178" t="s">
        <v>39</v>
      </c>
      <c r="C178" t="s">
        <v>58</v>
      </c>
      <c r="D178">
        <v>7.4021957310146331E-5</v>
      </c>
      <c r="E178">
        <v>7.4021957310146331E-5</v>
      </c>
      <c r="F178">
        <v>7.4021957310146331E-5</v>
      </c>
      <c r="G178">
        <v>7.4021957310146331E-5</v>
      </c>
    </row>
    <row r="179" spans="1:7" x14ac:dyDescent="0.3">
      <c r="A179" t="s">
        <v>1</v>
      </c>
      <c r="B179" t="s">
        <v>39</v>
      </c>
      <c r="C179" t="s">
        <v>56</v>
      </c>
      <c r="D179">
        <v>2.5774854393347708E-8</v>
      </c>
      <c r="E179">
        <v>2.5774854393347708E-8</v>
      </c>
      <c r="F179">
        <v>2.5774854393347708E-8</v>
      </c>
      <c r="G179">
        <v>2.5774854393347708E-8</v>
      </c>
    </row>
    <row r="180" spans="1:7" x14ac:dyDescent="0.3">
      <c r="A180" t="s">
        <v>1</v>
      </c>
      <c r="B180" t="s">
        <v>39</v>
      </c>
      <c r="C180" t="s">
        <v>57</v>
      </c>
      <c r="D180">
        <v>6.792944223510698E-5</v>
      </c>
      <c r="E180">
        <v>6.792944223510698E-5</v>
      </c>
      <c r="F180">
        <v>6.792944223510698E-5</v>
      </c>
      <c r="G180">
        <v>6.792944223510698E-5</v>
      </c>
    </row>
    <row r="181" spans="1:7" x14ac:dyDescent="0.3">
      <c r="A181" t="s">
        <v>1</v>
      </c>
      <c r="B181" t="s">
        <v>39</v>
      </c>
      <c r="C181" t="s">
        <v>81</v>
      </c>
      <c r="D181">
        <v>5.230724377254259E-5</v>
      </c>
      <c r="E181">
        <v>5.230724377254259E-5</v>
      </c>
      <c r="F181">
        <v>5.230724377254259E-5</v>
      </c>
      <c r="G181">
        <v>5.230724377254259E-5</v>
      </c>
    </row>
    <row r="182" spans="1:7" x14ac:dyDescent="0.3">
      <c r="A182" t="s">
        <v>1</v>
      </c>
      <c r="B182" t="s">
        <v>40</v>
      </c>
      <c r="C182" t="s">
        <v>72</v>
      </c>
      <c r="D182">
        <v>1.1544257543119676E-3</v>
      </c>
      <c r="E182">
        <v>1.1375659450043281E-3</v>
      </c>
      <c r="F182">
        <v>1.1544257543119676E-3</v>
      </c>
      <c r="G182">
        <v>1.1544257543119676E-3</v>
      </c>
    </row>
    <row r="183" spans="1:7" x14ac:dyDescent="0.3">
      <c r="A183" t="s">
        <v>1</v>
      </c>
      <c r="B183" t="s">
        <v>40</v>
      </c>
      <c r="C183" t="s">
        <v>73</v>
      </c>
      <c r="D183">
        <v>1.2974190794248739E-5</v>
      </c>
      <c r="E183">
        <v>1.2883401114346187E-5</v>
      </c>
      <c r="F183">
        <v>1.2974190794248739E-5</v>
      </c>
      <c r="G183">
        <v>1.2974190794248739E-5</v>
      </c>
    </row>
    <row r="184" spans="1:7" x14ac:dyDescent="0.3">
      <c r="A184" t="s">
        <v>1</v>
      </c>
      <c r="B184" t="s">
        <v>40</v>
      </c>
      <c r="C184" t="s">
        <v>84</v>
      </c>
      <c r="D184">
        <v>9.5839671096808186E-4</v>
      </c>
      <c r="E184">
        <v>9.5849778470664731E-4</v>
      </c>
      <c r="F184">
        <v>9.5839671096808186E-4</v>
      </c>
      <c r="G184">
        <v>9.5839671096808186E-4</v>
      </c>
    </row>
    <row r="185" spans="1:7" x14ac:dyDescent="0.3">
      <c r="A185" t="s">
        <v>1</v>
      </c>
      <c r="B185" t="s">
        <v>40</v>
      </c>
      <c r="C185" t="s">
        <v>79</v>
      </c>
      <c r="D185">
        <v>2.0804630211173589E-4</v>
      </c>
      <c r="E185">
        <v>2.0802538107697672E-4</v>
      </c>
      <c r="F185">
        <v>2.0804630211173589E-4</v>
      </c>
      <c r="G185">
        <v>2.0804630211173589E-4</v>
      </c>
    </row>
    <row r="186" spans="1:7" x14ac:dyDescent="0.3">
      <c r="A186" t="s">
        <v>1</v>
      </c>
      <c r="B186" t="s">
        <v>40</v>
      </c>
      <c r="C186" t="s">
        <v>56</v>
      </c>
      <c r="D186">
        <v>2.7244049425627042E-5</v>
      </c>
      <c r="E186">
        <v>2.724983016747491E-5</v>
      </c>
      <c r="F186">
        <v>2.7244049425627042E-5</v>
      </c>
      <c r="G186">
        <v>2.7244049425627042E-5</v>
      </c>
    </row>
    <row r="187" spans="1:7" x14ac:dyDescent="0.3">
      <c r="A187" t="s">
        <v>1</v>
      </c>
      <c r="B187" t="s">
        <v>40</v>
      </c>
      <c r="C187" t="s">
        <v>57</v>
      </c>
      <c r="D187">
        <v>4.1112631367983994E-3</v>
      </c>
      <c r="E187">
        <v>4.1112631367983994E-3</v>
      </c>
      <c r="F187">
        <v>4.1112631367983994E-3</v>
      </c>
      <c r="G187">
        <v>4.1112631367983994E-3</v>
      </c>
    </row>
    <row r="188" spans="1:7" x14ac:dyDescent="0.3">
      <c r="A188" t="s">
        <v>1</v>
      </c>
      <c r="B188" t="s">
        <v>41</v>
      </c>
      <c r="C188" t="s">
        <v>72</v>
      </c>
      <c r="D188">
        <v>1.8679239176268422E-3</v>
      </c>
      <c r="E188">
        <v>1.8418189462956448E-3</v>
      </c>
      <c r="F188">
        <v>1.8679239176268422E-3</v>
      </c>
      <c r="G188">
        <v>1.8679239176268422E-3</v>
      </c>
    </row>
    <row r="189" spans="1:7" x14ac:dyDescent="0.3">
      <c r="A189" t="s">
        <v>1</v>
      </c>
      <c r="B189" t="s">
        <v>41</v>
      </c>
      <c r="C189" t="s">
        <v>58</v>
      </c>
      <c r="D189">
        <v>1.134112717918832E-4</v>
      </c>
      <c r="E189">
        <v>4.9248746614433208E-5</v>
      </c>
      <c r="F189">
        <v>1.134112717918832E-4</v>
      </c>
      <c r="G189">
        <v>1.134112717918832E-4</v>
      </c>
    </row>
    <row r="190" spans="1:7" x14ac:dyDescent="0.3">
      <c r="A190" t="s">
        <v>1</v>
      </c>
      <c r="B190" t="s">
        <v>41</v>
      </c>
      <c r="C190" t="s">
        <v>84</v>
      </c>
      <c r="D190">
        <v>1.4760544796432031E-3</v>
      </c>
      <c r="E190">
        <v>1.4760544796432031E-3</v>
      </c>
      <c r="F190">
        <v>1.4760544796432031E-3</v>
      </c>
      <c r="G190">
        <v>1.4760544796432031E-3</v>
      </c>
    </row>
    <row r="191" spans="1:7" x14ac:dyDescent="0.3">
      <c r="A191" t="s">
        <v>1</v>
      </c>
      <c r="B191" t="s">
        <v>41</v>
      </c>
      <c r="C191" t="s">
        <v>79</v>
      </c>
      <c r="D191">
        <v>2.0804630211173589E-4</v>
      </c>
      <c r="E191">
        <v>2.0804630211173589E-4</v>
      </c>
      <c r="F191">
        <v>2.0804630211173589E-4</v>
      </c>
      <c r="G191">
        <v>2.0804630211173589E-4</v>
      </c>
    </row>
    <row r="192" spans="1:7" x14ac:dyDescent="0.3">
      <c r="A192" t="s">
        <v>1</v>
      </c>
      <c r="B192" t="s">
        <v>41</v>
      </c>
      <c r="C192" t="s">
        <v>56</v>
      </c>
      <c r="D192">
        <v>2.7244049425627042E-5</v>
      </c>
      <c r="E192">
        <v>2.7244049425627042E-5</v>
      </c>
      <c r="F192">
        <v>2.7244049425627042E-5</v>
      </c>
      <c r="G192">
        <v>2.7244049425627042E-5</v>
      </c>
    </row>
    <row r="193" spans="1:7" x14ac:dyDescent="0.3">
      <c r="A193" t="s">
        <v>1</v>
      </c>
      <c r="B193" t="s">
        <v>41</v>
      </c>
      <c r="C193" t="s">
        <v>57</v>
      </c>
      <c r="D193">
        <v>4.6654633347460546E-3</v>
      </c>
      <c r="E193">
        <v>4.6654633347460546E-3</v>
      </c>
      <c r="F193">
        <v>4.6654633347460546E-3</v>
      </c>
      <c r="G193">
        <v>4.6654633347460546E-3</v>
      </c>
    </row>
    <row r="194" spans="1:7" x14ac:dyDescent="0.3">
      <c r="A194" t="s">
        <v>1</v>
      </c>
      <c r="B194" t="s">
        <v>41</v>
      </c>
      <c r="C194" t="s">
        <v>82</v>
      </c>
      <c r="D194">
        <v>4.4824872431511748E-5</v>
      </c>
      <c r="E194">
        <v>4.4824872431511748E-5</v>
      </c>
      <c r="F194">
        <v>4.4824872431511748E-5</v>
      </c>
      <c r="G194">
        <v>4.4824872431511748E-5</v>
      </c>
    </row>
    <row r="195" spans="1:7" x14ac:dyDescent="0.3">
      <c r="A195" t="s">
        <v>1</v>
      </c>
      <c r="B195" t="s">
        <v>42</v>
      </c>
      <c r="C195" t="s">
        <v>72</v>
      </c>
      <c r="D195">
        <v>1.0082768201236596E-2</v>
      </c>
      <c r="E195">
        <v>1.0082768201236596E-2</v>
      </c>
      <c r="F195">
        <v>1.0082768201236596E-2</v>
      </c>
      <c r="G195">
        <v>1.0082768201236596E-2</v>
      </c>
    </row>
    <row r="196" spans="1:7" x14ac:dyDescent="0.3">
      <c r="A196" t="s">
        <v>1</v>
      </c>
      <c r="B196" t="s">
        <v>42</v>
      </c>
      <c r="C196" t="s">
        <v>94</v>
      </c>
      <c r="D196">
        <v>3.9405260005607777E-3</v>
      </c>
      <c r="E196">
        <v>3.9405260005607777E-3</v>
      </c>
      <c r="F196">
        <v>3.9405260005607777E-3</v>
      </c>
      <c r="G196">
        <v>3.9405260005607777E-3</v>
      </c>
    </row>
    <row r="197" spans="1:7" x14ac:dyDescent="0.3">
      <c r="A197" t="s">
        <v>1</v>
      </c>
      <c r="B197" t="s">
        <v>42</v>
      </c>
      <c r="C197" t="s">
        <v>58</v>
      </c>
      <c r="D197">
        <v>1.5670609364786987E-4</v>
      </c>
      <c r="E197">
        <v>1.5670609364786987E-4</v>
      </c>
      <c r="F197">
        <v>1.5670609364786987E-4</v>
      </c>
      <c r="G197">
        <v>1.5670609364786987E-4</v>
      </c>
    </row>
    <row r="198" spans="1:7" x14ac:dyDescent="0.3">
      <c r="A198" t="s">
        <v>1</v>
      </c>
      <c r="B198" t="s">
        <v>42</v>
      </c>
      <c r="C198" t="s">
        <v>56</v>
      </c>
      <c r="D198">
        <v>1.4415525523493433E-2</v>
      </c>
      <c r="E198">
        <v>1.4415525523493433E-2</v>
      </c>
      <c r="F198">
        <v>1.4415525523493433E-2</v>
      </c>
      <c r="G198">
        <v>1.4415525523493433E-2</v>
      </c>
    </row>
    <row r="199" spans="1:7" x14ac:dyDescent="0.3">
      <c r="A199" t="s">
        <v>1</v>
      </c>
      <c r="B199" t="s">
        <v>42</v>
      </c>
      <c r="C199" t="s">
        <v>57</v>
      </c>
      <c r="D199">
        <v>1.8228650725510772E-4</v>
      </c>
      <c r="E199">
        <v>1.8228650725510772E-4</v>
      </c>
      <c r="F199">
        <v>1.8228650725510772E-4</v>
      </c>
      <c r="G199">
        <v>1.8228650725510772E-4</v>
      </c>
    </row>
    <row r="200" spans="1:7" x14ac:dyDescent="0.3">
      <c r="A200" t="s">
        <v>1</v>
      </c>
      <c r="B200" t="s">
        <v>43</v>
      </c>
      <c r="C200" t="s">
        <v>87</v>
      </c>
      <c r="D200">
        <v>2.1860067074400732E-5</v>
      </c>
      <c r="E200">
        <v>2.1860067074400732E-5</v>
      </c>
      <c r="F200">
        <v>2.1860067074400732E-5</v>
      </c>
      <c r="G200">
        <v>2.1860067074400732E-5</v>
      </c>
    </row>
    <row r="201" spans="1:7" x14ac:dyDescent="0.3">
      <c r="A201" t="s">
        <v>1</v>
      </c>
      <c r="B201" t="s">
        <v>43</v>
      </c>
      <c r="C201" t="s">
        <v>70</v>
      </c>
      <c r="D201">
        <v>9.5673172137054244E-2</v>
      </c>
      <c r="E201">
        <v>9.5673172137054244E-2</v>
      </c>
      <c r="F201">
        <v>9.5673172137054244E-2</v>
      </c>
      <c r="G201">
        <v>9.5673172137054244E-2</v>
      </c>
    </row>
    <row r="202" spans="1:7" x14ac:dyDescent="0.3">
      <c r="A202" t="s">
        <v>1</v>
      </c>
      <c r="B202" t="s">
        <v>43</v>
      </c>
      <c r="C202" t="s">
        <v>72</v>
      </c>
      <c r="D202">
        <v>2.6710692645135876E-2</v>
      </c>
      <c r="E202">
        <v>2.6710692645135876E-2</v>
      </c>
      <c r="F202">
        <v>2.6710692645135876E-2</v>
      </c>
      <c r="G202">
        <v>2.6710692645135876E-2</v>
      </c>
    </row>
    <row r="203" spans="1:7" x14ac:dyDescent="0.3">
      <c r="A203" t="s">
        <v>1</v>
      </c>
      <c r="B203" t="s">
        <v>43</v>
      </c>
      <c r="C203" t="s">
        <v>58</v>
      </c>
      <c r="D203">
        <v>2.5783429937662643E-4</v>
      </c>
      <c r="E203">
        <v>2.5783429937662643E-4</v>
      </c>
      <c r="F203">
        <v>2.5783429937662643E-4</v>
      </c>
      <c r="G203">
        <v>2.5783429937662643E-4</v>
      </c>
    </row>
    <row r="204" spans="1:7" x14ac:dyDescent="0.3">
      <c r="A204" t="s">
        <v>1</v>
      </c>
      <c r="B204" t="s">
        <v>43</v>
      </c>
      <c r="C204" t="s">
        <v>74</v>
      </c>
      <c r="D204">
        <v>1.6787272947463796E-4</v>
      </c>
      <c r="E204">
        <v>1.6787272947463796E-4</v>
      </c>
      <c r="F204">
        <v>1.6787272947463796E-4</v>
      </c>
      <c r="G204">
        <v>1.6787272947463796E-4</v>
      </c>
    </row>
    <row r="205" spans="1:7" x14ac:dyDescent="0.3">
      <c r="A205" t="s">
        <v>1</v>
      </c>
      <c r="B205" t="s">
        <v>43</v>
      </c>
      <c r="C205" t="s">
        <v>75</v>
      </c>
      <c r="D205">
        <v>1.2965168143328751E-4</v>
      </c>
      <c r="E205">
        <v>1.2965168143328751E-4</v>
      </c>
      <c r="F205">
        <v>1.2965168143328751E-4</v>
      </c>
      <c r="G205">
        <v>1.2965168143328751E-4</v>
      </c>
    </row>
    <row r="206" spans="1:7" x14ac:dyDescent="0.3">
      <c r="A206" t="s">
        <v>1</v>
      </c>
      <c r="B206" t="s">
        <v>43</v>
      </c>
      <c r="C206" t="s">
        <v>78</v>
      </c>
      <c r="D206">
        <v>8.6252791504765449E-4</v>
      </c>
      <c r="E206">
        <v>8.6252791504765449E-4</v>
      </c>
      <c r="F206">
        <v>8.6252791504765449E-4</v>
      </c>
      <c r="G206">
        <v>8.6252791504765449E-4</v>
      </c>
    </row>
    <row r="207" spans="1:7" x14ac:dyDescent="0.3">
      <c r="A207" t="s">
        <v>1</v>
      </c>
      <c r="B207" t="s">
        <v>43</v>
      </c>
      <c r="C207" t="s">
        <v>59</v>
      </c>
      <c r="D207">
        <v>8.0937906806480731E-4</v>
      </c>
      <c r="E207">
        <v>8.0937906806480731E-4</v>
      </c>
      <c r="F207">
        <v>8.0937906806480731E-4</v>
      </c>
      <c r="G207">
        <v>8.0937906806480731E-4</v>
      </c>
    </row>
    <row r="208" spans="1:7" x14ac:dyDescent="0.3">
      <c r="A208" t="s">
        <v>1</v>
      </c>
      <c r="B208" t="s">
        <v>43</v>
      </c>
      <c r="C208" t="s">
        <v>56</v>
      </c>
      <c r="D208">
        <v>9.5457261167070654E-5</v>
      </c>
      <c r="E208">
        <v>9.5457261167070654E-5</v>
      </c>
      <c r="F208">
        <v>9.5457261167070654E-5</v>
      </c>
      <c r="G208">
        <v>9.5457261167070654E-5</v>
      </c>
    </row>
    <row r="209" spans="1:7" x14ac:dyDescent="0.3">
      <c r="A209" t="s">
        <v>1</v>
      </c>
      <c r="B209" t="s">
        <v>43</v>
      </c>
      <c r="C209" t="s">
        <v>95</v>
      </c>
      <c r="D209">
        <v>9.769672873358278E-6</v>
      </c>
      <c r="E209">
        <v>9.769672873358278E-6</v>
      </c>
      <c r="F209">
        <v>9.769672873358278E-6</v>
      </c>
      <c r="G209">
        <v>9.769672873358278E-6</v>
      </c>
    </row>
    <row r="210" spans="1:7" x14ac:dyDescent="0.3">
      <c r="A210" t="s">
        <v>1</v>
      </c>
      <c r="B210" t="s">
        <v>43</v>
      </c>
      <c r="C210" t="s">
        <v>57</v>
      </c>
      <c r="D210">
        <v>3.8489135405931729E-4</v>
      </c>
      <c r="E210">
        <v>3.8489135405931729E-4</v>
      </c>
      <c r="F210">
        <v>3.8489135405931729E-4</v>
      </c>
      <c r="G210">
        <v>3.8489135405931729E-4</v>
      </c>
    </row>
    <row r="211" spans="1:7" x14ac:dyDescent="0.3">
      <c r="A211" t="s">
        <v>1</v>
      </c>
      <c r="B211" t="s">
        <v>44</v>
      </c>
      <c r="C211" t="s">
        <v>72</v>
      </c>
      <c r="D211">
        <v>2.0901302509456637E-2</v>
      </c>
      <c r="E211">
        <v>2.0901302509456637E-2</v>
      </c>
      <c r="F211">
        <v>2.0901302509456637E-2</v>
      </c>
      <c r="G211">
        <v>2.0901302509456637E-2</v>
      </c>
    </row>
    <row r="212" spans="1:7" x14ac:dyDescent="0.3">
      <c r="A212" t="s">
        <v>1</v>
      </c>
      <c r="B212" t="s">
        <v>44</v>
      </c>
      <c r="C212" t="s">
        <v>58</v>
      </c>
      <c r="D212">
        <v>1.8207969821990952E-4</v>
      </c>
      <c r="E212">
        <v>1.8207969821990952E-4</v>
      </c>
      <c r="F212">
        <v>1.8207969821990952E-4</v>
      </c>
      <c r="G212">
        <v>1.8207969821990952E-4</v>
      </c>
    </row>
    <row r="213" spans="1:7" x14ac:dyDescent="0.3">
      <c r="A213" t="s">
        <v>1</v>
      </c>
      <c r="B213" t="s">
        <v>44</v>
      </c>
      <c r="C213" t="s">
        <v>74</v>
      </c>
      <c r="D213">
        <v>2.2874400898662275E-6</v>
      </c>
      <c r="E213">
        <v>2.2874400898662275E-6</v>
      </c>
      <c r="F213">
        <v>2.2874400898662275E-6</v>
      </c>
      <c r="G213">
        <v>2.2874400898662275E-6</v>
      </c>
    </row>
    <row r="214" spans="1:7" x14ac:dyDescent="0.3">
      <c r="A214" t="s">
        <v>1</v>
      </c>
      <c r="B214" t="s">
        <v>44</v>
      </c>
      <c r="C214" t="s">
        <v>56</v>
      </c>
      <c r="D214">
        <v>7.9443779419897579E-5</v>
      </c>
      <c r="E214">
        <v>7.9443779419897579E-5</v>
      </c>
      <c r="F214">
        <v>7.9443779419897579E-5</v>
      </c>
      <c r="G214">
        <v>7.9443779419897579E-5</v>
      </c>
    </row>
    <row r="215" spans="1:7" x14ac:dyDescent="0.3">
      <c r="A215" t="s">
        <v>1</v>
      </c>
      <c r="B215" t="s">
        <v>44</v>
      </c>
      <c r="C215" t="s">
        <v>57</v>
      </c>
      <c r="D215">
        <v>7.2774084347364357E-5</v>
      </c>
      <c r="E215">
        <v>7.2774084347364357E-5</v>
      </c>
      <c r="F215">
        <v>7.2774084347364357E-5</v>
      </c>
      <c r="G215">
        <v>7.2774084347364357E-5</v>
      </c>
    </row>
    <row r="216" spans="1:7" x14ac:dyDescent="0.3">
      <c r="A216" t="s">
        <v>1</v>
      </c>
      <c r="B216" t="s">
        <v>45</v>
      </c>
      <c r="C216" t="s">
        <v>70</v>
      </c>
      <c r="D216">
        <v>3.2293144344192053E-2</v>
      </c>
      <c r="E216">
        <v>3.2293144344192053E-2</v>
      </c>
      <c r="F216">
        <v>3.2293144344192053E-2</v>
      </c>
      <c r="G216">
        <v>3.2293144344192053E-2</v>
      </c>
    </row>
    <row r="217" spans="1:7" x14ac:dyDescent="0.3">
      <c r="A217" t="s">
        <v>1</v>
      </c>
      <c r="B217" t="s">
        <v>45</v>
      </c>
      <c r="C217" t="s">
        <v>72</v>
      </c>
      <c r="D217">
        <v>5.3405368722510135E-3</v>
      </c>
      <c r="E217">
        <v>5.3405368722510135E-3</v>
      </c>
      <c r="F217">
        <v>5.3405368722510135E-3</v>
      </c>
      <c r="G217">
        <v>5.3405368722510135E-3</v>
      </c>
    </row>
    <row r="218" spans="1:7" x14ac:dyDescent="0.3">
      <c r="A218" t="s">
        <v>1</v>
      </c>
      <c r="B218" t="s">
        <v>45</v>
      </c>
      <c r="C218" t="s">
        <v>58</v>
      </c>
      <c r="D218">
        <v>1.5670609364786987E-4</v>
      </c>
      <c r="E218">
        <v>1.5670609364786987E-4</v>
      </c>
      <c r="F218">
        <v>1.5670609364786987E-4</v>
      </c>
      <c r="G218">
        <v>1.5670609364786987E-4</v>
      </c>
    </row>
    <row r="219" spans="1:7" x14ac:dyDescent="0.3">
      <c r="A219" t="s">
        <v>1</v>
      </c>
      <c r="B219" t="s">
        <v>45</v>
      </c>
      <c r="C219" t="s">
        <v>75</v>
      </c>
      <c r="D219">
        <v>1.9558331876918367E-4</v>
      </c>
      <c r="E219">
        <v>1.9558331876918367E-4</v>
      </c>
      <c r="F219">
        <v>1.9558331876918367E-4</v>
      </c>
      <c r="G219">
        <v>1.9558331876918367E-4</v>
      </c>
    </row>
    <row r="220" spans="1:7" x14ac:dyDescent="0.3">
      <c r="A220" t="s">
        <v>1</v>
      </c>
      <c r="B220" t="s">
        <v>45</v>
      </c>
      <c r="C220" t="s">
        <v>56</v>
      </c>
      <c r="D220">
        <v>4.7728928183535376E-5</v>
      </c>
      <c r="E220">
        <v>4.7728928183535376E-5</v>
      </c>
      <c r="F220">
        <v>4.7728928183535376E-5</v>
      </c>
      <c r="G220">
        <v>4.7728928183535376E-5</v>
      </c>
    </row>
    <row r="221" spans="1:7" x14ac:dyDescent="0.3">
      <c r="A221" t="s">
        <v>1</v>
      </c>
      <c r="B221" t="s">
        <v>45</v>
      </c>
      <c r="C221" t="s">
        <v>57</v>
      </c>
      <c r="D221">
        <v>1.3779070814573101E-4</v>
      </c>
      <c r="E221">
        <v>1.3779070814573101E-4</v>
      </c>
      <c r="F221">
        <v>1.3779070814573101E-4</v>
      </c>
      <c r="G221">
        <v>1.3779070814573101E-4</v>
      </c>
    </row>
    <row r="222" spans="1:7" x14ac:dyDescent="0.3">
      <c r="A222" t="s">
        <v>1</v>
      </c>
      <c r="B222" t="s">
        <v>46</v>
      </c>
      <c r="C222" t="s">
        <v>72</v>
      </c>
      <c r="D222">
        <v>1.074247624475215E-3</v>
      </c>
      <c r="E222">
        <v>1.074247624475215E-3</v>
      </c>
      <c r="F222">
        <v>1.074247624475215E-3</v>
      </c>
      <c r="G222">
        <v>1.074247624475215E-3</v>
      </c>
    </row>
    <row r="223" spans="1:7" x14ac:dyDescent="0.3">
      <c r="A223" t="s">
        <v>1</v>
      </c>
      <c r="B223" t="s">
        <v>46</v>
      </c>
      <c r="C223" t="s">
        <v>58</v>
      </c>
      <c r="D223">
        <v>8.2018526160601447E-6</v>
      </c>
      <c r="E223">
        <v>8.2018526160601447E-6</v>
      </c>
      <c r="F223">
        <v>8.2018526160601447E-6</v>
      </c>
      <c r="G223">
        <v>8.2018526160601447E-6</v>
      </c>
    </row>
    <row r="224" spans="1:7" x14ac:dyDescent="0.3">
      <c r="A224" t="s">
        <v>1</v>
      </c>
      <c r="B224" t="s">
        <v>46</v>
      </c>
      <c r="C224" t="s">
        <v>56</v>
      </c>
      <c r="D224">
        <v>1.9550047350810401E-3</v>
      </c>
      <c r="E224">
        <v>1.9550047350810401E-3</v>
      </c>
      <c r="F224">
        <v>1.9550047350810401E-3</v>
      </c>
      <c r="G224">
        <v>1.9550047350810401E-3</v>
      </c>
    </row>
    <row r="225" spans="1:7" x14ac:dyDescent="0.3">
      <c r="A225" t="s">
        <v>1</v>
      </c>
      <c r="B225" t="s">
        <v>46</v>
      </c>
      <c r="C225" t="s">
        <v>57</v>
      </c>
      <c r="D225">
        <v>5.8386244921309951E-6</v>
      </c>
      <c r="E225">
        <v>5.8386244921309951E-6</v>
      </c>
      <c r="F225">
        <v>5.8386244921309951E-6</v>
      </c>
      <c r="G225">
        <v>5.8386244921309951E-6</v>
      </c>
    </row>
    <row r="226" spans="1:7" x14ac:dyDescent="0.3">
      <c r="A226" t="s">
        <v>1</v>
      </c>
      <c r="B226" t="s">
        <v>47</v>
      </c>
      <c r="C226" t="s">
        <v>72</v>
      </c>
      <c r="D226">
        <v>1.2677650631070768E-3</v>
      </c>
      <c r="E226">
        <v>1.2677650631070768E-3</v>
      </c>
      <c r="F226">
        <v>1.2677650631070768E-3</v>
      </c>
      <c r="G226">
        <v>1.2677650631070768E-3</v>
      </c>
    </row>
    <row r="227" spans="1:7" x14ac:dyDescent="0.3">
      <c r="A227" t="s">
        <v>1</v>
      </c>
      <c r="B227" t="s">
        <v>47</v>
      </c>
      <c r="C227" t="s">
        <v>58</v>
      </c>
      <c r="D227">
        <v>1.5422106714228524E-5</v>
      </c>
      <c r="E227">
        <v>1.5422106714228524E-5</v>
      </c>
      <c r="F227">
        <v>1.5422106714228524E-5</v>
      </c>
      <c r="G227">
        <v>1.5422106714228524E-5</v>
      </c>
    </row>
    <row r="228" spans="1:7" x14ac:dyDescent="0.3">
      <c r="A228" t="s">
        <v>1</v>
      </c>
      <c r="B228" t="s">
        <v>47</v>
      </c>
      <c r="C228" t="s">
        <v>56</v>
      </c>
      <c r="D228">
        <v>1.9550047350810401E-3</v>
      </c>
      <c r="E228">
        <v>1.9550047350810401E-3</v>
      </c>
      <c r="F228">
        <v>1.9550047350810401E-3</v>
      </c>
      <c r="G228">
        <v>1.9550047350810401E-3</v>
      </c>
    </row>
    <row r="229" spans="1:7" x14ac:dyDescent="0.3">
      <c r="A229" t="s">
        <v>1</v>
      </c>
      <c r="B229" t="s">
        <v>47</v>
      </c>
      <c r="C229" t="s">
        <v>57</v>
      </c>
      <c r="D229">
        <v>6.3780996925484023E-6</v>
      </c>
      <c r="E229">
        <v>6.3780996925484023E-6</v>
      </c>
      <c r="F229">
        <v>6.3780996925484023E-6</v>
      </c>
      <c r="G229">
        <v>6.3780996925484023E-6</v>
      </c>
    </row>
    <row r="230" spans="1:7" x14ac:dyDescent="0.3">
      <c r="A230" t="s">
        <v>1</v>
      </c>
      <c r="B230" t="s">
        <v>48</v>
      </c>
      <c r="C230" t="s">
        <v>72</v>
      </c>
      <c r="D230">
        <v>1.0842486003991895E-4</v>
      </c>
      <c r="E230">
        <v>1.0842486003991895E-4</v>
      </c>
      <c r="F230">
        <v>1.0842486003991895E-4</v>
      </c>
      <c r="G230">
        <v>1.0842486003991895E-4</v>
      </c>
    </row>
    <row r="231" spans="1:7" x14ac:dyDescent="0.3">
      <c r="A231" t="s">
        <v>1</v>
      </c>
      <c r="B231" t="s">
        <v>48</v>
      </c>
      <c r="C231" t="s">
        <v>56</v>
      </c>
      <c r="D231">
        <v>1.9550047350810401E-3</v>
      </c>
      <c r="E231">
        <v>1.9550047350810401E-3</v>
      </c>
      <c r="F231">
        <v>1.9550047350810401E-3</v>
      </c>
      <c r="G231">
        <v>1.9550047350810401E-3</v>
      </c>
    </row>
    <row r="232" spans="1:7" x14ac:dyDescent="0.3">
      <c r="A232" t="s">
        <v>1</v>
      </c>
      <c r="B232" t="s">
        <v>48</v>
      </c>
      <c r="C232" t="s">
        <v>57</v>
      </c>
      <c r="D232">
        <v>3.4715968255404597E-6</v>
      </c>
      <c r="E232">
        <v>3.4715968255404597E-6</v>
      </c>
      <c r="F232">
        <v>3.4715968255404597E-6</v>
      </c>
      <c r="G232">
        <v>3.4715968255404597E-6</v>
      </c>
    </row>
    <row r="233" spans="1:7" x14ac:dyDescent="0.3">
      <c r="A233" t="s">
        <v>4</v>
      </c>
      <c r="B233" t="s">
        <v>49</v>
      </c>
      <c r="C233" t="s">
        <v>56</v>
      </c>
      <c r="D233">
        <v>0.19747970248234772</v>
      </c>
      <c r="E233">
        <v>0.19747970248234772</v>
      </c>
      <c r="F233">
        <v>0.19747970248234772</v>
      </c>
      <c r="G233">
        <v>0.19747970248234772</v>
      </c>
    </row>
    <row r="234" spans="1:7" x14ac:dyDescent="0.3">
      <c r="A234" t="s">
        <v>4</v>
      </c>
      <c r="B234" t="s">
        <v>49</v>
      </c>
      <c r="C234" t="s">
        <v>57</v>
      </c>
      <c r="D234">
        <v>2.4196252526236264E-2</v>
      </c>
      <c r="E234">
        <v>2.4196252526236264E-2</v>
      </c>
      <c r="F234">
        <v>2.4196252526236264E-2</v>
      </c>
      <c r="G234">
        <v>2.4196252526236264E-2</v>
      </c>
    </row>
    <row r="235" spans="1:7" x14ac:dyDescent="0.3">
      <c r="A235" t="s">
        <v>7</v>
      </c>
      <c r="B235" t="s">
        <v>53</v>
      </c>
      <c r="C235" t="s">
        <v>118</v>
      </c>
      <c r="D235">
        <v>1.0291513304971679E-3</v>
      </c>
      <c r="E235">
        <v>1.0291513304971679E-3</v>
      </c>
      <c r="F235">
        <v>1.0291513304971679E-3</v>
      </c>
      <c r="G235">
        <v>1.0291513304971679E-3</v>
      </c>
    </row>
    <row r="236" spans="1:7" x14ac:dyDescent="0.3">
      <c r="A236" t="s">
        <v>7</v>
      </c>
      <c r="B236" t="s">
        <v>53</v>
      </c>
      <c r="C236" t="s">
        <v>117</v>
      </c>
      <c r="D236">
        <v>2.8034730146105926E-3</v>
      </c>
      <c r="E236">
        <v>2.8034730146105926E-3</v>
      </c>
      <c r="F236">
        <v>2.8034730146105926E-3</v>
      </c>
      <c r="G236">
        <v>2.8034730146105926E-3</v>
      </c>
    </row>
    <row r="237" spans="1:7" x14ac:dyDescent="0.3">
      <c r="A237" t="s">
        <v>7</v>
      </c>
      <c r="B237" t="s">
        <v>53</v>
      </c>
      <c r="C237" t="s">
        <v>116</v>
      </c>
      <c r="D237">
        <v>1.9232663857789309E-2</v>
      </c>
      <c r="E237">
        <v>1.9232663857789309E-2</v>
      </c>
      <c r="F237">
        <v>1.9232663857789309E-2</v>
      </c>
      <c r="G237">
        <v>1.9232663857789309E-2</v>
      </c>
    </row>
    <row r="238" spans="1:7" x14ac:dyDescent="0.3">
      <c r="A238" t="s">
        <v>6</v>
      </c>
      <c r="B238" t="s">
        <v>50</v>
      </c>
      <c r="C238" t="s">
        <v>96</v>
      </c>
      <c r="D238">
        <v>203.32148450898345</v>
      </c>
      <c r="E238">
        <v>203.32148450898345</v>
      </c>
      <c r="F238">
        <v>194.72764944939507</v>
      </c>
      <c r="G238">
        <v>201.47255269754018</v>
      </c>
    </row>
    <row r="239" spans="1:7" x14ac:dyDescent="0.3">
      <c r="A239" t="s">
        <v>6</v>
      </c>
      <c r="B239" t="s">
        <v>50</v>
      </c>
      <c r="C239" t="s">
        <v>97</v>
      </c>
      <c r="D239">
        <v>298.52053968338907</v>
      </c>
      <c r="E239">
        <v>298.52053968338907</v>
      </c>
      <c r="F239">
        <v>285.90290467972085</v>
      </c>
      <c r="G239">
        <v>295.80590220411443</v>
      </c>
    </row>
    <row r="240" spans="1:7" x14ac:dyDescent="0.3">
      <c r="A240" t="s">
        <v>6</v>
      </c>
      <c r="B240" t="s">
        <v>51</v>
      </c>
      <c r="C240" t="s">
        <v>98</v>
      </c>
      <c r="D240">
        <v>0.16050805007999996</v>
      </c>
      <c r="E240">
        <v>0.16050805007999996</v>
      </c>
      <c r="F240">
        <v>0.16050805007999996</v>
      </c>
      <c r="G240">
        <v>0.16050805007999996</v>
      </c>
    </row>
    <row r="241" spans="1:7" x14ac:dyDescent="0.3">
      <c r="A241" t="s">
        <v>7</v>
      </c>
      <c r="B241" t="s">
        <v>52</v>
      </c>
      <c r="C241" t="s">
        <v>99</v>
      </c>
      <c r="D241">
        <v>2.6289187041272103E-4</v>
      </c>
      <c r="E241">
        <v>2.6289187041272103E-4</v>
      </c>
      <c r="F241">
        <v>2.6289187041272103E-4</v>
      </c>
      <c r="G241">
        <v>2.6289187041272103E-4</v>
      </c>
    </row>
    <row r="242" spans="1:7" x14ac:dyDescent="0.3">
      <c r="A242" t="s">
        <v>7</v>
      </c>
      <c r="B242" t="s">
        <v>52</v>
      </c>
      <c r="C242" t="s">
        <v>100</v>
      </c>
      <c r="D242">
        <v>3.3123501920769315E-3</v>
      </c>
      <c r="E242">
        <v>3.3123501920769315E-3</v>
      </c>
      <c r="F242">
        <v>3.3123501920769315E-3</v>
      </c>
      <c r="G242">
        <v>3.3123501920769315E-3</v>
      </c>
    </row>
    <row r="243" spans="1:7" x14ac:dyDescent="0.3">
      <c r="A243" t="s">
        <v>7</v>
      </c>
      <c r="B243" t="s">
        <v>52</v>
      </c>
      <c r="C243" t="s">
        <v>101</v>
      </c>
      <c r="D243">
        <v>5.2796538080650171E-2</v>
      </c>
      <c r="E243">
        <v>5.2796538080650171E-2</v>
      </c>
      <c r="F243">
        <v>5.2796538080650171E-2</v>
      </c>
      <c r="G243">
        <v>5.2796538080650171E-2</v>
      </c>
    </row>
    <row r="244" spans="1:7" x14ac:dyDescent="0.3">
      <c r="A244" t="s">
        <v>7</v>
      </c>
      <c r="B244" t="s">
        <v>52</v>
      </c>
      <c r="C244" t="s">
        <v>102</v>
      </c>
      <c r="D244">
        <v>1.7750429920694605E-3</v>
      </c>
      <c r="E244">
        <v>1.7750429920694605E-3</v>
      </c>
      <c r="F244">
        <v>1.7750429920694605E-3</v>
      </c>
      <c r="G244">
        <v>1.7750429920694605E-3</v>
      </c>
    </row>
    <row r="245" spans="1:7" x14ac:dyDescent="0.3">
      <c r="A245" t="s">
        <v>7</v>
      </c>
      <c r="B245" t="s">
        <v>52</v>
      </c>
      <c r="C245" t="s">
        <v>103</v>
      </c>
      <c r="D245">
        <v>1.4823838656075929E-3</v>
      </c>
      <c r="E245">
        <v>1.4823838656075929E-3</v>
      </c>
      <c r="F245">
        <v>1.4823838656075929E-3</v>
      </c>
      <c r="G245">
        <v>1.4823838656075929E-3</v>
      </c>
    </row>
    <row r="246" spans="1:7" x14ac:dyDescent="0.3">
      <c r="A246" t="s">
        <v>7</v>
      </c>
      <c r="B246" t="s">
        <v>53</v>
      </c>
      <c r="C246" t="s">
        <v>104</v>
      </c>
      <c r="D246">
        <v>-0.13161968899848167</v>
      </c>
      <c r="E246">
        <v>-0.13161968899848167</v>
      </c>
      <c r="F246">
        <v>-0.13161968899848167</v>
      </c>
      <c r="G246">
        <v>-0.13161968899848167</v>
      </c>
    </row>
    <row r="247" spans="1:7" x14ac:dyDescent="0.3">
      <c r="A247" t="s">
        <v>7</v>
      </c>
      <c r="B247" t="s">
        <v>53</v>
      </c>
      <c r="C247" t="s">
        <v>105</v>
      </c>
      <c r="D247">
        <v>-0.73436621545425607</v>
      </c>
      <c r="E247">
        <v>-0.73436621545425607</v>
      </c>
      <c r="F247">
        <v>-0.73436621545425607</v>
      </c>
      <c r="G247">
        <v>-0.73436621545425607</v>
      </c>
    </row>
    <row r="248" spans="1:7" x14ac:dyDescent="0.3">
      <c r="A248" t="s">
        <v>7</v>
      </c>
      <c r="B248" t="s">
        <v>53</v>
      </c>
      <c r="C248" t="s">
        <v>106</v>
      </c>
      <c r="D248">
        <v>-7.343169584099277</v>
      </c>
      <c r="E248">
        <v>-7.343169584099277</v>
      </c>
      <c r="F248">
        <v>-7.343169584099277</v>
      </c>
      <c r="G248">
        <v>-7.343169584099277</v>
      </c>
    </row>
    <row r="249" spans="1:7" x14ac:dyDescent="0.3">
      <c r="A249" t="s">
        <v>7</v>
      </c>
      <c r="B249" t="s">
        <v>53</v>
      </c>
      <c r="C249" t="s">
        <v>107</v>
      </c>
      <c r="D249">
        <v>-3.6300371428509962E-2</v>
      </c>
      <c r="E249">
        <v>-3.6300371428509962E-2</v>
      </c>
      <c r="F249">
        <v>-3.6300371428509962E-2</v>
      </c>
      <c r="G249">
        <v>-3.6300371428509962E-2</v>
      </c>
    </row>
    <row r="250" spans="1:7" x14ac:dyDescent="0.3">
      <c r="A250" t="s">
        <v>7</v>
      </c>
      <c r="B250" t="s">
        <v>53</v>
      </c>
      <c r="C250" t="s">
        <v>108</v>
      </c>
      <c r="D250">
        <v>-5.5342820852973364E-4</v>
      </c>
      <c r="E250">
        <v>-5.5342820852973364E-4</v>
      </c>
      <c r="F250">
        <v>-5.5342820852973364E-4</v>
      </c>
      <c r="G250">
        <v>-5.5342820852973364E-4</v>
      </c>
    </row>
    <row r="251" spans="1:7" x14ac:dyDescent="0.3">
      <c r="A251" t="s">
        <v>7</v>
      </c>
      <c r="B251" t="s">
        <v>53</v>
      </c>
      <c r="C251" t="s">
        <v>109</v>
      </c>
      <c r="D251">
        <v>-5.9576657912443261E-4</v>
      </c>
      <c r="E251">
        <v>-5.9576657912443261E-4</v>
      </c>
      <c r="F251">
        <v>-5.9576657912443261E-4</v>
      </c>
      <c r="G251">
        <v>-5.9576657912443261E-4</v>
      </c>
    </row>
    <row r="252" spans="1:7" x14ac:dyDescent="0.3">
      <c r="A252" t="s">
        <v>7</v>
      </c>
      <c r="B252" t="s">
        <v>53</v>
      </c>
      <c r="C252" t="s">
        <v>110</v>
      </c>
      <c r="D252">
        <v>3.9406014776760594E-5</v>
      </c>
      <c r="E252">
        <v>3.9406014776760594E-5</v>
      </c>
      <c r="F252">
        <v>3.9406014776760594E-5</v>
      </c>
      <c r="G252">
        <v>3.9406014776760594E-5</v>
      </c>
    </row>
    <row r="253" spans="1:7" x14ac:dyDescent="0.3">
      <c r="A253" t="s">
        <v>7</v>
      </c>
      <c r="B253" t="s">
        <v>53</v>
      </c>
      <c r="C253" t="s">
        <v>111</v>
      </c>
      <c r="D253">
        <v>4.9673989771860697E-4</v>
      </c>
      <c r="E253">
        <v>4.9673989771860697E-4</v>
      </c>
      <c r="F253">
        <v>4.9673989771860697E-4</v>
      </c>
      <c r="G253">
        <v>4.9673989771860697E-4</v>
      </c>
    </row>
    <row r="254" spans="1:7" x14ac:dyDescent="0.3">
      <c r="A254" t="s">
        <v>7</v>
      </c>
      <c r="B254" t="s">
        <v>53</v>
      </c>
      <c r="C254" t="s">
        <v>112</v>
      </c>
      <c r="D254">
        <v>3.8004872333553118E-2</v>
      </c>
      <c r="E254">
        <v>3.8004872333553118E-2</v>
      </c>
      <c r="F254">
        <v>3.8004872333553118E-2</v>
      </c>
      <c r="G254">
        <v>3.8004872333553118E-2</v>
      </c>
    </row>
    <row r="255" spans="1:7" x14ac:dyDescent="0.3">
      <c r="A255" t="s">
        <v>7</v>
      </c>
      <c r="B255" t="s">
        <v>53</v>
      </c>
      <c r="C255" t="s">
        <v>113</v>
      </c>
      <c r="D255">
        <v>4.5758122250590642E-4</v>
      </c>
      <c r="E255">
        <v>4.5758122250590642E-4</v>
      </c>
      <c r="F255">
        <v>4.5758122250590642E-4</v>
      </c>
      <c r="G255">
        <v>4.5758122250590642E-4</v>
      </c>
    </row>
    <row r="256" spans="1:7" x14ac:dyDescent="0.3">
      <c r="A256" t="s">
        <v>7</v>
      </c>
      <c r="B256" t="s">
        <v>53</v>
      </c>
      <c r="C256" t="s">
        <v>114</v>
      </c>
      <c r="D256">
        <v>1.3265091450664407E-3</v>
      </c>
      <c r="E256">
        <v>1.3265091450664407E-3</v>
      </c>
      <c r="F256">
        <v>1.3265091450664407E-3</v>
      </c>
      <c r="G256">
        <v>1.3265091450664407E-3</v>
      </c>
    </row>
    <row r="257" spans="1:7" x14ac:dyDescent="0.3">
      <c r="A257" t="s">
        <v>7</v>
      </c>
      <c r="B257" t="s">
        <v>53</v>
      </c>
      <c r="C257" t="s">
        <v>115</v>
      </c>
      <c r="D257">
        <v>3.1929672101017686E-3</v>
      </c>
      <c r="E257">
        <v>3.1929672101017686E-3</v>
      </c>
      <c r="F257">
        <v>3.1929672101017686E-3</v>
      </c>
      <c r="G257">
        <v>3.1929672101017686E-3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60"/>
  <sheetViews>
    <sheetView topLeftCell="F1" workbookViewId="0">
      <selection activeCell="L5" sqref="L5"/>
    </sheetView>
  </sheetViews>
  <sheetFormatPr baseColWidth="10" defaultColWidth="11.44140625" defaultRowHeight="14.4" x14ac:dyDescent="0.3"/>
  <cols>
    <col min="2" max="2" width="32.5546875" customWidth="1"/>
    <col min="3" max="3" width="50" customWidth="1"/>
    <col min="5" max="5" width="25.5546875" customWidth="1"/>
    <col min="6" max="6" width="36.109375" customWidth="1"/>
    <col min="7" max="7" width="30.6640625" customWidth="1"/>
    <col min="9" max="9" width="15.109375" bestFit="1" customWidth="1"/>
    <col min="10" max="10" width="29.5546875" bestFit="1" customWidth="1"/>
    <col min="11" max="11" width="41.33203125" bestFit="1" customWidth="1"/>
    <col min="12" max="13" width="24.33203125" bestFit="1" customWidth="1"/>
  </cols>
  <sheetData>
    <row r="1" spans="1:12" x14ac:dyDescent="0.3">
      <c r="A1" t="s">
        <v>0</v>
      </c>
      <c r="B1" t="s">
        <v>8</v>
      </c>
      <c r="C1" t="s">
        <v>54</v>
      </c>
      <c r="D1" t="s">
        <v>198</v>
      </c>
      <c r="E1" t="s">
        <v>199</v>
      </c>
      <c r="F1" t="s">
        <v>200</v>
      </c>
      <c r="G1" t="s">
        <v>201</v>
      </c>
      <c r="I1" s="1" t="s">
        <v>0</v>
      </c>
      <c r="J1" t="s">
        <v>202</v>
      </c>
    </row>
    <row r="2" spans="1:12" x14ac:dyDescent="0.3">
      <c r="A2" t="s">
        <v>1</v>
      </c>
      <c r="B2" t="s">
        <v>9</v>
      </c>
      <c r="C2" t="s">
        <v>55</v>
      </c>
      <c r="D2">
        <f>SUM('Transpo pondéré'!D2:S2)</f>
        <v>5.446677676764216E-2</v>
      </c>
      <c r="E2">
        <v>5.446677676764216E-2</v>
      </c>
      <c r="F2">
        <v>5.446677676764216E-2</v>
      </c>
      <c r="G2">
        <v>5.446677676764216E-2</v>
      </c>
      <c r="H2">
        <f>D2-F2</f>
        <v>0</v>
      </c>
      <c r="I2" s="1" t="s">
        <v>8</v>
      </c>
      <c r="J2" t="s">
        <v>277</v>
      </c>
    </row>
    <row r="3" spans="1:12" x14ac:dyDescent="0.3">
      <c r="A3" t="s">
        <v>1</v>
      </c>
      <c r="B3" t="s">
        <v>9</v>
      </c>
      <c r="C3" t="s">
        <v>56</v>
      </c>
      <c r="D3">
        <f>SUM('Transpo pondéré'!D3:S3)</f>
        <v>2.3258473204249613E-4</v>
      </c>
      <c r="E3">
        <v>2.3258473204249613E-4</v>
      </c>
      <c r="F3">
        <v>2.3258473204249613E-4</v>
      </c>
      <c r="G3">
        <v>2.3258473204249599E-4</v>
      </c>
      <c r="H3">
        <f t="shared" ref="H3:H66" si="0">D3-F3</f>
        <v>0</v>
      </c>
    </row>
    <row r="4" spans="1:12" x14ac:dyDescent="0.3">
      <c r="A4" t="s">
        <v>1</v>
      </c>
      <c r="B4" t="s">
        <v>9</v>
      </c>
      <c r="C4" t="s">
        <v>57</v>
      </c>
      <c r="D4">
        <f>SUM('Transpo pondéré'!D4:S4)</f>
        <v>6.5364198290506051E-5</v>
      </c>
      <c r="E4">
        <v>6.5364198290506051E-5</v>
      </c>
      <c r="F4">
        <v>6.5364198290506051E-5</v>
      </c>
      <c r="G4">
        <v>6.5364198290506051E-5</v>
      </c>
      <c r="H4">
        <f t="shared" si="0"/>
        <v>0</v>
      </c>
      <c r="I4" t="s">
        <v>203</v>
      </c>
      <c r="J4" t="s">
        <v>204</v>
      </c>
      <c r="K4" t="s">
        <v>205</v>
      </c>
      <c r="L4" t="s">
        <v>276</v>
      </c>
    </row>
    <row r="5" spans="1:12" x14ac:dyDescent="0.3">
      <c r="A5" t="s">
        <v>1</v>
      </c>
      <c r="B5" t="s">
        <v>10</v>
      </c>
      <c r="C5" t="s">
        <v>58</v>
      </c>
      <c r="D5">
        <f>SUM('Transpo pondéré'!D5:S5)</f>
        <v>1.9755826961922987E-3</v>
      </c>
      <c r="E5">
        <v>1.9688447494544334E-3</v>
      </c>
      <c r="F5">
        <v>1.9755826961922987E-3</v>
      </c>
      <c r="G5">
        <v>1.9755826961922987E-3</v>
      </c>
      <c r="H5">
        <f t="shared" si="0"/>
        <v>0</v>
      </c>
      <c r="I5">
        <v>517.56422969586936</v>
      </c>
      <c r="J5">
        <v>513.00066040515139</v>
      </c>
      <c r="K5">
        <v>496.35275963261262</v>
      </c>
      <c r="L5">
        <v>517.55564623133876</v>
      </c>
    </row>
    <row r="6" spans="1:12" x14ac:dyDescent="0.3">
      <c r="A6" t="s">
        <v>1</v>
      </c>
      <c r="B6" t="s">
        <v>10</v>
      </c>
      <c r="C6" t="s">
        <v>59</v>
      </c>
      <c r="D6">
        <f>SUM('Transpo pondéré'!D6:S6)</f>
        <v>1.7287288209293396E-3</v>
      </c>
      <c r="E6">
        <v>1.7287288209293396E-3</v>
      </c>
      <c r="F6">
        <v>1.7287288209293396E-3</v>
      </c>
      <c r="G6">
        <v>1.7287288209293396E-3</v>
      </c>
      <c r="H6">
        <f t="shared" si="0"/>
        <v>0</v>
      </c>
    </row>
    <row r="7" spans="1:12" x14ac:dyDescent="0.3">
      <c r="A7" t="s">
        <v>1</v>
      </c>
      <c r="B7" t="s">
        <v>10</v>
      </c>
      <c r="C7" t="s">
        <v>56</v>
      </c>
      <c r="D7">
        <f>SUM('Transpo pondéré'!D7:S7)</f>
        <v>3.8144071073210059E-4</v>
      </c>
      <c r="E7">
        <v>3.8144071073210059E-4</v>
      </c>
      <c r="F7">
        <v>3.8144071073210059E-4</v>
      </c>
      <c r="G7">
        <v>3.8144071073210059E-4</v>
      </c>
      <c r="H7">
        <f t="shared" si="0"/>
        <v>0</v>
      </c>
    </row>
    <row r="8" spans="1:12" x14ac:dyDescent="0.3">
      <c r="A8" t="s">
        <v>1</v>
      </c>
      <c r="B8" t="s">
        <v>10</v>
      </c>
      <c r="C8" t="s">
        <v>57</v>
      </c>
      <c r="D8">
        <f>SUM('Transpo pondéré'!D8:S8)</f>
        <v>5.8525939583945925E-3</v>
      </c>
      <c r="E8">
        <v>5.8525939583945925E-3</v>
      </c>
      <c r="F8">
        <v>5.8525939583945925E-3</v>
      </c>
      <c r="G8">
        <v>5.8525939583945925E-3</v>
      </c>
      <c r="H8">
        <f t="shared" si="0"/>
        <v>0</v>
      </c>
    </row>
    <row r="9" spans="1:12" x14ac:dyDescent="0.3">
      <c r="A9" t="s">
        <v>1</v>
      </c>
      <c r="B9" t="s">
        <v>11</v>
      </c>
      <c r="C9" t="s">
        <v>11</v>
      </c>
      <c r="D9">
        <f>SUM('Transpo pondéré'!D9:S9)</f>
        <v>4.5624716601322062</v>
      </c>
      <c r="E9">
        <v>4.5624716601322062</v>
      </c>
      <c r="F9">
        <v>4.5624716601322062</v>
      </c>
      <c r="G9">
        <v>4.5624716601322062</v>
      </c>
      <c r="H9">
        <f t="shared" si="0"/>
        <v>0</v>
      </c>
    </row>
    <row r="10" spans="1:12" x14ac:dyDescent="0.3">
      <c r="A10" t="s">
        <v>1</v>
      </c>
      <c r="B10" t="s">
        <v>11</v>
      </c>
      <c r="C10" t="s">
        <v>56</v>
      </c>
      <c r="D10">
        <f>SUM('Transpo pondéré'!D10:S10)</f>
        <v>1.571409905048942E-2</v>
      </c>
      <c r="E10">
        <v>1.571409905048942E-2</v>
      </c>
      <c r="F10">
        <v>1.571409905048942E-2</v>
      </c>
      <c r="G10">
        <v>1.571409905048942E-2</v>
      </c>
      <c r="H10">
        <f t="shared" si="0"/>
        <v>0</v>
      </c>
    </row>
    <row r="11" spans="1:12" x14ac:dyDescent="0.3">
      <c r="A11" t="s">
        <v>1</v>
      </c>
      <c r="B11" t="s">
        <v>11</v>
      </c>
      <c r="C11" t="s">
        <v>57</v>
      </c>
      <c r="D11">
        <f>SUM('Transpo pondéré'!D11:S11)</f>
        <v>6.6959196018407459E-5</v>
      </c>
      <c r="E11">
        <v>6.6959196018407459E-5</v>
      </c>
      <c r="F11">
        <v>6.6959196018407459E-5</v>
      </c>
      <c r="G11">
        <v>6.6959196018407459E-5</v>
      </c>
      <c r="H11">
        <f t="shared" si="0"/>
        <v>0</v>
      </c>
    </row>
    <row r="12" spans="1:12" x14ac:dyDescent="0.3">
      <c r="A12" t="s">
        <v>2</v>
      </c>
      <c r="B12" t="s">
        <v>12</v>
      </c>
      <c r="C12" t="s">
        <v>12</v>
      </c>
      <c r="D12">
        <f>SUM('Transpo pondéré'!D12:S12)</f>
        <v>4.5513093546421208</v>
      </c>
      <c r="E12">
        <v>4.5513093546421208</v>
      </c>
      <c r="F12">
        <v>4.5513093546421208</v>
      </c>
      <c r="G12">
        <v>4.5513093546421208</v>
      </c>
      <c r="H12">
        <f t="shared" si="0"/>
        <v>0</v>
      </c>
    </row>
    <row r="13" spans="1:12" x14ac:dyDescent="0.3">
      <c r="A13" t="s">
        <v>2</v>
      </c>
      <c r="B13" t="s">
        <v>12</v>
      </c>
      <c r="C13" t="s">
        <v>56</v>
      </c>
      <c r="D13">
        <f>SUM('Transpo pondéré'!D13:S13)</f>
        <v>2.356913873573406E-2</v>
      </c>
      <c r="E13">
        <v>2.356913873573406E-2</v>
      </c>
      <c r="F13">
        <v>2.356913873573406E-2</v>
      </c>
      <c r="G13">
        <v>2.356913873573406E-2</v>
      </c>
      <c r="H13">
        <f t="shared" si="0"/>
        <v>0</v>
      </c>
    </row>
    <row r="14" spans="1:12" x14ac:dyDescent="0.3">
      <c r="A14" t="s">
        <v>2</v>
      </c>
      <c r="B14" t="s">
        <v>12</v>
      </c>
      <c r="C14" t="s">
        <v>57</v>
      </c>
      <c r="D14">
        <f>SUM('Transpo pondéré'!D14:S14)</f>
        <v>2.3549785574290678E-2</v>
      </c>
      <c r="E14">
        <v>2.3549785574290678E-2</v>
      </c>
      <c r="F14">
        <v>2.3549785574290678E-2</v>
      </c>
      <c r="G14">
        <v>2.3549785574290678E-2</v>
      </c>
      <c r="H14">
        <f t="shared" si="0"/>
        <v>0</v>
      </c>
    </row>
    <row r="15" spans="1:12" x14ac:dyDescent="0.3">
      <c r="A15" t="s">
        <v>1</v>
      </c>
      <c r="B15" t="s">
        <v>13</v>
      </c>
      <c r="C15" t="s">
        <v>13</v>
      </c>
      <c r="D15">
        <f>SUM('Transpo pondéré'!D15:S15)</f>
        <v>0.43635632120149043</v>
      </c>
      <c r="E15">
        <v>0.43635632120149043</v>
      </c>
      <c r="F15">
        <v>0.43635632120149043</v>
      </c>
      <c r="G15">
        <v>0.43635632120149043</v>
      </c>
      <c r="H15">
        <f t="shared" si="0"/>
        <v>0</v>
      </c>
    </row>
    <row r="16" spans="1:12" x14ac:dyDescent="0.3">
      <c r="A16" t="s">
        <v>1</v>
      </c>
      <c r="B16" t="s">
        <v>13</v>
      </c>
      <c r="C16" t="s">
        <v>56</v>
      </c>
      <c r="D16">
        <f>SUM('Transpo pondéré'!D16:S16)</f>
        <v>1.571409905048942E-2</v>
      </c>
      <c r="E16">
        <v>1.571409905048942E-2</v>
      </c>
      <c r="F16">
        <v>1.571409905048942E-2</v>
      </c>
      <c r="G16">
        <v>1.571409905048942E-2</v>
      </c>
      <c r="H16">
        <f t="shared" si="0"/>
        <v>0</v>
      </c>
    </row>
    <row r="17" spans="1:8" x14ac:dyDescent="0.3">
      <c r="A17" t="s">
        <v>1</v>
      </c>
      <c r="B17" t="s">
        <v>13</v>
      </c>
      <c r="C17" t="s">
        <v>57</v>
      </c>
      <c r="D17">
        <f>SUM('Transpo pondéré'!D17:S17)</f>
        <v>6.8881178853219093E-5</v>
      </c>
      <c r="E17">
        <v>6.8881178853219093E-5</v>
      </c>
      <c r="F17">
        <v>6.8881178853219093E-5</v>
      </c>
      <c r="G17">
        <v>6.8881178853219093E-5</v>
      </c>
      <c r="H17">
        <f t="shared" si="0"/>
        <v>0</v>
      </c>
    </row>
    <row r="18" spans="1:8" x14ac:dyDescent="0.3">
      <c r="A18" t="s">
        <v>1</v>
      </c>
      <c r="B18" t="s">
        <v>14</v>
      </c>
      <c r="C18" t="s">
        <v>56</v>
      </c>
      <c r="D18">
        <f>SUM('Transpo pondéré'!D18:S18)</f>
        <v>1.7199949045385365E-2</v>
      </c>
      <c r="E18">
        <v>1.7199949045385365E-2</v>
      </c>
      <c r="F18">
        <v>1.7199949045385365E-2</v>
      </c>
      <c r="G18">
        <v>1.7199949045385365E-2</v>
      </c>
      <c r="H18">
        <f t="shared" si="0"/>
        <v>0</v>
      </c>
    </row>
    <row r="19" spans="1:8" x14ac:dyDescent="0.3">
      <c r="A19" t="s">
        <v>1</v>
      </c>
      <c r="B19" t="s">
        <v>14</v>
      </c>
      <c r="C19" t="s">
        <v>14</v>
      </c>
      <c r="D19">
        <f>SUM('Transpo pondéré'!D19:S19)</f>
        <v>3.0756907259233399E-2</v>
      </c>
      <c r="E19">
        <v>3.0756907259233399E-2</v>
      </c>
      <c r="F19">
        <v>3.0756907259233399E-2</v>
      </c>
      <c r="G19">
        <v>3.0756907259233399E-2</v>
      </c>
      <c r="H19">
        <f t="shared" si="0"/>
        <v>0</v>
      </c>
    </row>
    <row r="20" spans="1:8" x14ac:dyDescent="0.3">
      <c r="A20" t="s">
        <v>1</v>
      </c>
      <c r="B20" t="s">
        <v>14</v>
      </c>
      <c r="C20" t="s">
        <v>57</v>
      </c>
      <c r="D20">
        <f>SUM('Transpo pondéré'!D20:S20)</f>
        <v>3.2756545584031193E-4</v>
      </c>
      <c r="E20">
        <v>3.2756545584031193E-4</v>
      </c>
      <c r="F20">
        <v>3.2756545584031193E-4</v>
      </c>
      <c r="G20">
        <v>3.2756545584031193E-4</v>
      </c>
      <c r="H20">
        <f t="shared" si="0"/>
        <v>0</v>
      </c>
    </row>
    <row r="21" spans="1:8" x14ac:dyDescent="0.3">
      <c r="A21" t="s">
        <v>2</v>
      </c>
      <c r="B21" t="s">
        <v>15</v>
      </c>
      <c r="C21" t="s">
        <v>56</v>
      </c>
      <c r="D21">
        <f>SUM('Transpo pondéré'!D21:S21)</f>
        <v>1.571409905048942E-2</v>
      </c>
      <c r="E21">
        <v>1.571409905048942E-2</v>
      </c>
      <c r="F21">
        <v>1.571409905048942E-2</v>
      </c>
      <c r="G21">
        <v>1.571409905048942E-2</v>
      </c>
      <c r="H21">
        <f t="shared" si="0"/>
        <v>0</v>
      </c>
    </row>
    <row r="22" spans="1:8" x14ac:dyDescent="0.3">
      <c r="A22" t="s">
        <v>2</v>
      </c>
      <c r="B22" t="s">
        <v>15</v>
      </c>
      <c r="C22" t="s">
        <v>60</v>
      </c>
      <c r="D22">
        <f>SUM('Transpo pondéré'!D22:S22)</f>
        <v>1.5351441206810104</v>
      </c>
      <c r="E22">
        <v>1.5351441206810104</v>
      </c>
      <c r="F22">
        <v>1.5351441206810104</v>
      </c>
      <c r="G22">
        <v>1.5351441206810104</v>
      </c>
      <c r="H22">
        <f t="shared" si="0"/>
        <v>0</v>
      </c>
    </row>
    <row r="23" spans="1:8" x14ac:dyDescent="0.3">
      <c r="A23" t="s">
        <v>2</v>
      </c>
      <c r="B23" t="s">
        <v>15</v>
      </c>
      <c r="C23" t="s">
        <v>57</v>
      </c>
      <c r="D23">
        <f>SUM('Transpo pondéré'!D23:S23)</f>
        <v>1.5169912926592749E-2</v>
      </c>
      <c r="E23">
        <v>1.5169912926592749E-2</v>
      </c>
      <c r="F23">
        <v>1.5169912926592749E-2</v>
      </c>
      <c r="G23">
        <v>1.5169912926592749E-2</v>
      </c>
      <c r="H23">
        <f t="shared" si="0"/>
        <v>0</v>
      </c>
    </row>
    <row r="24" spans="1:8" x14ac:dyDescent="0.3">
      <c r="A24" t="s">
        <v>1</v>
      </c>
      <c r="B24" t="s">
        <v>16</v>
      </c>
      <c r="C24" t="s">
        <v>56</v>
      </c>
      <c r="D24">
        <f>SUM('Transpo pondéré'!D24:S24)</f>
        <v>1.571409905048942E-2</v>
      </c>
      <c r="E24">
        <v>1.571409905048942E-2</v>
      </c>
      <c r="F24">
        <v>1.571409905048942E-2</v>
      </c>
      <c r="G24">
        <v>1.571409905048942E-2</v>
      </c>
      <c r="H24">
        <f t="shared" si="0"/>
        <v>0</v>
      </c>
    </row>
    <row r="25" spans="1:8" x14ac:dyDescent="0.3">
      <c r="A25" t="s">
        <v>1</v>
      </c>
      <c r="B25" t="s">
        <v>16</v>
      </c>
      <c r="C25" t="s">
        <v>61</v>
      </c>
      <c r="D25">
        <f>SUM('Transpo pondéré'!D25:S25)</f>
        <v>0.70746532087437264</v>
      </c>
      <c r="E25">
        <v>0.70746532087437264</v>
      </c>
      <c r="F25">
        <v>0.70746532087437264</v>
      </c>
      <c r="G25">
        <v>0.70746532087437264</v>
      </c>
      <c r="H25">
        <f t="shared" si="0"/>
        <v>0</v>
      </c>
    </row>
    <row r="26" spans="1:8" x14ac:dyDescent="0.3">
      <c r="A26" t="s">
        <v>1</v>
      </c>
      <c r="B26" t="s">
        <v>16</v>
      </c>
      <c r="C26" t="s">
        <v>57</v>
      </c>
      <c r="D26">
        <f>SUM('Transpo pondéré'!D26:S26)</f>
        <v>4.096347010496912E-5</v>
      </c>
      <c r="E26">
        <v>4.096347010496912E-5</v>
      </c>
      <c r="F26">
        <v>4.096347010496912E-5</v>
      </c>
      <c r="G26">
        <v>4.096347010496912E-5</v>
      </c>
      <c r="H26">
        <f t="shared" si="0"/>
        <v>0</v>
      </c>
    </row>
    <row r="27" spans="1:8" x14ac:dyDescent="0.3">
      <c r="A27" t="s">
        <v>1</v>
      </c>
      <c r="B27" t="s">
        <v>17</v>
      </c>
      <c r="C27" t="s">
        <v>56</v>
      </c>
      <c r="D27">
        <f>SUM('Transpo pondéré'!D27:S27)</f>
        <v>1.571409905048942E-2</v>
      </c>
      <c r="E27">
        <v>1.571409905048942E-2</v>
      </c>
      <c r="F27">
        <v>1.571409905048942E-2</v>
      </c>
      <c r="G27">
        <v>1.571409905048942E-2</v>
      </c>
      <c r="H27">
        <f t="shared" si="0"/>
        <v>0</v>
      </c>
    </row>
    <row r="28" spans="1:8" x14ac:dyDescent="0.3">
      <c r="A28" t="s">
        <v>1</v>
      </c>
      <c r="B28" t="s">
        <v>17</v>
      </c>
      <c r="C28" t="s">
        <v>62</v>
      </c>
      <c r="D28">
        <f>SUM('Transpo pondéré'!D28:S28)</f>
        <v>4.0516591450760128E-2</v>
      </c>
      <c r="E28">
        <v>4.0516591450760128E-2</v>
      </c>
      <c r="F28">
        <v>4.0516591450760128E-2</v>
      </c>
      <c r="G28">
        <v>4.0516591450760128E-2</v>
      </c>
      <c r="H28">
        <f t="shared" si="0"/>
        <v>0</v>
      </c>
    </row>
    <row r="29" spans="1:8" x14ac:dyDescent="0.3">
      <c r="A29" t="s">
        <v>1</v>
      </c>
      <c r="B29" t="s">
        <v>17</v>
      </c>
      <c r="C29" t="s">
        <v>57</v>
      </c>
      <c r="D29">
        <f>SUM('Transpo pondéré'!D29:S29)</f>
        <v>4.299353502237261E-3</v>
      </c>
      <c r="E29">
        <v>4.299353502237261E-3</v>
      </c>
      <c r="F29">
        <v>4.299353502237261E-3</v>
      </c>
      <c r="G29">
        <v>4.299353502237261E-3</v>
      </c>
      <c r="H29">
        <f t="shared" si="0"/>
        <v>0</v>
      </c>
    </row>
    <row r="30" spans="1:8" x14ac:dyDescent="0.3">
      <c r="A30" t="s">
        <v>1</v>
      </c>
      <c r="B30" t="s">
        <v>18</v>
      </c>
      <c r="C30" t="s">
        <v>58</v>
      </c>
      <c r="D30">
        <f>SUM('Transpo pondéré'!D30:S30)</f>
        <v>3.5075024543937392E-3</v>
      </c>
      <c r="E30">
        <v>3.5075024543937392E-3</v>
      </c>
      <c r="F30">
        <v>3.5075024543937392E-3</v>
      </c>
      <c r="G30">
        <v>3.5075024543937392E-3</v>
      </c>
      <c r="H30">
        <f t="shared" si="0"/>
        <v>0</v>
      </c>
    </row>
    <row r="31" spans="1:8" x14ac:dyDescent="0.3">
      <c r="A31" t="s">
        <v>1</v>
      </c>
      <c r="B31" t="s">
        <v>18</v>
      </c>
      <c r="C31" t="s">
        <v>59</v>
      </c>
      <c r="D31">
        <f>SUM('Transpo pondéré'!D31:S31)</f>
        <v>2.5996609988880301E-2</v>
      </c>
      <c r="E31">
        <v>2.5996609988880301E-2</v>
      </c>
      <c r="F31">
        <v>2.5996609988880301E-2</v>
      </c>
      <c r="G31">
        <v>2.5996609988880301E-2</v>
      </c>
      <c r="H31">
        <f t="shared" si="0"/>
        <v>0</v>
      </c>
    </row>
    <row r="32" spans="1:8" x14ac:dyDescent="0.3">
      <c r="A32" t="s">
        <v>1</v>
      </c>
      <c r="B32" t="s">
        <v>18</v>
      </c>
      <c r="C32" t="s">
        <v>56</v>
      </c>
      <c r="D32">
        <f>SUM('Transpo pondéré'!D32:S32)</f>
        <v>6.2853273161957419E-6</v>
      </c>
      <c r="E32">
        <v>6.2853273161957419E-6</v>
      </c>
      <c r="F32">
        <v>6.2853273161957419E-6</v>
      </c>
      <c r="G32">
        <v>6.2853273161957419E-6</v>
      </c>
      <c r="H32">
        <f t="shared" si="0"/>
        <v>0</v>
      </c>
    </row>
    <row r="33" spans="1:8" x14ac:dyDescent="0.3">
      <c r="A33" t="s">
        <v>2</v>
      </c>
      <c r="B33" t="s">
        <v>19</v>
      </c>
      <c r="C33" t="s">
        <v>56</v>
      </c>
      <c r="D33">
        <f>SUM('Transpo pondéré'!D33:S33)</f>
        <v>1.571409905048942E-2</v>
      </c>
      <c r="E33">
        <v>1.571409905048942E-2</v>
      </c>
      <c r="F33">
        <v>1.571409905048942E-2</v>
      </c>
      <c r="G33">
        <v>1.571409905048942E-2</v>
      </c>
      <c r="H33">
        <f t="shared" si="0"/>
        <v>0</v>
      </c>
    </row>
    <row r="34" spans="1:8" x14ac:dyDescent="0.3">
      <c r="A34" t="s">
        <v>2</v>
      </c>
      <c r="B34" t="s">
        <v>19</v>
      </c>
      <c r="C34" t="s">
        <v>63</v>
      </c>
      <c r="D34">
        <f>SUM('Transpo pondéré'!D34:S34)</f>
        <v>9.0706284739787417</v>
      </c>
      <c r="E34">
        <v>9.0706284739787417</v>
      </c>
      <c r="F34">
        <v>9.0706284739787417</v>
      </c>
      <c r="G34">
        <v>9.0706284739787417</v>
      </c>
      <c r="H34">
        <f t="shared" si="0"/>
        <v>0</v>
      </c>
    </row>
    <row r="35" spans="1:8" x14ac:dyDescent="0.3">
      <c r="A35" t="s">
        <v>2</v>
      </c>
      <c r="B35" t="s">
        <v>19</v>
      </c>
      <c r="C35" t="s">
        <v>57</v>
      </c>
      <c r="D35">
        <f>SUM('Transpo pondéré'!D35:S35)</f>
        <v>6.6959196018407459E-5</v>
      </c>
      <c r="E35">
        <v>6.6959196018407459E-5</v>
      </c>
      <c r="F35">
        <v>6.6959196018407459E-5</v>
      </c>
      <c r="G35">
        <v>6.6959196018407459E-5</v>
      </c>
      <c r="H35">
        <f t="shared" si="0"/>
        <v>0</v>
      </c>
    </row>
    <row r="36" spans="1:8" x14ac:dyDescent="0.3">
      <c r="A36" t="s">
        <v>3</v>
      </c>
      <c r="B36" t="s">
        <v>3</v>
      </c>
      <c r="C36" t="s">
        <v>64</v>
      </c>
      <c r="D36">
        <f>SUM('Transpo pondéré'!D36:S36)</f>
        <v>4.0001914750718792E-2</v>
      </c>
      <c r="E36">
        <v>4.0001914750718792E-2</v>
      </c>
      <c r="F36">
        <v>4.0001914750718792E-2</v>
      </c>
      <c r="G36">
        <v>4.0001914750718792E-2</v>
      </c>
      <c r="H36">
        <f t="shared" si="0"/>
        <v>0</v>
      </c>
    </row>
    <row r="37" spans="1:8" x14ac:dyDescent="0.3">
      <c r="A37" t="s">
        <v>3</v>
      </c>
      <c r="B37" t="s">
        <v>3</v>
      </c>
      <c r="C37" t="s">
        <v>65</v>
      </c>
      <c r="D37">
        <f>SUM('Transpo pondéré'!D37:S37)</f>
        <v>2.1226314495263335E-3</v>
      </c>
      <c r="E37">
        <v>2.1226314495263335E-3</v>
      </c>
      <c r="F37">
        <v>2.1226314495263335E-3</v>
      </c>
      <c r="G37">
        <v>2.1226314495263335E-3</v>
      </c>
      <c r="H37">
        <f t="shared" si="0"/>
        <v>0</v>
      </c>
    </row>
    <row r="38" spans="1:8" x14ac:dyDescent="0.3">
      <c r="A38" t="s">
        <v>3</v>
      </c>
      <c r="B38" t="s">
        <v>3</v>
      </c>
      <c r="C38" t="s">
        <v>66</v>
      </c>
      <c r="D38">
        <f>SUM('Transpo pondéré'!D38:S38)</f>
        <v>1.133987986810814E-2</v>
      </c>
      <c r="E38">
        <v>1.133987986810814E-2</v>
      </c>
      <c r="F38">
        <v>1.133987986810814E-2</v>
      </c>
      <c r="G38">
        <v>1.133987986810814E-2</v>
      </c>
      <c r="H38">
        <f t="shared" si="0"/>
        <v>0</v>
      </c>
    </row>
    <row r="39" spans="1:8" x14ac:dyDescent="0.3">
      <c r="A39" t="s">
        <v>3</v>
      </c>
      <c r="B39" t="s">
        <v>3</v>
      </c>
      <c r="C39" t="s">
        <v>67</v>
      </c>
      <c r="D39">
        <f>SUM('Transpo pondéré'!D39:S39)</f>
        <v>8.569585890516949E-4</v>
      </c>
      <c r="E39">
        <v>8.569585890516949E-4</v>
      </c>
      <c r="F39">
        <v>8.569585890516949E-4</v>
      </c>
      <c r="G39">
        <v>8.569585890516949E-4</v>
      </c>
      <c r="H39">
        <f t="shared" si="0"/>
        <v>0</v>
      </c>
    </row>
    <row r="40" spans="1:8" x14ac:dyDescent="0.3">
      <c r="A40" t="s">
        <v>3</v>
      </c>
      <c r="B40" t="s">
        <v>3</v>
      </c>
      <c r="C40" t="s">
        <v>68</v>
      </c>
      <c r="D40">
        <f>SUM('Transpo pondéré'!D40:S40)</f>
        <v>8.0220310021430986E-6</v>
      </c>
      <c r="E40">
        <v>8.0220310021430986E-6</v>
      </c>
      <c r="F40">
        <v>8.0220310021430986E-6</v>
      </c>
      <c r="G40">
        <v>8.0220310021430986E-6</v>
      </c>
      <c r="H40">
        <f t="shared" si="0"/>
        <v>0</v>
      </c>
    </row>
    <row r="41" spans="1:8" x14ac:dyDescent="0.3">
      <c r="A41" t="s">
        <v>1</v>
      </c>
      <c r="B41" t="s">
        <v>20</v>
      </c>
      <c r="C41" t="s">
        <v>69</v>
      </c>
      <c r="D41">
        <f>SUM('Transpo pondéré'!D41:S41)</f>
        <v>7.3785668104541335E-5</v>
      </c>
      <c r="E41">
        <v>7.3785668104541335E-5</v>
      </c>
      <c r="F41">
        <v>7.3785668104541335E-5</v>
      </c>
      <c r="G41">
        <v>7.3785668104541335E-5</v>
      </c>
      <c r="H41">
        <f t="shared" si="0"/>
        <v>0</v>
      </c>
    </row>
    <row r="42" spans="1:8" x14ac:dyDescent="0.3">
      <c r="A42" t="s">
        <v>1</v>
      </c>
      <c r="B42" t="s">
        <v>20</v>
      </c>
      <c r="C42" t="s">
        <v>70</v>
      </c>
      <c r="D42">
        <f>SUM('Transpo pondéré'!D42:S42)</f>
        <v>4.0183644607423907E-2</v>
      </c>
      <c r="E42">
        <v>4.0183644607423907E-2</v>
      </c>
      <c r="F42">
        <v>4.0183644607423907E-2</v>
      </c>
      <c r="G42">
        <v>4.0183644607423907E-2</v>
      </c>
      <c r="H42">
        <f t="shared" si="0"/>
        <v>0</v>
      </c>
    </row>
    <row r="43" spans="1:8" x14ac:dyDescent="0.3">
      <c r="A43" t="s">
        <v>1</v>
      </c>
      <c r="B43" t="s">
        <v>20</v>
      </c>
      <c r="C43" t="s">
        <v>71</v>
      </c>
      <c r="D43">
        <f>SUM('Transpo pondéré'!D43:S43)</f>
        <v>2.3269737995819358E-3</v>
      </c>
      <c r="E43">
        <v>2.3269737995819358E-3</v>
      </c>
      <c r="F43">
        <v>2.3269737995819358E-3</v>
      </c>
      <c r="G43">
        <v>2.3269737995819358E-3</v>
      </c>
      <c r="H43">
        <f t="shared" si="0"/>
        <v>0</v>
      </c>
    </row>
    <row r="44" spans="1:8" x14ac:dyDescent="0.3">
      <c r="A44" t="s">
        <v>1</v>
      </c>
      <c r="B44" t="s">
        <v>20</v>
      </c>
      <c r="C44" t="s">
        <v>72</v>
      </c>
      <c r="D44">
        <f>SUM('Transpo pondéré'!D44:S44)</f>
        <v>3.4225161679814682E-3</v>
      </c>
      <c r="E44">
        <v>3.4225161679814682E-3</v>
      </c>
      <c r="F44">
        <v>3.4225161679814682E-3</v>
      </c>
      <c r="G44">
        <v>3.4225161679814682E-3</v>
      </c>
      <c r="H44">
        <f t="shared" si="0"/>
        <v>0</v>
      </c>
    </row>
    <row r="45" spans="1:8" x14ac:dyDescent="0.3">
      <c r="A45" t="s">
        <v>1</v>
      </c>
      <c r="B45" t="s">
        <v>20</v>
      </c>
      <c r="C45" t="s">
        <v>58</v>
      </c>
      <c r="D45">
        <f>SUM('Transpo pondéré'!D45:S45)</f>
        <v>1.9397655159342339E-3</v>
      </c>
      <c r="E45">
        <v>1.9397655159342339E-3</v>
      </c>
      <c r="F45">
        <v>1.9397655159342339E-3</v>
      </c>
      <c r="G45">
        <v>1.9397655159342339E-3</v>
      </c>
      <c r="H45">
        <f t="shared" si="0"/>
        <v>0</v>
      </c>
    </row>
    <row r="46" spans="1:8" x14ac:dyDescent="0.3">
      <c r="A46" t="s">
        <v>1</v>
      </c>
      <c r="B46" t="s">
        <v>20</v>
      </c>
      <c r="C46" t="s">
        <v>73</v>
      </c>
      <c r="D46">
        <f>SUM('Transpo pondéré'!D46:S46)</f>
        <v>1.5222154013237704E-3</v>
      </c>
      <c r="E46">
        <v>1.5222154013237704E-3</v>
      </c>
      <c r="F46">
        <v>1.5222154013237704E-3</v>
      </c>
      <c r="G46">
        <v>1.5222154013237704E-3</v>
      </c>
      <c r="H46">
        <f t="shared" si="0"/>
        <v>0</v>
      </c>
    </row>
    <row r="47" spans="1:8" x14ac:dyDescent="0.3">
      <c r="A47" t="s">
        <v>1</v>
      </c>
      <c r="B47" t="s">
        <v>20</v>
      </c>
      <c r="C47" t="s">
        <v>74</v>
      </c>
      <c r="D47">
        <f>SUM('Transpo pondéré'!D47:S47)</f>
        <v>8.40334017109294E-5</v>
      </c>
      <c r="E47">
        <v>8.40334017109294E-5</v>
      </c>
      <c r="F47">
        <v>8.40334017109294E-5</v>
      </c>
      <c r="G47">
        <v>8.40334017109294E-5</v>
      </c>
      <c r="H47">
        <f t="shared" si="0"/>
        <v>0</v>
      </c>
    </row>
    <row r="48" spans="1:8" x14ac:dyDescent="0.3">
      <c r="A48" t="s">
        <v>1</v>
      </c>
      <c r="B48" t="s">
        <v>20</v>
      </c>
      <c r="C48" t="s">
        <v>75</v>
      </c>
      <c r="D48">
        <f>SUM('Transpo pondéré'!D48:S48)</f>
        <v>2.5302273629459522E-4</v>
      </c>
      <c r="E48">
        <v>2.5302273629459522E-4</v>
      </c>
      <c r="F48">
        <v>2.5302273629459522E-4</v>
      </c>
      <c r="G48">
        <v>2.5302273629459522E-4</v>
      </c>
      <c r="H48">
        <f t="shared" si="0"/>
        <v>0</v>
      </c>
    </row>
    <row r="49" spans="1:8" x14ac:dyDescent="0.3">
      <c r="A49" t="s">
        <v>1</v>
      </c>
      <c r="B49" t="s">
        <v>20</v>
      </c>
      <c r="C49" t="s">
        <v>56</v>
      </c>
      <c r="D49">
        <f>SUM('Transpo pondéré'!D49:S49)</f>
        <v>1.1923842496340613E-4</v>
      </c>
      <c r="E49">
        <v>1.1923842496340613E-4</v>
      </c>
      <c r="F49">
        <v>1.1923842496340613E-4</v>
      </c>
      <c r="G49">
        <v>1.1923842496340613E-4</v>
      </c>
      <c r="H49">
        <f t="shared" si="0"/>
        <v>0</v>
      </c>
    </row>
    <row r="50" spans="1:8" x14ac:dyDescent="0.3">
      <c r="A50" t="s">
        <v>1</v>
      </c>
      <c r="B50" t="s">
        <v>20</v>
      </c>
      <c r="C50" t="s">
        <v>57</v>
      </c>
      <c r="D50">
        <f>SUM('Transpo pondéré'!D50:S50)</f>
        <v>4.1725213508525793E-4</v>
      </c>
      <c r="E50">
        <v>4.1725213508525793E-4</v>
      </c>
      <c r="F50">
        <v>4.1725213508525793E-4</v>
      </c>
      <c r="G50">
        <v>4.1725213508525793E-4</v>
      </c>
      <c r="H50">
        <f t="shared" si="0"/>
        <v>0</v>
      </c>
    </row>
    <row r="51" spans="1:8" x14ac:dyDescent="0.3">
      <c r="A51" t="s">
        <v>1</v>
      </c>
      <c r="B51" t="s">
        <v>21</v>
      </c>
      <c r="C51" t="s">
        <v>72</v>
      </c>
      <c r="D51">
        <f>SUM('Transpo pondéré'!D51:S51)</f>
        <v>2.6089243854336323E-4</v>
      </c>
      <c r="E51">
        <v>2.6089243854336323E-4</v>
      </c>
      <c r="F51">
        <v>2.6089243854336323E-4</v>
      </c>
      <c r="G51">
        <v>2.6089243854336323E-4</v>
      </c>
      <c r="H51">
        <f t="shared" si="0"/>
        <v>0</v>
      </c>
    </row>
    <row r="52" spans="1:8" x14ac:dyDescent="0.3">
      <c r="A52" t="s">
        <v>1</v>
      </c>
      <c r="B52" t="s">
        <v>21</v>
      </c>
      <c r="C52" t="s">
        <v>58</v>
      </c>
      <c r="D52">
        <f>SUM('Transpo pondéré'!D52:S52)</f>
        <v>6.5571426881120661E-5</v>
      </c>
      <c r="E52">
        <v>6.5571426881120661E-5</v>
      </c>
      <c r="F52">
        <v>6.5571426881120661E-5</v>
      </c>
      <c r="G52">
        <v>6.5571426881120661E-5</v>
      </c>
      <c r="H52">
        <f t="shared" si="0"/>
        <v>0</v>
      </c>
    </row>
    <row r="53" spans="1:8" x14ac:dyDescent="0.3">
      <c r="A53" t="s">
        <v>1</v>
      </c>
      <c r="B53" t="s">
        <v>21</v>
      </c>
      <c r="C53" t="s">
        <v>76</v>
      </c>
      <c r="D53">
        <f>SUM('Transpo pondéré'!D53:S53)</f>
        <v>4.5704281951118881E-3</v>
      </c>
      <c r="E53">
        <v>4.5704281951118881E-3</v>
      </c>
      <c r="F53">
        <v>4.5704281951118881E-3</v>
      </c>
      <c r="G53">
        <v>4.5704281951118881E-3</v>
      </c>
      <c r="H53">
        <f t="shared" si="0"/>
        <v>0</v>
      </c>
    </row>
    <row r="54" spans="1:8" x14ac:dyDescent="0.3">
      <c r="A54" t="s">
        <v>1</v>
      </c>
      <c r="B54" t="s">
        <v>21</v>
      </c>
      <c r="C54" t="s">
        <v>77</v>
      </c>
      <c r="D54">
        <f>SUM('Transpo pondéré'!D54:S54)</f>
        <v>7.9374039360000017E-4</v>
      </c>
      <c r="E54">
        <v>7.9374039360000017E-4</v>
      </c>
      <c r="F54">
        <v>7.9374039360000017E-4</v>
      </c>
      <c r="G54">
        <v>7.9374039360000017E-4</v>
      </c>
      <c r="H54">
        <f t="shared" si="0"/>
        <v>0</v>
      </c>
    </row>
    <row r="55" spans="1:8" x14ac:dyDescent="0.3">
      <c r="A55" t="s">
        <v>1</v>
      </c>
      <c r="B55" t="s">
        <v>21</v>
      </c>
      <c r="C55" t="s">
        <v>56</v>
      </c>
      <c r="D55">
        <f>SUM('Transpo pondéré'!D55:S55)</f>
        <v>2.6014228687999998E-3</v>
      </c>
      <c r="E55">
        <v>2.6014228687999998E-3</v>
      </c>
      <c r="F55">
        <v>2.6014228687999998E-3</v>
      </c>
      <c r="G55">
        <v>2.6014228687999998E-3</v>
      </c>
      <c r="H55">
        <f t="shared" si="0"/>
        <v>0</v>
      </c>
    </row>
    <row r="56" spans="1:8" x14ac:dyDescent="0.3">
      <c r="A56" t="s">
        <v>1</v>
      </c>
      <c r="B56" t="s">
        <v>21</v>
      </c>
      <c r="C56" t="s">
        <v>57</v>
      </c>
      <c r="D56">
        <f>SUM('Transpo pondéré'!D56:S56)</f>
        <v>2.6872423840080672E-4</v>
      </c>
      <c r="E56">
        <v>2.6872423840080672E-4</v>
      </c>
      <c r="F56">
        <v>2.6872423840080672E-4</v>
      </c>
      <c r="G56">
        <v>2.6872423840080672E-4</v>
      </c>
      <c r="H56">
        <f t="shared" si="0"/>
        <v>0</v>
      </c>
    </row>
    <row r="57" spans="1:8" x14ac:dyDescent="0.3">
      <c r="A57" t="s">
        <v>1</v>
      </c>
      <c r="B57" t="s">
        <v>22</v>
      </c>
      <c r="C57" t="s">
        <v>78</v>
      </c>
      <c r="D57">
        <f>SUM('Transpo pondéré'!D57:S57)</f>
        <v>2.632755705233988E-4</v>
      </c>
      <c r="E57">
        <v>2.632755705233988E-4</v>
      </c>
      <c r="F57">
        <v>2.632755705233988E-4</v>
      </c>
      <c r="G57">
        <v>2.632755705233988E-4</v>
      </c>
      <c r="H57">
        <f t="shared" si="0"/>
        <v>0</v>
      </c>
    </row>
    <row r="58" spans="1:8" x14ac:dyDescent="0.3">
      <c r="A58" t="s">
        <v>1</v>
      </c>
      <c r="B58" t="s">
        <v>22</v>
      </c>
      <c r="C58" t="s">
        <v>56</v>
      </c>
      <c r="D58">
        <f>SUM('Transpo pondéré'!D58:S58)</f>
        <v>1.9550047350810401E-3</v>
      </c>
      <c r="E58">
        <v>1.9550047350810401E-3</v>
      </c>
      <c r="F58">
        <v>1.9550047350810401E-3</v>
      </c>
      <c r="G58">
        <v>1.9550047350810401E-3</v>
      </c>
      <c r="H58">
        <f t="shared" si="0"/>
        <v>0</v>
      </c>
    </row>
    <row r="59" spans="1:8" x14ac:dyDescent="0.3">
      <c r="A59" t="s">
        <v>1</v>
      </c>
      <c r="B59" t="s">
        <v>22</v>
      </c>
      <c r="C59" t="s">
        <v>57</v>
      </c>
      <c r="D59">
        <f>SUM('Transpo pondéré'!D59:S59)</f>
        <v>4.9899681943322158E-6</v>
      </c>
      <c r="E59">
        <v>4.9899681943322158E-6</v>
      </c>
      <c r="F59">
        <v>4.9899681943322158E-6</v>
      </c>
      <c r="G59">
        <v>4.9899681943322158E-6</v>
      </c>
      <c r="H59">
        <f t="shared" si="0"/>
        <v>0</v>
      </c>
    </row>
    <row r="60" spans="1:8" x14ac:dyDescent="0.3">
      <c r="A60" t="s">
        <v>1</v>
      </c>
      <c r="B60" t="s">
        <v>23</v>
      </c>
      <c r="C60" t="s">
        <v>79</v>
      </c>
      <c r="D60">
        <f>SUM('Transpo pondéré'!D60:S60)</f>
        <v>5.3595353728793475E-3</v>
      </c>
      <c r="E60">
        <v>5.3595353728793475E-3</v>
      </c>
      <c r="F60">
        <v>5.3595353728793475E-3</v>
      </c>
      <c r="G60">
        <v>5.3595353728793475E-3</v>
      </c>
      <c r="H60">
        <f t="shared" si="0"/>
        <v>0</v>
      </c>
    </row>
    <row r="61" spans="1:8" x14ac:dyDescent="0.3">
      <c r="A61" t="s">
        <v>1</v>
      </c>
      <c r="B61" t="s">
        <v>23</v>
      </c>
      <c r="C61" t="s">
        <v>78</v>
      </c>
      <c r="D61">
        <f>SUM('Transpo pondéré'!D61:S61)</f>
        <v>1.4107114361399647E-4</v>
      </c>
      <c r="E61">
        <v>1.4107114361399647E-4</v>
      </c>
      <c r="F61">
        <v>1.4107114361399647E-4</v>
      </c>
      <c r="G61">
        <v>1.4107114361399647E-4</v>
      </c>
      <c r="H61">
        <f t="shared" si="0"/>
        <v>0</v>
      </c>
    </row>
    <row r="62" spans="1:8" x14ac:dyDescent="0.3">
      <c r="A62" t="s">
        <v>1</v>
      </c>
      <c r="B62" t="s">
        <v>23</v>
      </c>
      <c r="C62" t="s">
        <v>56</v>
      </c>
      <c r="D62">
        <f>SUM('Transpo pondéré'!D62:S62)</f>
        <v>1.25124342021187E-2</v>
      </c>
      <c r="E62">
        <v>1.25124342021187E-2</v>
      </c>
      <c r="F62">
        <v>1.25124342021187E-2</v>
      </c>
      <c r="G62">
        <v>1.25124342021187E-2</v>
      </c>
      <c r="H62">
        <f t="shared" si="0"/>
        <v>0</v>
      </c>
    </row>
    <row r="63" spans="1:8" x14ac:dyDescent="0.3">
      <c r="A63" t="s">
        <v>1</v>
      </c>
      <c r="B63" t="s">
        <v>23</v>
      </c>
      <c r="C63" t="s">
        <v>80</v>
      </c>
      <c r="D63">
        <f>SUM('Transpo pondéré'!D63:S63)</f>
        <v>2.6050966959672905E-2</v>
      </c>
      <c r="E63">
        <v>2.6050966959672905E-2</v>
      </c>
      <c r="F63">
        <v>2.6050966959672905E-2</v>
      </c>
      <c r="G63">
        <v>2.6050966959672905E-2</v>
      </c>
      <c r="H63">
        <f t="shared" si="0"/>
        <v>0</v>
      </c>
    </row>
    <row r="64" spans="1:8" x14ac:dyDescent="0.3">
      <c r="A64" t="s">
        <v>1</v>
      </c>
      <c r="B64" t="s">
        <v>23</v>
      </c>
      <c r="C64" t="s">
        <v>57</v>
      </c>
      <c r="D64">
        <f>SUM('Transpo pondéré'!D64:S64)</f>
        <v>5.1305196670124666E-4</v>
      </c>
      <c r="E64">
        <v>5.1305196670124666E-4</v>
      </c>
      <c r="F64">
        <v>5.1305196670124666E-4</v>
      </c>
      <c r="G64">
        <v>5.1305196670124666E-4</v>
      </c>
      <c r="H64">
        <f t="shared" si="0"/>
        <v>0</v>
      </c>
    </row>
    <row r="65" spans="1:8" x14ac:dyDescent="0.3">
      <c r="A65" t="s">
        <v>1</v>
      </c>
      <c r="B65" t="s">
        <v>23</v>
      </c>
      <c r="C65" t="s">
        <v>81</v>
      </c>
      <c r="D65">
        <f>SUM('Transpo pondéré'!D65:S65)</f>
        <v>2.540974555809207E-4</v>
      </c>
      <c r="E65">
        <v>2.540974555809207E-4</v>
      </c>
      <c r="F65">
        <v>2.540974555809207E-4</v>
      </c>
      <c r="G65">
        <v>2.540974555809207E-4</v>
      </c>
      <c r="H65">
        <f t="shared" si="0"/>
        <v>0</v>
      </c>
    </row>
    <row r="66" spans="1:8" x14ac:dyDescent="0.3">
      <c r="A66" t="s">
        <v>1</v>
      </c>
      <c r="B66" t="s">
        <v>24</v>
      </c>
      <c r="C66" t="s">
        <v>79</v>
      </c>
      <c r="D66">
        <f>SUM('Transpo pondéré'!D66:S66)</f>
        <v>6.4545770901333415E-4</v>
      </c>
      <c r="E66">
        <v>6.4545770901333415E-4</v>
      </c>
      <c r="F66">
        <v>6.4545770901333415E-4</v>
      </c>
      <c r="G66">
        <v>6.4545770901333415E-4</v>
      </c>
      <c r="H66">
        <f t="shared" si="0"/>
        <v>0</v>
      </c>
    </row>
    <row r="67" spans="1:8" x14ac:dyDescent="0.3">
      <c r="A67" t="s">
        <v>1</v>
      </c>
      <c r="B67" t="s">
        <v>24</v>
      </c>
      <c r="C67" t="s">
        <v>56</v>
      </c>
      <c r="D67">
        <f>SUM('Transpo pondéré'!D67:S67)</f>
        <v>2.6066256044892859E-3</v>
      </c>
      <c r="E67">
        <v>2.6066256044892859E-3</v>
      </c>
      <c r="F67">
        <v>2.6066256044892859E-3</v>
      </c>
      <c r="G67">
        <v>2.6066256044892859E-3</v>
      </c>
      <c r="H67">
        <f t="shared" ref="H67:H130" si="1">D67-F67</f>
        <v>0</v>
      </c>
    </row>
    <row r="68" spans="1:8" x14ac:dyDescent="0.3">
      <c r="A68" t="s">
        <v>1</v>
      </c>
      <c r="B68" t="s">
        <v>24</v>
      </c>
      <c r="C68" t="s">
        <v>80</v>
      </c>
      <c r="D68">
        <f>SUM('Transpo pondéré'!D68:S68)</f>
        <v>1.5462948390887847E-2</v>
      </c>
      <c r="E68">
        <v>1.5462948390887847E-2</v>
      </c>
      <c r="F68">
        <v>1.5462948390887847E-2</v>
      </c>
      <c r="G68">
        <v>1.5462948390887847E-2</v>
      </c>
      <c r="H68">
        <f t="shared" si="1"/>
        <v>0</v>
      </c>
    </row>
    <row r="69" spans="1:8" x14ac:dyDescent="0.3">
      <c r="A69" t="s">
        <v>1</v>
      </c>
      <c r="B69" t="s">
        <v>24</v>
      </c>
      <c r="C69" t="s">
        <v>57</v>
      </c>
      <c r="D69">
        <f>SUM('Transpo pondéré'!D69:S69)</f>
        <v>9.2391253633261112E-5</v>
      </c>
      <c r="E69">
        <v>9.2391253633261112E-5</v>
      </c>
      <c r="F69">
        <v>9.2391253633261112E-5</v>
      </c>
      <c r="G69">
        <v>9.2391253633261112E-5</v>
      </c>
      <c r="H69">
        <f t="shared" si="1"/>
        <v>0</v>
      </c>
    </row>
    <row r="70" spans="1:8" x14ac:dyDescent="0.3">
      <c r="A70" t="s">
        <v>1</v>
      </c>
      <c r="B70" t="s">
        <v>24</v>
      </c>
      <c r="C70" t="s">
        <v>82</v>
      </c>
      <c r="D70">
        <f>SUM('Transpo pondéré'!D70:S70)</f>
        <v>5.230724377254259E-5</v>
      </c>
      <c r="E70">
        <v>5.230724377254259E-5</v>
      </c>
      <c r="F70">
        <v>5.230724377254259E-5</v>
      </c>
      <c r="G70">
        <v>5.230724377254259E-5</v>
      </c>
      <c r="H70">
        <f t="shared" si="1"/>
        <v>0</v>
      </c>
    </row>
    <row r="71" spans="1:8" x14ac:dyDescent="0.3">
      <c r="A71" t="s">
        <v>1</v>
      </c>
      <c r="B71" t="s">
        <v>24</v>
      </c>
      <c r="C71" t="s">
        <v>81</v>
      </c>
      <c r="D71">
        <f>SUM('Transpo pondéré'!D71:S71)</f>
        <v>2.2412436215755905E-5</v>
      </c>
      <c r="E71">
        <v>2.2412436215755905E-5</v>
      </c>
      <c r="F71">
        <v>2.2412436215755905E-5</v>
      </c>
      <c r="G71">
        <v>2.2412436215755905E-5</v>
      </c>
      <c r="H71">
        <f t="shared" si="1"/>
        <v>0</v>
      </c>
    </row>
    <row r="72" spans="1:8" x14ac:dyDescent="0.3">
      <c r="A72" t="s">
        <v>1</v>
      </c>
      <c r="B72" t="s">
        <v>25</v>
      </c>
      <c r="C72" t="s">
        <v>79</v>
      </c>
      <c r="D72">
        <f>SUM('Transpo pondéré'!D72:S72)</f>
        <v>4.6440690722066537E-3</v>
      </c>
      <c r="E72">
        <v>4.6440690722066537E-3</v>
      </c>
      <c r="F72">
        <v>4.6440690722066537E-3</v>
      </c>
      <c r="G72">
        <v>4.6440690722066537E-3</v>
      </c>
      <c r="H72">
        <f t="shared" si="1"/>
        <v>0</v>
      </c>
    </row>
    <row r="73" spans="1:8" x14ac:dyDescent="0.3">
      <c r="A73" t="s">
        <v>1</v>
      </c>
      <c r="B73" t="s">
        <v>25</v>
      </c>
      <c r="C73" t="s">
        <v>56</v>
      </c>
      <c r="D73">
        <f>SUM('Transpo pondéré'!D73:S73)</f>
        <v>1.1339180357630476E-2</v>
      </c>
      <c r="E73">
        <v>1.1339180357630476E-2</v>
      </c>
      <c r="F73">
        <v>1.1339180357630476E-2</v>
      </c>
      <c r="G73">
        <v>1.1339180357630476E-2</v>
      </c>
      <c r="H73">
        <f t="shared" si="1"/>
        <v>0</v>
      </c>
    </row>
    <row r="74" spans="1:8" x14ac:dyDescent="0.3">
      <c r="A74" t="s">
        <v>1</v>
      </c>
      <c r="B74" t="s">
        <v>25</v>
      </c>
      <c r="C74" t="s">
        <v>80</v>
      </c>
      <c r="D74">
        <f>SUM('Transpo pondéré'!D74:S74)</f>
        <v>3.374087625129648E-2</v>
      </c>
      <c r="E74">
        <v>3.374087625129648E-2</v>
      </c>
      <c r="F74">
        <v>3.374087625129648E-2</v>
      </c>
      <c r="G74">
        <v>3.374087625129648E-2</v>
      </c>
      <c r="H74">
        <f t="shared" si="1"/>
        <v>0</v>
      </c>
    </row>
    <row r="75" spans="1:8" x14ac:dyDescent="0.3">
      <c r="A75" t="s">
        <v>1</v>
      </c>
      <c r="B75" t="s">
        <v>25</v>
      </c>
      <c r="C75" t="s">
        <v>57</v>
      </c>
      <c r="D75">
        <f>SUM('Transpo pondéré'!D75:S75)</f>
        <v>3.8895825601413568E-4</v>
      </c>
      <c r="E75">
        <v>3.8895825601413568E-4</v>
      </c>
      <c r="F75">
        <v>3.8895825601413568E-4</v>
      </c>
      <c r="G75">
        <v>3.8895825601413568E-4</v>
      </c>
      <c r="H75">
        <f t="shared" si="1"/>
        <v>0</v>
      </c>
    </row>
    <row r="76" spans="1:8" x14ac:dyDescent="0.3">
      <c r="A76" t="s">
        <v>1</v>
      </c>
      <c r="B76" t="s">
        <v>25</v>
      </c>
      <c r="C76" t="s">
        <v>81</v>
      </c>
      <c r="D76">
        <f>SUM('Transpo pondéré'!D76:S76)</f>
        <v>1.8669516557130085E-4</v>
      </c>
      <c r="E76">
        <v>1.8669516557130085E-4</v>
      </c>
      <c r="F76">
        <v>1.8669516557130085E-4</v>
      </c>
      <c r="G76">
        <v>1.8669516557130085E-4</v>
      </c>
      <c r="H76">
        <f t="shared" si="1"/>
        <v>0</v>
      </c>
    </row>
    <row r="77" spans="1:8" x14ac:dyDescent="0.3">
      <c r="A77" t="s">
        <v>1</v>
      </c>
      <c r="B77" t="s">
        <v>26</v>
      </c>
      <c r="C77" t="s">
        <v>79</v>
      </c>
      <c r="D77">
        <f>SUM('Transpo pondéré'!D77:S77)</f>
        <v>4.5539648037800622E-3</v>
      </c>
      <c r="E77">
        <v>4.5539648037800622E-3</v>
      </c>
      <c r="F77">
        <v>4.5539648037800622E-3</v>
      </c>
      <c r="G77">
        <v>4.5539648037800622E-3</v>
      </c>
      <c r="H77">
        <f t="shared" si="1"/>
        <v>0</v>
      </c>
    </row>
    <row r="78" spans="1:8" x14ac:dyDescent="0.3">
      <c r="A78" t="s">
        <v>1</v>
      </c>
      <c r="B78" t="s">
        <v>26</v>
      </c>
      <c r="C78" t="s">
        <v>56</v>
      </c>
      <c r="D78">
        <f>SUM('Transpo pondéré'!D78:S78)</f>
        <v>1.25124342021187E-2</v>
      </c>
      <c r="E78">
        <v>1.25124342021187E-2</v>
      </c>
      <c r="F78">
        <v>1.25124342021187E-2</v>
      </c>
      <c r="G78">
        <v>1.25124342021187E-2</v>
      </c>
      <c r="H78">
        <f t="shared" si="1"/>
        <v>0</v>
      </c>
    </row>
    <row r="79" spans="1:8" x14ac:dyDescent="0.3">
      <c r="A79" t="s">
        <v>1</v>
      </c>
      <c r="B79" t="s">
        <v>26</v>
      </c>
      <c r="C79" t="s">
        <v>80</v>
      </c>
      <c r="D79">
        <f>SUM('Transpo pondéré'!D79:S79)</f>
        <v>6.2754327116588807E-2</v>
      </c>
      <c r="E79">
        <v>6.2754327116588807E-2</v>
      </c>
      <c r="F79">
        <v>6.2754327116588807E-2</v>
      </c>
      <c r="G79">
        <v>6.2754327116588807E-2</v>
      </c>
      <c r="H79">
        <f t="shared" si="1"/>
        <v>0</v>
      </c>
    </row>
    <row r="80" spans="1:8" x14ac:dyDescent="0.3">
      <c r="A80" t="s">
        <v>1</v>
      </c>
      <c r="B80" t="s">
        <v>26</v>
      </c>
      <c r="C80" t="s">
        <v>57</v>
      </c>
      <c r="D80">
        <f>SUM('Transpo pondéré'!D80:S80)</f>
        <v>4.636010482437881E-4</v>
      </c>
      <c r="E80">
        <v>4.636010482437881E-4</v>
      </c>
      <c r="F80">
        <v>4.636010482437881E-4</v>
      </c>
      <c r="G80">
        <v>4.636010482437881E-4</v>
      </c>
      <c r="H80">
        <f t="shared" si="1"/>
        <v>0</v>
      </c>
    </row>
    <row r="81" spans="1:8" x14ac:dyDescent="0.3">
      <c r="A81" t="s">
        <v>1</v>
      </c>
      <c r="B81" t="s">
        <v>26</v>
      </c>
      <c r="C81" t="s">
        <v>82</v>
      </c>
      <c r="D81">
        <f>SUM('Transpo pondéré'!D81:S81)</f>
        <v>3.7372056408958973E-5</v>
      </c>
      <c r="E81">
        <v>3.7372056408958973E-5</v>
      </c>
      <c r="F81">
        <v>3.7372056408958973E-5</v>
      </c>
      <c r="G81">
        <v>3.7372056408958973E-5</v>
      </c>
      <c r="H81">
        <f t="shared" si="1"/>
        <v>0</v>
      </c>
    </row>
    <row r="82" spans="1:8" x14ac:dyDescent="0.3">
      <c r="A82" t="s">
        <v>1</v>
      </c>
      <c r="B82" t="s">
        <v>26</v>
      </c>
      <c r="C82" t="s">
        <v>81</v>
      </c>
      <c r="D82">
        <f>SUM('Transpo pondéré'!D82:S82)</f>
        <v>5.9782483854334228E-5</v>
      </c>
      <c r="E82">
        <v>5.9782483854334228E-5</v>
      </c>
      <c r="F82">
        <v>5.9782483854334228E-5</v>
      </c>
      <c r="G82">
        <v>5.9782483854334228E-5</v>
      </c>
      <c r="H82">
        <f t="shared" si="1"/>
        <v>0</v>
      </c>
    </row>
    <row r="83" spans="1:8" x14ac:dyDescent="0.3">
      <c r="A83" t="s">
        <v>1</v>
      </c>
      <c r="B83" t="s">
        <v>27</v>
      </c>
      <c r="C83" t="s">
        <v>79</v>
      </c>
      <c r="D83">
        <f>SUM('Transpo pondéré'!D83:S83)</f>
        <v>5.8185003338566618E-3</v>
      </c>
      <c r="E83">
        <v>5.8185003338566618E-3</v>
      </c>
      <c r="F83">
        <v>5.8185003338566618E-3</v>
      </c>
      <c r="G83">
        <v>5.8185003338566618E-3</v>
      </c>
      <c r="H83">
        <f t="shared" si="1"/>
        <v>0</v>
      </c>
    </row>
    <row r="84" spans="1:8" x14ac:dyDescent="0.3">
      <c r="A84" t="s">
        <v>1</v>
      </c>
      <c r="B84" t="s">
        <v>27</v>
      </c>
      <c r="C84" t="s">
        <v>56</v>
      </c>
      <c r="D84">
        <f>SUM('Transpo pondéré'!D84:S84)</f>
        <v>1.25124342021187E-2</v>
      </c>
      <c r="E84">
        <v>1.25124342021187E-2</v>
      </c>
      <c r="F84">
        <v>1.25124342021187E-2</v>
      </c>
      <c r="G84">
        <v>1.25124342021187E-2</v>
      </c>
      <c r="H84">
        <f t="shared" si="1"/>
        <v>0</v>
      </c>
    </row>
    <row r="85" spans="1:8" x14ac:dyDescent="0.3">
      <c r="A85" t="s">
        <v>1</v>
      </c>
      <c r="B85" t="s">
        <v>27</v>
      </c>
      <c r="C85" t="s">
        <v>80</v>
      </c>
      <c r="D85">
        <f>SUM('Transpo pondéré'!D85:S85)</f>
        <v>6.1061354547429912E-2</v>
      </c>
      <c r="E85">
        <v>6.1061354547429912E-2</v>
      </c>
      <c r="F85">
        <v>6.1061354547429912E-2</v>
      </c>
      <c r="G85">
        <v>6.1061354547429912E-2</v>
      </c>
      <c r="H85">
        <f t="shared" si="1"/>
        <v>0</v>
      </c>
    </row>
    <row r="86" spans="1:8" x14ac:dyDescent="0.3">
      <c r="A86" t="s">
        <v>1</v>
      </c>
      <c r="B86" t="s">
        <v>27</v>
      </c>
      <c r="C86" t="s">
        <v>57</v>
      </c>
      <c r="D86">
        <f>SUM('Transpo pondéré'!D86:S86)</f>
        <v>5.0811181216408739E-4</v>
      </c>
      <c r="E86">
        <v>5.0811181216408739E-4</v>
      </c>
      <c r="F86">
        <v>5.0811181216408739E-4</v>
      </c>
      <c r="G86">
        <v>5.0811181216408739E-4</v>
      </c>
      <c r="H86">
        <f t="shared" si="1"/>
        <v>0</v>
      </c>
    </row>
    <row r="87" spans="1:8" x14ac:dyDescent="0.3">
      <c r="A87" t="s">
        <v>1</v>
      </c>
      <c r="B87" t="s">
        <v>27</v>
      </c>
      <c r="C87" t="s">
        <v>82</v>
      </c>
      <c r="D87">
        <f>SUM('Transpo pondéré'!D87:S87)</f>
        <v>4.4818899690750763E-5</v>
      </c>
      <c r="E87">
        <v>4.4818899690750763E-5</v>
      </c>
      <c r="F87">
        <v>4.4818899690750763E-5</v>
      </c>
      <c r="G87">
        <v>4.4818899690750763E-5</v>
      </c>
      <c r="H87">
        <f t="shared" si="1"/>
        <v>0</v>
      </c>
    </row>
    <row r="88" spans="1:8" x14ac:dyDescent="0.3">
      <c r="A88" t="s">
        <v>1</v>
      </c>
      <c r="B88" t="s">
        <v>27</v>
      </c>
      <c r="C88" t="s">
        <v>81</v>
      </c>
      <c r="D88">
        <f>SUM('Transpo pondéré'!D88:S88)</f>
        <v>1.6433495219941928E-4</v>
      </c>
      <c r="E88">
        <v>1.6433495219941928E-4</v>
      </c>
      <c r="F88">
        <v>1.6433495219941928E-4</v>
      </c>
      <c r="G88">
        <v>1.6433495219941928E-4</v>
      </c>
      <c r="H88">
        <f t="shared" si="1"/>
        <v>0</v>
      </c>
    </row>
    <row r="89" spans="1:8" x14ac:dyDescent="0.3">
      <c r="A89" t="s">
        <v>1</v>
      </c>
      <c r="B89" t="s">
        <v>28</v>
      </c>
      <c r="C89" t="s">
        <v>83</v>
      </c>
      <c r="D89">
        <f>SUM('Transpo pondéré'!D89:S89)</f>
        <v>6.0119444944441031E-5</v>
      </c>
      <c r="E89">
        <v>6.0119444944441031E-5</v>
      </c>
      <c r="F89">
        <v>6.0119444944441031E-5</v>
      </c>
      <c r="G89">
        <v>6.0119444944441031E-5</v>
      </c>
      <c r="H89">
        <f t="shared" si="1"/>
        <v>0</v>
      </c>
    </row>
    <row r="90" spans="1:8" x14ac:dyDescent="0.3">
      <c r="A90" t="s">
        <v>1</v>
      </c>
      <c r="B90" t="s">
        <v>28</v>
      </c>
      <c r="C90" t="s">
        <v>70</v>
      </c>
      <c r="D90">
        <f>SUM('Transpo pondéré'!D90:S90)</f>
        <v>1.9307518702093402E-3</v>
      </c>
      <c r="E90">
        <v>1.9307518702093402E-3</v>
      </c>
      <c r="F90">
        <v>1.9307518702093402E-3</v>
      </c>
      <c r="G90">
        <v>1.9307518702093402E-3</v>
      </c>
      <c r="H90">
        <f t="shared" si="1"/>
        <v>0</v>
      </c>
    </row>
    <row r="91" spans="1:8" x14ac:dyDescent="0.3">
      <c r="A91" t="s">
        <v>1</v>
      </c>
      <c r="B91" t="s">
        <v>28</v>
      </c>
      <c r="C91" t="s">
        <v>72</v>
      </c>
      <c r="D91">
        <f>SUM('Transpo pondéré'!D91:S91)</f>
        <v>2.3419749275823093E-3</v>
      </c>
      <c r="E91">
        <v>2.3419749275823093E-3</v>
      </c>
      <c r="F91">
        <v>2.3419749275823093E-3</v>
      </c>
      <c r="G91">
        <v>2.3419749275823093E-3</v>
      </c>
      <c r="H91">
        <f t="shared" si="1"/>
        <v>0</v>
      </c>
    </row>
    <row r="92" spans="1:8" x14ac:dyDescent="0.3">
      <c r="A92" t="s">
        <v>1</v>
      </c>
      <c r="B92" t="s">
        <v>28</v>
      </c>
      <c r="C92" t="s">
        <v>58</v>
      </c>
      <c r="D92">
        <f>SUM('Transpo pondéré'!D92:S92)</f>
        <v>4.1541512510781462E-5</v>
      </c>
      <c r="E92">
        <v>4.1541512510781462E-5</v>
      </c>
      <c r="F92">
        <v>4.1541512510781462E-5</v>
      </c>
      <c r="G92">
        <v>4.1541512510781462E-5</v>
      </c>
      <c r="H92">
        <f t="shared" si="1"/>
        <v>0</v>
      </c>
    </row>
    <row r="93" spans="1:8" x14ac:dyDescent="0.3">
      <c r="A93" t="s">
        <v>1</v>
      </c>
      <c r="B93" t="s">
        <v>28</v>
      </c>
      <c r="C93" t="s">
        <v>84</v>
      </c>
      <c r="D93">
        <f>SUM('Transpo pondéré'!D93:S93)</f>
        <v>2.7551309902673119E-3</v>
      </c>
      <c r="E93">
        <v>2.7551309902673119E-3</v>
      </c>
      <c r="F93">
        <v>2.7551309902673119E-3</v>
      </c>
      <c r="G93">
        <v>2.7551309902673119E-3</v>
      </c>
      <c r="H93">
        <f t="shared" si="1"/>
        <v>0</v>
      </c>
    </row>
    <row r="94" spans="1:8" x14ac:dyDescent="0.3">
      <c r="A94" t="s">
        <v>1</v>
      </c>
      <c r="B94" t="s">
        <v>28</v>
      </c>
      <c r="C94" t="s">
        <v>74</v>
      </c>
      <c r="D94">
        <f>SUM('Transpo pondéré'!D94:S94)</f>
        <v>2.5180909421195701E-5</v>
      </c>
      <c r="E94">
        <v>2.5180909421195701E-5</v>
      </c>
      <c r="F94">
        <v>2.5180909421195701E-5</v>
      </c>
      <c r="G94">
        <v>2.5180909421195701E-5</v>
      </c>
      <c r="H94">
        <f t="shared" si="1"/>
        <v>0</v>
      </c>
    </row>
    <row r="95" spans="1:8" x14ac:dyDescent="0.3">
      <c r="A95" t="s">
        <v>1</v>
      </c>
      <c r="B95" t="s">
        <v>28</v>
      </c>
      <c r="C95" t="s">
        <v>79</v>
      </c>
      <c r="D95">
        <f>SUM('Transpo pondéré'!D95:S95)</f>
        <v>8.5330893988731904E-5</v>
      </c>
      <c r="E95">
        <v>8.5330893988731904E-5</v>
      </c>
      <c r="F95">
        <v>8.5330893988731904E-5</v>
      </c>
      <c r="G95">
        <v>8.5330893988731904E-5</v>
      </c>
      <c r="H95">
        <f t="shared" si="1"/>
        <v>0</v>
      </c>
    </row>
    <row r="96" spans="1:8" x14ac:dyDescent="0.3">
      <c r="A96" t="s">
        <v>1</v>
      </c>
      <c r="B96" t="s">
        <v>28</v>
      </c>
      <c r="C96" t="s">
        <v>78</v>
      </c>
      <c r="D96">
        <f>SUM('Transpo pondéré'!D96:S96)</f>
        <v>4.4299792801323103E-3</v>
      </c>
      <c r="E96">
        <v>4.4299792801323103E-3</v>
      </c>
      <c r="F96">
        <v>4.4299792801323103E-3</v>
      </c>
      <c r="G96">
        <v>4.4299792801323103E-3</v>
      </c>
      <c r="H96">
        <f t="shared" si="1"/>
        <v>0</v>
      </c>
    </row>
    <row r="97" spans="1:8" x14ac:dyDescent="0.3">
      <c r="A97" t="s">
        <v>1</v>
      </c>
      <c r="B97" t="s">
        <v>28</v>
      </c>
      <c r="C97" t="s">
        <v>59</v>
      </c>
      <c r="D97">
        <f>SUM('Transpo pondéré'!D97:S97)</f>
        <v>1.2141908349594975E-4</v>
      </c>
      <c r="E97">
        <v>1.2141908349594975E-4</v>
      </c>
      <c r="F97">
        <v>1.2141908349594975E-4</v>
      </c>
      <c r="G97">
        <v>1.2141908349594975E-4</v>
      </c>
      <c r="H97">
        <f t="shared" si="1"/>
        <v>0</v>
      </c>
    </row>
    <row r="98" spans="1:8" x14ac:dyDescent="0.3">
      <c r="A98" t="s">
        <v>1</v>
      </c>
      <c r="B98" t="s">
        <v>28</v>
      </c>
      <c r="C98" t="s">
        <v>56</v>
      </c>
      <c r="D98">
        <f>SUM('Transpo pondéré'!D98:S98)</f>
        <v>1.0591153391304856E-4</v>
      </c>
      <c r="E98">
        <v>1.0591153391304856E-4</v>
      </c>
      <c r="F98">
        <v>1.0591153391304856E-4</v>
      </c>
      <c r="G98">
        <v>1.0591153391304856E-4</v>
      </c>
      <c r="H98">
        <f t="shared" si="1"/>
        <v>0</v>
      </c>
    </row>
    <row r="99" spans="1:8" x14ac:dyDescent="0.3">
      <c r="A99" t="s">
        <v>1</v>
      </c>
      <c r="B99" t="s">
        <v>28</v>
      </c>
      <c r="C99" t="s">
        <v>57</v>
      </c>
      <c r="D99">
        <f>SUM('Transpo pondéré'!D99:S99)</f>
        <v>1.5772902243659103E-4</v>
      </c>
      <c r="E99">
        <v>1.5772902243659103E-4</v>
      </c>
      <c r="F99">
        <v>1.5772902243659103E-4</v>
      </c>
      <c r="G99">
        <v>1.5772902243659103E-4</v>
      </c>
      <c r="H99">
        <f t="shared" si="1"/>
        <v>0</v>
      </c>
    </row>
    <row r="100" spans="1:8" x14ac:dyDescent="0.3">
      <c r="A100" t="s">
        <v>1</v>
      </c>
      <c r="B100" t="s">
        <v>29</v>
      </c>
      <c r="C100" t="s">
        <v>58</v>
      </c>
      <c r="D100">
        <f>SUM('Transpo pondéré'!D100:S100)</f>
        <v>1.1321631078810967E-3</v>
      </c>
      <c r="E100">
        <v>1.1321631078810967E-3</v>
      </c>
      <c r="F100">
        <v>1.1321631078810967E-3</v>
      </c>
      <c r="G100">
        <v>1.1321631078810967E-3</v>
      </c>
      <c r="H100">
        <f t="shared" si="1"/>
        <v>0</v>
      </c>
    </row>
    <row r="101" spans="1:8" x14ac:dyDescent="0.3">
      <c r="A101" t="s">
        <v>1</v>
      </c>
      <c r="B101" t="s">
        <v>29</v>
      </c>
      <c r="C101" t="s">
        <v>85</v>
      </c>
      <c r="D101">
        <f>SUM('Transpo pondéré'!D101:S101)</f>
        <v>3.4110764816888989E-2</v>
      </c>
      <c r="E101">
        <v>3.4110764816888989E-2</v>
      </c>
      <c r="F101">
        <v>3.4110764816888989E-2</v>
      </c>
      <c r="G101">
        <v>3.4110764816888989E-2</v>
      </c>
      <c r="H101">
        <f t="shared" si="1"/>
        <v>0</v>
      </c>
    </row>
    <row r="102" spans="1:8" x14ac:dyDescent="0.3">
      <c r="A102" t="s">
        <v>1</v>
      </c>
      <c r="B102" t="s">
        <v>29</v>
      </c>
      <c r="C102" t="s">
        <v>56</v>
      </c>
      <c r="D102">
        <f>SUM('Transpo pondéré'!D102:S102)</f>
        <v>0.14921452942577426</v>
      </c>
      <c r="E102">
        <v>0.14921452942577426</v>
      </c>
      <c r="F102">
        <v>0.14921452942577426</v>
      </c>
      <c r="G102">
        <v>0.14921452942577426</v>
      </c>
      <c r="H102">
        <f t="shared" si="1"/>
        <v>0</v>
      </c>
    </row>
    <row r="103" spans="1:8" x14ac:dyDescent="0.3">
      <c r="A103" t="s">
        <v>1</v>
      </c>
      <c r="B103" t="s">
        <v>29</v>
      </c>
      <c r="C103" t="s">
        <v>86</v>
      </c>
      <c r="D103">
        <f>SUM('Transpo pondéré'!D103:S103)</f>
        <v>6.9357030081447224E-3</v>
      </c>
      <c r="E103">
        <v>6.9357030081447224E-3</v>
      </c>
      <c r="F103">
        <v>6.9357030081447224E-3</v>
      </c>
      <c r="G103">
        <v>6.9357030081447224E-3</v>
      </c>
      <c r="H103">
        <f t="shared" si="1"/>
        <v>0</v>
      </c>
    </row>
    <row r="104" spans="1:8" x14ac:dyDescent="0.3">
      <c r="A104" t="s">
        <v>1</v>
      </c>
      <c r="B104" t="s">
        <v>29</v>
      </c>
      <c r="C104" t="s">
        <v>57</v>
      </c>
      <c r="D104">
        <f>SUM('Transpo pondéré'!D104:S104)</f>
        <v>9.3339336546012443E-4</v>
      </c>
      <c r="E104">
        <v>9.3339336546012443E-4</v>
      </c>
      <c r="F104">
        <v>9.3339336546012443E-4</v>
      </c>
      <c r="G104">
        <v>9.3339336546012443E-4</v>
      </c>
      <c r="H104">
        <f t="shared" si="1"/>
        <v>0</v>
      </c>
    </row>
    <row r="105" spans="1:8" x14ac:dyDescent="0.3">
      <c r="A105" t="s">
        <v>1</v>
      </c>
      <c r="B105" t="s">
        <v>30</v>
      </c>
      <c r="C105" t="s">
        <v>72</v>
      </c>
      <c r="D105">
        <f>SUM('Transpo pondéré'!D105:S105)</f>
        <v>3.9525247653480082E-2</v>
      </c>
      <c r="E105">
        <v>3.9525247653480082E-2</v>
      </c>
      <c r="F105">
        <v>3.9525247653480082E-2</v>
      </c>
      <c r="G105">
        <v>3.9525247653480082E-2</v>
      </c>
      <c r="H105">
        <f t="shared" si="1"/>
        <v>0</v>
      </c>
    </row>
    <row r="106" spans="1:8" x14ac:dyDescent="0.3">
      <c r="A106" t="s">
        <v>1</v>
      </c>
      <c r="B106" t="s">
        <v>30</v>
      </c>
      <c r="C106" t="s">
        <v>58</v>
      </c>
      <c r="D106">
        <f>SUM('Transpo pondéré'!D106:S106)</f>
        <v>2.7237900827154231E-4</v>
      </c>
      <c r="E106">
        <v>2.7237900827154231E-4</v>
      </c>
      <c r="F106">
        <v>2.7237900827154231E-4</v>
      </c>
      <c r="G106">
        <v>2.7237900827154231E-4</v>
      </c>
      <c r="H106">
        <f t="shared" si="1"/>
        <v>0</v>
      </c>
    </row>
    <row r="107" spans="1:8" x14ac:dyDescent="0.3">
      <c r="A107" t="s">
        <v>1</v>
      </c>
      <c r="B107" t="s">
        <v>30</v>
      </c>
      <c r="C107" t="s">
        <v>74</v>
      </c>
      <c r="D107">
        <f>SUM('Transpo pondéré'!D107:S107)</f>
        <v>1.4522948231444308E-6</v>
      </c>
      <c r="E107">
        <v>1.4522948231444308E-6</v>
      </c>
      <c r="F107">
        <v>1.4522948231444308E-6</v>
      </c>
      <c r="G107">
        <v>1.4522948231444308E-6</v>
      </c>
      <c r="H107">
        <f t="shared" si="1"/>
        <v>0</v>
      </c>
    </row>
    <row r="108" spans="1:8" x14ac:dyDescent="0.3">
      <c r="A108" t="s">
        <v>1</v>
      </c>
      <c r="B108" t="s">
        <v>30</v>
      </c>
      <c r="C108" t="s">
        <v>59</v>
      </c>
      <c r="D108">
        <f>SUM('Transpo pondéré'!D108:S108)</f>
        <v>5.2174639381506648E-5</v>
      </c>
      <c r="E108">
        <v>5.2174639381506648E-5</v>
      </c>
      <c r="F108">
        <v>5.2174639381506648E-5</v>
      </c>
      <c r="G108">
        <v>5.2174639381506648E-5</v>
      </c>
      <c r="H108">
        <f t="shared" si="1"/>
        <v>0</v>
      </c>
    </row>
    <row r="109" spans="1:8" x14ac:dyDescent="0.3">
      <c r="A109" t="s">
        <v>1</v>
      </c>
      <c r="B109" t="s">
        <v>30</v>
      </c>
      <c r="C109" t="s">
        <v>56</v>
      </c>
      <c r="D109">
        <f>SUM('Transpo pondéré'!D109:S109)</f>
        <v>2.5774854393347708E-8</v>
      </c>
      <c r="E109">
        <v>2.5774854393347708E-8</v>
      </c>
      <c r="F109">
        <v>2.5774854393347708E-8</v>
      </c>
      <c r="G109">
        <v>2.5774854393347708E-8</v>
      </c>
      <c r="H109">
        <f t="shared" si="1"/>
        <v>0</v>
      </c>
    </row>
    <row r="110" spans="1:8" x14ac:dyDescent="0.3">
      <c r="A110" t="s">
        <v>1</v>
      </c>
      <c r="B110" t="s">
        <v>30</v>
      </c>
      <c r="C110" t="s">
        <v>57</v>
      </c>
      <c r="D110">
        <f>SUM('Transpo pondéré'!D110:S110)</f>
        <v>1.0225389050486993E-3</v>
      </c>
      <c r="E110">
        <v>1.0225389050486993E-3</v>
      </c>
      <c r="F110">
        <v>1.0225389050486993E-3</v>
      </c>
      <c r="G110">
        <v>1.0225389050486993E-3</v>
      </c>
      <c r="H110">
        <f t="shared" si="1"/>
        <v>0</v>
      </c>
    </row>
    <row r="111" spans="1:8" x14ac:dyDescent="0.3">
      <c r="A111" t="s">
        <v>1</v>
      </c>
      <c r="B111" t="s">
        <v>30</v>
      </c>
      <c r="C111" t="s">
        <v>81</v>
      </c>
      <c r="D111">
        <f>SUM('Transpo pondéré'!D111:S111)</f>
        <v>5.9766496575348919E-5</v>
      </c>
      <c r="E111">
        <v>5.9766496575348919E-5</v>
      </c>
      <c r="F111">
        <v>5.9766496575348919E-5</v>
      </c>
      <c r="G111">
        <v>5.9766496575348919E-5</v>
      </c>
      <c r="H111">
        <f t="shared" si="1"/>
        <v>0</v>
      </c>
    </row>
    <row r="112" spans="1:8" x14ac:dyDescent="0.3">
      <c r="A112" t="s">
        <v>1</v>
      </c>
      <c r="B112" t="s">
        <v>31</v>
      </c>
      <c r="C112" t="s">
        <v>87</v>
      </c>
      <c r="D112">
        <f>SUM('Transpo pondéré'!D112:S112)</f>
        <v>1.5583793506514267E-4</v>
      </c>
      <c r="E112">
        <v>1.5583793506514267E-4</v>
      </c>
      <c r="F112">
        <v>1.5583793506514267E-4</v>
      </c>
      <c r="G112">
        <v>1.5583793506514267E-4</v>
      </c>
      <c r="H112">
        <f t="shared" si="1"/>
        <v>0</v>
      </c>
    </row>
    <row r="113" spans="1:8" x14ac:dyDescent="0.3">
      <c r="A113" t="s">
        <v>1</v>
      </c>
      <c r="B113" t="s">
        <v>31</v>
      </c>
      <c r="C113" t="s">
        <v>70</v>
      </c>
      <c r="D113">
        <f>SUM('Transpo pondéré'!D113:S113)</f>
        <v>0.21990953593752827</v>
      </c>
      <c r="E113">
        <v>0.21990953593752827</v>
      </c>
      <c r="F113">
        <v>0.21990953593752827</v>
      </c>
      <c r="G113">
        <v>0.21990953593752827</v>
      </c>
      <c r="H113">
        <f t="shared" si="1"/>
        <v>0</v>
      </c>
    </row>
    <row r="114" spans="1:8" x14ac:dyDescent="0.3">
      <c r="A114" t="s">
        <v>1</v>
      </c>
      <c r="B114" t="s">
        <v>31</v>
      </c>
      <c r="C114" t="s">
        <v>58</v>
      </c>
      <c r="D114">
        <f>SUM('Transpo pondéré'!D114:S114)</f>
        <v>1.583416936171627E-3</v>
      </c>
      <c r="E114">
        <v>1.583416936171627E-3</v>
      </c>
      <c r="F114">
        <v>1.583416936171627E-3</v>
      </c>
      <c r="G114">
        <v>1.583416936171627E-3</v>
      </c>
      <c r="H114">
        <f t="shared" si="1"/>
        <v>0</v>
      </c>
    </row>
    <row r="115" spans="1:8" x14ac:dyDescent="0.3">
      <c r="A115" t="s">
        <v>1</v>
      </c>
      <c r="B115" t="s">
        <v>31</v>
      </c>
      <c r="C115" t="s">
        <v>73</v>
      </c>
      <c r="D115">
        <f>SUM('Transpo pondéré'!D115:S115)</f>
        <v>2.2576115967100959E-3</v>
      </c>
      <c r="E115">
        <v>2.2576115967100959E-3</v>
      </c>
      <c r="F115">
        <v>2.2576115967100959E-3</v>
      </c>
      <c r="G115">
        <v>2.2576115967100959E-3</v>
      </c>
      <c r="H115">
        <f t="shared" si="1"/>
        <v>0</v>
      </c>
    </row>
    <row r="116" spans="1:8" x14ac:dyDescent="0.3">
      <c r="A116" t="s">
        <v>1</v>
      </c>
      <c r="B116" t="s">
        <v>31</v>
      </c>
      <c r="C116" t="s">
        <v>75</v>
      </c>
      <c r="D116">
        <f>SUM('Transpo pondéré'!D116:S116)</f>
        <v>3.3182713587639448E-4</v>
      </c>
      <c r="E116">
        <v>3.3182713587639448E-4</v>
      </c>
      <c r="F116">
        <v>3.3182713587639448E-4</v>
      </c>
      <c r="G116">
        <v>3.3182713587639448E-4</v>
      </c>
      <c r="H116">
        <f t="shared" si="1"/>
        <v>0</v>
      </c>
    </row>
    <row r="117" spans="1:8" x14ac:dyDescent="0.3">
      <c r="A117" t="s">
        <v>1</v>
      </c>
      <c r="B117" t="s">
        <v>31</v>
      </c>
      <c r="C117" t="s">
        <v>59</v>
      </c>
      <c r="D117">
        <f>SUM('Transpo pondéré'!D117:S117)</f>
        <v>8.0937906806480731E-4</v>
      </c>
      <c r="E117">
        <v>8.0937906806480731E-4</v>
      </c>
      <c r="F117">
        <v>8.0937906806480731E-4</v>
      </c>
      <c r="G117">
        <v>8.0937906806480731E-4</v>
      </c>
      <c r="H117">
        <f t="shared" si="1"/>
        <v>0</v>
      </c>
    </row>
    <row r="118" spans="1:8" x14ac:dyDescent="0.3">
      <c r="A118" t="s">
        <v>1</v>
      </c>
      <c r="B118" t="s">
        <v>31</v>
      </c>
      <c r="C118" t="s">
        <v>56</v>
      </c>
      <c r="D118">
        <f>SUM('Transpo pondéré'!D118:S118)</f>
        <v>5.5656073473492741E-4</v>
      </c>
      <c r="E118">
        <v>5.5656073473492741E-4</v>
      </c>
      <c r="F118">
        <v>5.5656073473492741E-4</v>
      </c>
      <c r="G118">
        <v>5.5656073473492741E-4</v>
      </c>
      <c r="H118">
        <f t="shared" si="1"/>
        <v>0</v>
      </c>
    </row>
    <row r="119" spans="1:8" x14ac:dyDescent="0.3">
      <c r="A119" t="s">
        <v>1</v>
      </c>
      <c r="B119" t="s">
        <v>31</v>
      </c>
      <c r="C119" t="s">
        <v>88</v>
      </c>
      <c r="D119">
        <f>SUM('Transpo pondéré'!D119:S119)</f>
        <v>1.9954931538189047E-5</v>
      </c>
      <c r="E119">
        <v>1.9954931538189047E-5</v>
      </c>
      <c r="F119">
        <v>1.9954931538189047E-5</v>
      </c>
      <c r="G119">
        <v>1.9954931538189047E-5</v>
      </c>
      <c r="H119">
        <f t="shared" si="1"/>
        <v>0</v>
      </c>
    </row>
    <row r="120" spans="1:8" x14ac:dyDescent="0.3">
      <c r="A120" t="s">
        <v>1</v>
      </c>
      <c r="B120" t="s">
        <v>31</v>
      </c>
      <c r="C120" t="s">
        <v>57</v>
      </c>
      <c r="D120">
        <f>SUM('Transpo pondéré'!D120:S120)</f>
        <v>1.6957473940799801E-3</v>
      </c>
      <c r="E120">
        <v>1.6957473940799801E-3</v>
      </c>
      <c r="F120">
        <v>1.6957473940799801E-3</v>
      </c>
      <c r="G120">
        <v>1.6957473940799801E-3</v>
      </c>
      <c r="H120">
        <f t="shared" si="1"/>
        <v>0</v>
      </c>
    </row>
    <row r="121" spans="1:8" x14ac:dyDescent="0.3">
      <c r="A121" t="s">
        <v>1</v>
      </c>
      <c r="B121" t="s">
        <v>32</v>
      </c>
      <c r="C121" t="s">
        <v>58</v>
      </c>
      <c r="D121">
        <f>SUM('Transpo pondéré'!D121:S121)</f>
        <v>1.177903562057108E-4</v>
      </c>
      <c r="E121">
        <v>1.177903562057108E-4</v>
      </c>
      <c r="F121">
        <v>1.177903562057108E-4</v>
      </c>
      <c r="G121">
        <v>1.177903562057108E-4</v>
      </c>
      <c r="H121">
        <f t="shared" si="1"/>
        <v>0</v>
      </c>
    </row>
    <row r="122" spans="1:8" x14ac:dyDescent="0.3">
      <c r="A122" t="s">
        <v>1</v>
      </c>
      <c r="B122" t="s">
        <v>32</v>
      </c>
      <c r="C122" t="s">
        <v>89</v>
      </c>
      <c r="D122">
        <f>SUM('Transpo pondéré'!D122:S122)</f>
        <v>1.4966313896401795E-3</v>
      </c>
      <c r="E122">
        <v>1.4966313896401795E-3</v>
      </c>
      <c r="F122">
        <v>1.4966313896401795E-3</v>
      </c>
      <c r="G122">
        <v>1.4966313896401795E-3</v>
      </c>
      <c r="H122">
        <f t="shared" si="1"/>
        <v>0</v>
      </c>
    </row>
    <row r="123" spans="1:8" x14ac:dyDescent="0.3">
      <c r="A123" t="s">
        <v>1</v>
      </c>
      <c r="B123" t="s">
        <v>32</v>
      </c>
      <c r="C123" t="s">
        <v>73</v>
      </c>
      <c r="D123">
        <f>SUM('Transpo pondéré'!D123:S123)</f>
        <v>9.2359460431069004E-2</v>
      </c>
      <c r="E123">
        <v>9.2359460431069004E-2</v>
      </c>
      <c r="F123">
        <v>9.2359460431069004E-2</v>
      </c>
      <c r="G123">
        <v>9.2359460431069004E-2</v>
      </c>
      <c r="H123">
        <f t="shared" si="1"/>
        <v>0</v>
      </c>
    </row>
    <row r="124" spans="1:8" x14ac:dyDescent="0.3">
      <c r="A124" t="s">
        <v>1</v>
      </c>
      <c r="B124" t="s">
        <v>32</v>
      </c>
      <c r="C124" t="s">
        <v>74</v>
      </c>
      <c r="D124">
        <f>SUM('Transpo pondéré'!D124:S124)</f>
        <v>1.6797043868065463E-5</v>
      </c>
      <c r="E124">
        <v>1.6797043868065463E-5</v>
      </c>
      <c r="F124">
        <v>1.6797043868065463E-5</v>
      </c>
      <c r="G124">
        <v>1.6797043868065463E-5</v>
      </c>
      <c r="H124">
        <f t="shared" si="1"/>
        <v>0</v>
      </c>
    </row>
    <row r="125" spans="1:8" x14ac:dyDescent="0.3">
      <c r="A125" t="s">
        <v>1</v>
      </c>
      <c r="B125" t="s">
        <v>32</v>
      </c>
      <c r="C125" t="s">
        <v>75</v>
      </c>
      <c r="D125">
        <f>SUM('Transpo pondéré'!D125:S125)</f>
        <v>6.6517920575329887E-5</v>
      </c>
      <c r="E125">
        <v>6.6517920575329887E-5</v>
      </c>
      <c r="F125">
        <v>6.6517920575329887E-5</v>
      </c>
      <c r="G125">
        <v>6.6517920575329887E-5</v>
      </c>
      <c r="H125">
        <f t="shared" si="1"/>
        <v>0</v>
      </c>
    </row>
    <row r="126" spans="1:8" x14ac:dyDescent="0.3">
      <c r="A126" t="s">
        <v>1</v>
      </c>
      <c r="B126" t="s">
        <v>32</v>
      </c>
      <c r="C126" t="s">
        <v>78</v>
      </c>
      <c r="D126">
        <f>SUM('Transpo pondéré'!D126:S126)</f>
        <v>5.2808710798476401E-3</v>
      </c>
      <c r="E126">
        <v>5.2808710798476401E-3</v>
      </c>
      <c r="F126">
        <v>5.2808710798476401E-3</v>
      </c>
      <c r="G126">
        <v>5.2808710798476401E-3</v>
      </c>
      <c r="H126">
        <f t="shared" si="1"/>
        <v>0</v>
      </c>
    </row>
    <row r="127" spans="1:8" x14ac:dyDescent="0.3">
      <c r="A127" t="s">
        <v>1</v>
      </c>
      <c r="B127" t="s">
        <v>32</v>
      </c>
      <c r="C127" t="s">
        <v>59</v>
      </c>
      <c r="D127">
        <f>SUM('Transpo pondéré'!D127:S127)</f>
        <v>2.1045974472631265E-4</v>
      </c>
      <c r="E127">
        <v>2.1045974472631265E-4</v>
      </c>
      <c r="F127">
        <v>2.1045974472631265E-4</v>
      </c>
      <c r="G127">
        <v>2.1045974472631265E-4</v>
      </c>
      <c r="H127">
        <f t="shared" si="1"/>
        <v>0</v>
      </c>
    </row>
    <row r="128" spans="1:8" x14ac:dyDescent="0.3">
      <c r="A128" t="s">
        <v>1</v>
      </c>
      <c r="B128" t="s">
        <v>32</v>
      </c>
      <c r="C128" t="s">
        <v>56</v>
      </c>
      <c r="D128">
        <f>SUM('Transpo pondéré'!D128:S128)</f>
        <v>5.5656073473492741E-4</v>
      </c>
      <c r="E128">
        <v>5.5656073473492741E-4</v>
      </c>
      <c r="F128">
        <v>5.5656073473492741E-4</v>
      </c>
      <c r="G128">
        <v>5.5656073473492741E-4</v>
      </c>
      <c r="H128">
        <f t="shared" si="1"/>
        <v>0</v>
      </c>
    </row>
    <row r="129" spans="1:8" x14ac:dyDescent="0.3">
      <c r="A129" t="s">
        <v>1</v>
      </c>
      <c r="B129" t="s">
        <v>32</v>
      </c>
      <c r="C129" t="s">
        <v>57</v>
      </c>
      <c r="D129">
        <f>SUM('Transpo pondéré'!D129:S129)</f>
        <v>8.2876345595702132E-4</v>
      </c>
      <c r="E129">
        <v>8.2876345595702132E-4</v>
      </c>
      <c r="F129">
        <v>8.2876345595702132E-4</v>
      </c>
      <c r="G129">
        <v>8.2876345595702132E-4</v>
      </c>
      <c r="H129">
        <f t="shared" si="1"/>
        <v>0</v>
      </c>
    </row>
    <row r="130" spans="1:8" x14ac:dyDescent="0.3">
      <c r="A130" t="s">
        <v>1</v>
      </c>
      <c r="B130" t="s">
        <v>33</v>
      </c>
      <c r="C130" t="s">
        <v>87</v>
      </c>
      <c r="D130">
        <f>SUM('Transpo pondéré'!D130:S130)</f>
        <v>8.6093939646081884E-3</v>
      </c>
      <c r="E130">
        <v>8.4884961500837353E-3</v>
      </c>
      <c r="F130">
        <v>8.6093939646081884E-3</v>
      </c>
      <c r="G130">
        <v>8.6093939646081884E-3</v>
      </c>
      <c r="H130">
        <f t="shared" si="1"/>
        <v>0</v>
      </c>
    </row>
    <row r="131" spans="1:8" x14ac:dyDescent="0.3">
      <c r="A131" t="s">
        <v>1</v>
      </c>
      <c r="B131" t="s">
        <v>33</v>
      </c>
      <c r="C131">
        <v>4140</v>
      </c>
      <c r="D131">
        <f>SUM('Transpo pondéré'!D131:S131)</f>
        <v>1.2153968066235955E-5</v>
      </c>
      <c r="E131">
        <v>5.4650167686001847E-6</v>
      </c>
      <c r="F131">
        <v>1.2153968066235955E-5</v>
      </c>
      <c r="G131">
        <v>1.2153968066235955E-5</v>
      </c>
      <c r="H131">
        <f t="shared" ref="H131:H194" si="2">D131-F131</f>
        <v>0</v>
      </c>
    </row>
    <row r="132" spans="1:8" x14ac:dyDescent="0.3">
      <c r="A132" t="s">
        <v>1</v>
      </c>
      <c r="B132" t="s">
        <v>33</v>
      </c>
      <c r="C132" t="s">
        <v>70</v>
      </c>
      <c r="D132">
        <f>SUM('Transpo pondéré'!D132:S132)</f>
        <v>0.22287377855089849</v>
      </c>
      <c r="E132">
        <v>0.21681671967473523</v>
      </c>
      <c r="F132">
        <v>0.22287377855089849</v>
      </c>
      <c r="G132">
        <v>0.22287377855089849</v>
      </c>
      <c r="H132">
        <f t="shared" si="2"/>
        <v>0</v>
      </c>
    </row>
    <row r="133" spans="1:8" x14ac:dyDescent="0.3">
      <c r="A133" t="s">
        <v>1</v>
      </c>
      <c r="B133" t="s">
        <v>33</v>
      </c>
      <c r="C133" t="s">
        <v>71</v>
      </c>
      <c r="D133">
        <f>SUM('Transpo pondéré'!D133:S133)</f>
        <v>9.2269151362274412E-2</v>
      </c>
      <c r="E133">
        <v>9.0398457977171817E-2</v>
      </c>
      <c r="F133">
        <v>9.2269151362274412E-2</v>
      </c>
      <c r="G133">
        <v>9.2269151362274412E-2</v>
      </c>
      <c r="H133">
        <f t="shared" si="2"/>
        <v>0</v>
      </c>
    </row>
    <row r="134" spans="1:8" x14ac:dyDescent="0.3">
      <c r="A134" t="s">
        <v>1</v>
      </c>
      <c r="B134" t="s">
        <v>33</v>
      </c>
      <c r="C134" t="s">
        <v>72</v>
      </c>
      <c r="D134">
        <f>SUM('Transpo pondéré'!D134:S134)</f>
        <v>5.0287389539828992E-3</v>
      </c>
      <c r="E134">
        <v>4.9632765999788244E-3</v>
      </c>
      <c r="F134">
        <v>5.0287389539828992E-3</v>
      </c>
      <c r="G134">
        <v>5.0287389539828992E-3</v>
      </c>
      <c r="H134">
        <f t="shared" si="2"/>
        <v>0</v>
      </c>
    </row>
    <row r="135" spans="1:8" x14ac:dyDescent="0.3">
      <c r="A135" t="s">
        <v>1</v>
      </c>
      <c r="B135" t="s">
        <v>33</v>
      </c>
      <c r="C135" t="s">
        <v>58</v>
      </c>
      <c r="D135">
        <f>SUM('Transpo pondéré'!D135:S135)</f>
        <v>1.0251516925154667E-2</v>
      </c>
      <c r="E135">
        <v>1.0105923080586649E-2</v>
      </c>
      <c r="F135">
        <v>1.0251516925154667E-2</v>
      </c>
      <c r="G135">
        <v>1.0251516925154667E-2</v>
      </c>
      <c r="H135">
        <f t="shared" si="2"/>
        <v>0</v>
      </c>
    </row>
    <row r="136" spans="1:8" x14ac:dyDescent="0.3">
      <c r="A136" t="s">
        <v>1</v>
      </c>
      <c r="B136" t="s">
        <v>33</v>
      </c>
      <c r="C136" t="s">
        <v>75</v>
      </c>
      <c r="D136">
        <f>SUM('Transpo pondéré'!D136:S136)</f>
        <v>6.3294570479503103E-4</v>
      </c>
      <c r="E136">
        <v>6.2906205156114815E-4</v>
      </c>
      <c r="F136">
        <v>6.3294570479503103E-4</v>
      </c>
      <c r="G136">
        <v>6.3294570479503103E-4</v>
      </c>
      <c r="H136">
        <f t="shared" si="2"/>
        <v>0</v>
      </c>
    </row>
    <row r="137" spans="1:8" x14ac:dyDescent="0.3">
      <c r="A137" t="s">
        <v>1</v>
      </c>
      <c r="B137" t="s">
        <v>33</v>
      </c>
      <c r="C137" t="s">
        <v>59</v>
      </c>
      <c r="D137">
        <f>SUM('Transpo pondéré'!D137:S137)</f>
        <v>1.7341579478393166E-3</v>
      </c>
      <c r="E137">
        <v>1.6392163288312346E-3</v>
      </c>
      <c r="F137">
        <v>1.7341579478393166E-3</v>
      </c>
      <c r="G137">
        <v>1.7341579478393166E-3</v>
      </c>
      <c r="H137">
        <f t="shared" si="2"/>
        <v>0</v>
      </c>
    </row>
    <row r="138" spans="1:8" x14ac:dyDescent="0.3">
      <c r="A138" t="s">
        <v>1</v>
      </c>
      <c r="B138" t="s">
        <v>33</v>
      </c>
      <c r="C138" t="s">
        <v>56</v>
      </c>
      <c r="D138">
        <f>SUM('Transpo pondéré'!D138:S138)</f>
        <v>4.3000495297944565E-2</v>
      </c>
      <c r="E138">
        <v>4.3000923173463476E-2</v>
      </c>
      <c r="F138">
        <v>4.3000495297944565E-2</v>
      </c>
      <c r="G138">
        <v>4.3000495297944565E-2</v>
      </c>
      <c r="H138">
        <f t="shared" si="2"/>
        <v>0</v>
      </c>
    </row>
    <row r="139" spans="1:8" x14ac:dyDescent="0.3">
      <c r="A139" t="s">
        <v>1</v>
      </c>
      <c r="B139" t="s">
        <v>33</v>
      </c>
      <c r="C139" t="s">
        <v>57</v>
      </c>
      <c r="D139">
        <f>SUM('Transpo pondéré'!D139:S139)</f>
        <v>0.17205475770250733</v>
      </c>
      <c r="E139">
        <v>0.17201041206169065</v>
      </c>
      <c r="F139">
        <v>0.17205475770250733</v>
      </c>
      <c r="G139">
        <v>0.17205475770250733</v>
      </c>
      <c r="H139">
        <f t="shared" si="2"/>
        <v>0</v>
      </c>
    </row>
    <row r="140" spans="1:8" x14ac:dyDescent="0.3">
      <c r="A140" t="s">
        <v>1</v>
      </c>
      <c r="B140" t="s">
        <v>34</v>
      </c>
      <c r="C140" t="s">
        <v>82</v>
      </c>
      <c r="D140">
        <f>SUM('Transpo pondéré'!D140:S140)</f>
        <v>4.4824872431511705E-4</v>
      </c>
      <c r="E140">
        <v>4.4818899690750725E-4</v>
      </c>
      <c r="F140">
        <v>4.4824872431511705E-4</v>
      </c>
      <c r="G140">
        <v>4.4824872431511705E-4</v>
      </c>
      <c r="H140">
        <f t="shared" si="2"/>
        <v>0</v>
      </c>
    </row>
    <row r="141" spans="1:8" x14ac:dyDescent="0.3">
      <c r="A141" t="s">
        <v>1</v>
      </c>
      <c r="B141" t="s">
        <v>34</v>
      </c>
      <c r="C141" t="s">
        <v>90</v>
      </c>
      <c r="D141">
        <f>SUM('Transpo pondéré'!D141:S141)</f>
        <v>1.2194753912384258E-2</v>
      </c>
      <c r="E141">
        <v>1.2134357481148715E-2</v>
      </c>
      <c r="F141">
        <v>1.2194753912384258E-2</v>
      </c>
      <c r="G141">
        <v>1.2194753912384258E-2</v>
      </c>
      <c r="H141">
        <f t="shared" si="2"/>
        <v>0</v>
      </c>
    </row>
    <row r="142" spans="1:8" x14ac:dyDescent="0.3">
      <c r="A142" t="s">
        <v>1</v>
      </c>
      <c r="B142" t="s">
        <v>35</v>
      </c>
      <c r="C142" t="s">
        <v>87</v>
      </c>
      <c r="D142">
        <f>SUM('Transpo pondéré'!D142:S142)</f>
        <v>6.6121615997241401E-5</v>
      </c>
      <c r="E142">
        <v>6.6121615997241401E-5</v>
      </c>
      <c r="F142">
        <v>6.6121615997241401E-5</v>
      </c>
      <c r="G142">
        <v>6.6121615997241401E-5</v>
      </c>
      <c r="H142">
        <f t="shared" si="2"/>
        <v>0</v>
      </c>
    </row>
    <row r="143" spans="1:8" x14ac:dyDescent="0.3">
      <c r="A143" t="s">
        <v>1</v>
      </c>
      <c r="B143" t="s">
        <v>35</v>
      </c>
      <c r="C143" t="s">
        <v>58</v>
      </c>
      <c r="D143">
        <f>SUM('Transpo pondéré'!D143:S143)</f>
        <v>3.9156694243091582E-3</v>
      </c>
      <c r="E143">
        <v>3.9156694243091582E-3</v>
      </c>
      <c r="F143">
        <v>3.9156694243091582E-3</v>
      </c>
      <c r="G143">
        <v>3.9156694243091582E-3</v>
      </c>
      <c r="H143">
        <f t="shared" si="2"/>
        <v>0</v>
      </c>
    </row>
    <row r="144" spans="1:8" x14ac:dyDescent="0.3">
      <c r="A144" t="s">
        <v>1</v>
      </c>
      <c r="B144" t="s">
        <v>35</v>
      </c>
      <c r="C144" t="s">
        <v>73</v>
      </c>
      <c r="D144">
        <f>SUM('Transpo pondéré'!D144:S144)</f>
        <v>5.6621261531096485E-2</v>
      </c>
      <c r="E144">
        <v>5.6621261531096485E-2</v>
      </c>
      <c r="F144">
        <v>5.6621261531096485E-2</v>
      </c>
      <c r="G144">
        <v>5.6621261531096485E-2</v>
      </c>
      <c r="H144">
        <f t="shared" si="2"/>
        <v>0</v>
      </c>
    </row>
    <row r="145" spans="1:8" x14ac:dyDescent="0.3">
      <c r="A145" t="s">
        <v>1</v>
      </c>
      <c r="B145" t="s">
        <v>35</v>
      </c>
      <c r="C145" t="s">
        <v>91</v>
      </c>
      <c r="D145">
        <f>SUM('Transpo pondéré'!D145:S145)</f>
        <v>2.6778316816330606E-3</v>
      </c>
      <c r="E145">
        <v>2.6778316816330606E-3</v>
      </c>
      <c r="F145">
        <v>2.6778316816330606E-3</v>
      </c>
      <c r="G145">
        <v>2.6778316816330606E-3</v>
      </c>
      <c r="H145">
        <f t="shared" si="2"/>
        <v>0</v>
      </c>
    </row>
    <row r="146" spans="1:8" x14ac:dyDescent="0.3">
      <c r="A146" t="s">
        <v>1</v>
      </c>
      <c r="B146" t="s">
        <v>35</v>
      </c>
      <c r="C146" t="s">
        <v>75</v>
      </c>
      <c r="D146">
        <f>SUM('Transpo pondéré'!D146:S146)</f>
        <v>3.7745717099771158E-4</v>
      </c>
      <c r="E146">
        <v>3.7745717099771158E-4</v>
      </c>
      <c r="F146">
        <v>3.7745717099771158E-4</v>
      </c>
      <c r="G146">
        <v>3.7745717099771158E-4</v>
      </c>
      <c r="H146">
        <f t="shared" si="2"/>
        <v>0</v>
      </c>
    </row>
    <row r="147" spans="1:8" x14ac:dyDescent="0.3">
      <c r="A147" t="s">
        <v>1</v>
      </c>
      <c r="B147" t="s">
        <v>35</v>
      </c>
      <c r="C147" t="s">
        <v>59</v>
      </c>
      <c r="D147">
        <f>SUM('Transpo pondéré'!D147:S147)</f>
        <v>5.3909304084672849E-4</v>
      </c>
      <c r="E147">
        <v>5.3909304084672849E-4</v>
      </c>
      <c r="F147">
        <v>5.3909304084672849E-4</v>
      </c>
      <c r="G147">
        <v>5.3909304084672849E-4</v>
      </c>
      <c r="H147">
        <f t="shared" si="2"/>
        <v>0</v>
      </c>
    </row>
    <row r="148" spans="1:8" x14ac:dyDescent="0.3">
      <c r="A148" t="s">
        <v>1</v>
      </c>
      <c r="B148" t="s">
        <v>35</v>
      </c>
      <c r="C148" t="s">
        <v>56</v>
      </c>
      <c r="D148">
        <f>SUM('Transpo pondéré'!D148:S148)</f>
        <v>2.7652475393491041E-2</v>
      </c>
      <c r="E148">
        <v>2.7652475393491041E-2</v>
      </c>
      <c r="F148">
        <v>2.7652475393491041E-2</v>
      </c>
      <c r="G148">
        <v>2.7652475393491041E-2</v>
      </c>
      <c r="H148">
        <f t="shared" si="2"/>
        <v>0</v>
      </c>
    </row>
    <row r="149" spans="1:8" x14ac:dyDescent="0.3">
      <c r="A149" t="s">
        <v>1</v>
      </c>
      <c r="B149" t="s">
        <v>35</v>
      </c>
      <c r="C149" t="s">
        <v>57</v>
      </c>
      <c r="D149">
        <f>SUM('Transpo pondéré'!D149:S149)</f>
        <v>3.1831903508738418E-4</v>
      </c>
      <c r="E149">
        <v>3.1831903508738418E-4</v>
      </c>
      <c r="F149">
        <v>3.1831903508738418E-4</v>
      </c>
      <c r="G149">
        <v>3.1831903508738418E-4</v>
      </c>
      <c r="H149">
        <f t="shared" si="2"/>
        <v>0</v>
      </c>
    </row>
    <row r="150" spans="1:8" x14ac:dyDescent="0.3">
      <c r="A150" t="s">
        <v>1</v>
      </c>
      <c r="B150" t="s">
        <v>36</v>
      </c>
      <c r="C150" t="s">
        <v>70</v>
      </c>
      <c r="D150">
        <f>SUM('Transpo pondéré'!D150:S150)</f>
        <v>0.22625200715636551</v>
      </c>
      <c r="E150">
        <v>0.22625200715636551</v>
      </c>
      <c r="F150">
        <v>0.22625200715636551</v>
      </c>
      <c r="G150">
        <v>0.22625200715636551</v>
      </c>
      <c r="H150">
        <f t="shared" si="2"/>
        <v>0</v>
      </c>
    </row>
    <row r="151" spans="1:8" x14ac:dyDescent="0.3">
      <c r="A151" t="s">
        <v>1</v>
      </c>
      <c r="B151" t="s">
        <v>36</v>
      </c>
      <c r="C151" t="s">
        <v>71</v>
      </c>
      <c r="D151">
        <f>SUM('Transpo pondéré'!D151:S151)</f>
        <v>6.311199449277609E-3</v>
      </c>
      <c r="E151">
        <v>6.311199449277609E-3</v>
      </c>
      <c r="F151">
        <v>6.311199449277609E-3</v>
      </c>
      <c r="G151">
        <v>6.311199449277609E-3</v>
      </c>
      <c r="H151">
        <f t="shared" si="2"/>
        <v>0</v>
      </c>
    </row>
    <row r="152" spans="1:8" x14ac:dyDescent="0.3">
      <c r="A152" t="s">
        <v>1</v>
      </c>
      <c r="B152" t="s">
        <v>36</v>
      </c>
      <c r="C152" t="s">
        <v>58</v>
      </c>
      <c r="D152">
        <f>SUM('Transpo pondéré'!D152:S152)</f>
        <v>3.0961810266387124E-3</v>
      </c>
      <c r="E152">
        <v>3.0961810266387124E-3</v>
      </c>
      <c r="F152">
        <v>3.0961810266387124E-3</v>
      </c>
      <c r="G152">
        <v>3.0961810266387124E-3</v>
      </c>
      <c r="H152">
        <f t="shared" si="2"/>
        <v>0</v>
      </c>
    </row>
    <row r="153" spans="1:8" x14ac:dyDescent="0.3">
      <c r="A153" t="s">
        <v>1</v>
      </c>
      <c r="B153" t="s">
        <v>36</v>
      </c>
      <c r="C153" t="s">
        <v>75</v>
      </c>
      <c r="D153">
        <f>SUM('Transpo pondéré'!D153:S153)</f>
        <v>1.6771208168787167E-4</v>
      </c>
      <c r="E153">
        <v>1.6771208168787167E-4</v>
      </c>
      <c r="F153">
        <v>1.6771208168787167E-4</v>
      </c>
      <c r="G153">
        <v>1.6771208168787167E-4</v>
      </c>
      <c r="H153">
        <f t="shared" si="2"/>
        <v>0</v>
      </c>
    </row>
    <row r="154" spans="1:8" x14ac:dyDescent="0.3">
      <c r="A154" t="s">
        <v>1</v>
      </c>
      <c r="B154" t="s">
        <v>36</v>
      </c>
      <c r="C154" t="s">
        <v>78</v>
      </c>
      <c r="D154">
        <f>SUM('Transpo pondéré'!D154:S154)</f>
        <v>1.7326471567771454E-3</v>
      </c>
      <c r="E154">
        <v>1.7326471567771454E-3</v>
      </c>
      <c r="F154">
        <v>1.7326471567771454E-3</v>
      </c>
      <c r="G154">
        <v>1.7326471567771454E-3</v>
      </c>
      <c r="H154">
        <f t="shared" si="2"/>
        <v>0</v>
      </c>
    </row>
    <row r="155" spans="1:8" x14ac:dyDescent="0.3">
      <c r="A155" t="s">
        <v>1</v>
      </c>
      <c r="B155" t="s">
        <v>36</v>
      </c>
      <c r="C155" t="s">
        <v>59</v>
      </c>
      <c r="D155">
        <f>SUM('Transpo pondéré'!D155:S155)</f>
        <v>5.2814049351228619E-3</v>
      </c>
      <c r="E155">
        <v>5.2814049351228619E-3</v>
      </c>
      <c r="F155">
        <v>5.2814049351228619E-3</v>
      </c>
      <c r="G155">
        <v>5.2814049351228619E-3</v>
      </c>
      <c r="H155">
        <f t="shared" si="2"/>
        <v>0</v>
      </c>
    </row>
    <row r="156" spans="1:8" x14ac:dyDescent="0.3">
      <c r="A156" t="s">
        <v>1</v>
      </c>
      <c r="B156" t="s">
        <v>36</v>
      </c>
      <c r="C156" t="s">
        <v>56</v>
      </c>
      <c r="D156">
        <f>SUM('Transpo pondéré'!D156:S156)</f>
        <v>4.5738041002545104E-5</v>
      </c>
      <c r="E156">
        <v>4.5738041002545104E-5</v>
      </c>
      <c r="F156">
        <v>4.5738041002545104E-5</v>
      </c>
      <c r="G156">
        <v>4.5738041002545104E-5</v>
      </c>
      <c r="H156">
        <f t="shared" si="2"/>
        <v>0</v>
      </c>
    </row>
    <row r="157" spans="1:8" x14ac:dyDescent="0.3">
      <c r="A157" t="s">
        <v>1</v>
      </c>
      <c r="B157" t="s">
        <v>36</v>
      </c>
      <c r="C157" t="s">
        <v>80</v>
      </c>
      <c r="D157">
        <f>SUM('Transpo pondéré'!D157:S157)</f>
        <v>1.7085183647087766E-4</v>
      </c>
      <c r="E157">
        <v>1.7085183647087766E-4</v>
      </c>
      <c r="F157">
        <v>1.7085183647087766E-4</v>
      </c>
      <c r="G157">
        <v>1.7085183647087766E-4</v>
      </c>
      <c r="H157">
        <f t="shared" si="2"/>
        <v>0</v>
      </c>
    </row>
    <row r="158" spans="1:8" x14ac:dyDescent="0.3">
      <c r="A158" t="s">
        <v>1</v>
      </c>
      <c r="B158" t="s">
        <v>36</v>
      </c>
      <c r="C158" t="s">
        <v>57</v>
      </c>
      <c r="D158">
        <f>SUM('Transpo pondéré'!D158:S158)</f>
        <v>2.6780886037593502E-4</v>
      </c>
      <c r="E158">
        <v>2.6780886037593502E-4</v>
      </c>
      <c r="F158">
        <v>2.6780886037593502E-4</v>
      </c>
      <c r="G158">
        <v>2.6780886037593502E-4</v>
      </c>
      <c r="H158">
        <f t="shared" si="2"/>
        <v>0</v>
      </c>
    </row>
    <row r="159" spans="1:8" x14ac:dyDescent="0.3">
      <c r="A159" t="s">
        <v>1</v>
      </c>
      <c r="B159" t="s">
        <v>37</v>
      </c>
      <c r="C159" t="s">
        <v>70</v>
      </c>
      <c r="D159">
        <f>SUM('Transpo pondéré'!D159:S159)</f>
        <v>8.1887232878453245E-2</v>
      </c>
      <c r="E159">
        <v>8.1887232878453245E-2</v>
      </c>
      <c r="F159">
        <v>8.1887232878453245E-2</v>
      </c>
      <c r="G159">
        <v>8.1887232878453245E-2</v>
      </c>
      <c r="H159">
        <f t="shared" si="2"/>
        <v>0</v>
      </c>
    </row>
    <row r="160" spans="1:8" x14ac:dyDescent="0.3">
      <c r="A160" t="s">
        <v>1</v>
      </c>
      <c r="B160" t="s">
        <v>37</v>
      </c>
      <c r="C160" t="s">
        <v>71</v>
      </c>
      <c r="D160">
        <f>SUM('Transpo pondéré'!D160:S160)</f>
        <v>2.264725147586847E-2</v>
      </c>
      <c r="E160">
        <v>2.264725147586847E-2</v>
      </c>
      <c r="F160">
        <v>2.264725147586847E-2</v>
      </c>
      <c r="G160">
        <v>2.264725147586847E-2</v>
      </c>
      <c r="H160">
        <f t="shared" si="2"/>
        <v>0</v>
      </c>
    </row>
    <row r="161" spans="1:8" x14ac:dyDescent="0.3">
      <c r="A161" t="s">
        <v>1</v>
      </c>
      <c r="B161" t="s">
        <v>37</v>
      </c>
      <c r="C161" t="s">
        <v>92</v>
      </c>
      <c r="D161">
        <f>SUM('Transpo pondéré'!D161:S161)</f>
        <v>4.2570430714986902E-4</v>
      </c>
      <c r="E161">
        <v>4.2570430714986902E-4</v>
      </c>
      <c r="F161">
        <v>4.2570430714986902E-4</v>
      </c>
      <c r="G161">
        <v>4.2570430714986902E-4</v>
      </c>
      <c r="H161">
        <f t="shared" si="2"/>
        <v>0</v>
      </c>
    </row>
    <row r="162" spans="1:8" x14ac:dyDescent="0.3">
      <c r="A162" t="s">
        <v>1</v>
      </c>
      <c r="B162" t="s">
        <v>37</v>
      </c>
      <c r="C162" t="s">
        <v>58</v>
      </c>
      <c r="D162">
        <f>SUM('Transpo pondéré'!D162:S162)</f>
        <v>3.1833722677096049E-4</v>
      </c>
      <c r="E162">
        <v>3.1833722677096049E-4</v>
      </c>
      <c r="F162">
        <v>3.1833722677096049E-4</v>
      </c>
      <c r="G162">
        <v>3.1833722677096049E-4</v>
      </c>
      <c r="H162">
        <f t="shared" si="2"/>
        <v>0</v>
      </c>
    </row>
    <row r="163" spans="1:8" x14ac:dyDescent="0.3">
      <c r="A163" t="s">
        <v>1</v>
      </c>
      <c r="B163" t="s">
        <v>37</v>
      </c>
      <c r="C163" t="s">
        <v>74</v>
      </c>
      <c r="D163">
        <f>SUM('Transpo pondéré'!D163:S163)</f>
        <v>5.8823381197650576E-5</v>
      </c>
      <c r="E163">
        <v>5.8823381197650576E-5</v>
      </c>
      <c r="F163">
        <v>5.8823381197650576E-5</v>
      </c>
      <c r="G163">
        <v>5.8823381197650576E-5</v>
      </c>
      <c r="H163">
        <f t="shared" si="2"/>
        <v>0</v>
      </c>
    </row>
    <row r="164" spans="1:8" x14ac:dyDescent="0.3">
      <c r="A164" t="s">
        <v>1</v>
      </c>
      <c r="B164" t="s">
        <v>37</v>
      </c>
      <c r="C164" t="s">
        <v>75</v>
      </c>
      <c r="D164">
        <f>SUM('Transpo pondéré'!D164:S164)</f>
        <v>1.9558331876918367E-4</v>
      </c>
      <c r="E164">
        <v>1.9558331876918367E-4</v>
      </c>
      <c r="F164">
        <v>1.9558331876918367E-4</v>
      </c>
      <c r="G164">
        <v>1.9558331876918367E-4</v>
      </c>
      <c r="H164">
        <f t="shared" si="2"/>
        <v>0</v>
      </c>
    </row>
    <row r="165" spans="1:8" x14ac:dyDescent="0.3">
      <c r="A165" t="s">
        <v>1</v>
      </c>
      <c r="B165" t="s">
        <v>37</v>
      </c>
      <c r="C165" t="s">
        <v>78</v>
      </c>
      <c r="D165">
        <f>SUM('Transpo pondéré'!D165:S165)</f>
        <v>2.2521959311421044E-4</v>
      </c>
      <c r="E165">
        <v>2.2521959311421044E-4</v>
      </c>
      <c r="F165">
        <v>2.2521959311421044E-4</v>
      </c>
      <c r="G165">
        <v>2.2521959311421044E-4</v>
      </c>
      <c r="H165">
        <f t="shared" si="2"/>
        <v>0</v>
      </c>
    </row>
    <row r="166" spans="1:8" x14ac:dyDescent="0.3">
      <c r="A166" t="s">
        <v>1</v>
      </c>
      <c r="B166" t="s">
        <v>37</v>
      </c>
      <c r="C166" t="s">
        <v>59</v>
      </c>
      <c r="D166">
        <f>SUM('Transpo pondéré'!D166:S166)</f>
        <v>7.1836313690751578E-4</v>
      </c>
      <c r="E166">
        <v>7.1836313690751578E-4</v>
      </c>
      <c r="F166">
        <v>7.1836313690751578E-4</v>
      </c>
      <c r="G166">
        <v>7.1836313690751578E-4</v>
      </c>
      <c r="H166">
        <f t="shared" si="2"/>
        <v>0</v>
      </c>
    </row>
    <row r="167" spans="1:8" x14ac:dyDescent="0.3">
      <c r="A167" t="s">
        <v>1</v>
      </c>
      <c r="B167" t="s">
        <v>37</v>
      </c>
      <c r="C167" t="s">
        <v>56</v>
      </c>
      <c r="D167">
        <f>SUM('Transpo pondéré'!D167:S167)</f>
        <v>5.0866576433428554E-5</v>
      </c>
      <c r="E167">
        <v>5.0866576433428554E-5</v>
      </c>
      <c r="F167">
        <v>5.0866576433428554E-5</v>
      </c>
      <c r="G167">
        <v>5.0866576433428554E-5</v>
      </c>
      <c r="H167">
        <f t="shared" si="2"/>
        <v>0</v>
      </c>
    </row>
    <row r="168" spans="1:8" x14ac:dyDescent="0.3">
      <c r="A168" t="s">
        <v>1</v>
      </c>
      <c r="B168" t="s">
        <v>37</v>
      </c>
      <c r="C168" t="s">
        <v>93</v>
      </c>
      <c r="D168">
        <f>SUM('Transpo pondéré'!D168:S168)</f>
        <v>9.769672873358278E-6</v>
      </c>
      <c r="E168">
        <v>9.769672873358278E-6</v>
      </c>
      <c r="F168">
        <v>9.769672873358278E-6</v>
      </c>
      <c r="G168">
        <v>9.769672873358278E-6</v>
      </c>
      <c r="H168">
        <f t="shared" si="2"/>
        <v>0</v>
      </c>
    </row>
    <row r="169" spans="1:8" x14ac:dyDescent="0.3">
      <c r="A169" t="s">
        <v>1</v>
      </c>
      <c r="B169" t="s">
        <v>37</v>
      </c>
      <c r="C169" t="s">
        <v>57</v>
      </c>
      <c r="D169">
        <f>SUM('Transpo pondéré'!D169:S169)</f>
        <v>2.0478968649505688E-4</v>
      </c>
      <c r="E169">
        <v>2.0478968649505688E-4</v>
      </c>
      <c r="F169">
        <v>2.0478968649505688E-4</v>
      </c>
      <c r="G169">
        <v>2.0478968649505688E-4</v>
      </c>
      <c r="H169">
        <f t="shared" si="2"/>
        <v>0</v>
      </c>
    </row>
    <row r="170" spans="1:8" x14ac:dyDescent="0.3">
      <c r="A170" t="s">
        <v>1</v>
      </c>
      <c r="B170" t="s">
        <v>38</v>
      </c>
      <c r="C170" t="s">
        <v>70</v>
      </c>
      <c r="D170">
        <f>SUM('Transpo pondéré'!D170:S170)</f>
        <v>5.7069004529805827E-3</v>
      </c>
      <c r="E170">
        <v>5.7069004529805827E-3</v>
      </c>
      <c r="F170">
        <v>5.7069004529805827E-3</v>
      </c>
      <c r="G170">
        <v>5.7069004529805827E-3</v>
      </c>
      <c r="H170">
        <f t="shared" si="2"/>
        <v>0</v>
      </c>
    </row>
    <row r="171" spans="1:8" x14ac:dyDescent="0.3">
      <c r="A171" t="s">
        <v>1</v>
      </c>
      <c r="B171" t="s">
        <v>38</v>
      </c>
      <c r="C171" t="s">
        <v>71</v>
      </c>
      <c r="D171">
        <f>SUM('Transpo pondéré'!D171:S171)</f>
        <v>3.7397431665635485E-4</v>
      </c>
      <c r="E171">
        <v>3.7397431665635485E-4</v>
      </c>
      <c r="F171">
        <v>3.7397431665635485E-4</v>
      </c>
      <c r="G171">
        <v>3.7397431665635485E-4</v>
      </c>
      <c r="H171">
        <f t="shared" si="2"/>
        <v>0</v>
      </c>
    </row>
    <row r="172" spans="1:8" x14ac:dyDescent="0.3">
      <c r="A172" t="s">
        <v>1</v>
      </c>
      <c r="B172" t="s">
        <v>38</v>
      </c>
      <c r="C172" t="s">
        <v>75</v>
      </c>
      <c r="D172">
        <f>SUM('Transpo pondéré'!D172:S172)</f>
        <v>1.3948170084530428E-5</v>
      </c>
      <c r="E172">
        <v>1.3948170084530428E-5</v>
      </c>
      <c r="F172">
        <v>1.3948170084530428E-5</v>
      </c>
      <c r="G172">
        <v>1.3948170084530428E-5</v>
      </c>
      <c r="H172">
        <f t="shared" si="2"/>
        <v>0</v>
      </c>
    </row>
    <row r="173" spans="1:8" x14ac:dyDescent="0.3">
      <c r="A173" t="s">
        <v>1</v>
      </c>
      <c r="B173" t="s">
        <v>38</v>
      </c>
      <c r="C173" t="s">
        <v>59</v>
      </c>
      <c r="D173">
        <f>SUM('Transpo pondéré'!D173:S173)</f>
        <v>7.0789920499897893E-5</v>
      </c>
      <c r="E173">
        <v>7.0789920499897893E-5</v>
      </c>
      <c r="F173">
        <v>7.0789920499897893E-5</v>
      </c>
      <c r="G173">
        <v>7.0789920499897893E-5</v>
      </c>
      <c r="H173">
        <f t="shared" si="2"/>
        <v>0</v>
      </c>
    </row>
    <row r="174" spans="1:8" x14ac:dyDescent="0.3">
      <c r="A174" t="s">
        <v>1</v>
      </c>
      <c r="B174" t="s">
        <v>38</v>
      </c>
      <c r="C174" t="s">
        <v>56</v>
      </c>
      <c r="D174">
        <f>SUM('Transpo pondéré'!D174:S174)</f>
        <v>4.9111043924377866E-3</v>
      </c>
      <c r="E174">
        <v>4.9111043924377866E-3</v>
      </c>
      <c r="F174">
        <v>4.9111043924377866E-3</v>
      </c>
      <c r="G174">
        <v>4.9111043924377866E-3</v>
      </c>
      <c r="H174">
        <f t="shared" si="2"/>
        <v>0</v>
      </c>
    </row>
    <row r="175" spans="1:8" x14ac:dyDescent="0.3">
      <c r="A175" t="s">
        <v>1</v>
      </c>
      <c r="B175" t="s">
        <v>38</v>
      </c>
      <c r="C175" t="s">
        <v>80</v>
      </c>
      <c r="D175">
        <f>SUM('Transpo pondéré'!D175:S175)</f>
        <v>1.5462091200614425E-2</v>
      </c>
      <c r="E175">
        <v>1.5462091200614425E-2</v>
      </c>
      <c r="F175">
        <v>1.5462091200614425E-2</v>
      </c>
      <c r="G175">
        <v>1.5462091200614425E-2</v>
      </c>
      <c r="H175">
        <f t="shared" si="2"/>
        <v>0</v>
      </c>
    </row>
    <row r="176" spans="1:8" x14ac:dyDescent="0.3">
      <c r="A176" t="s">
        <v>1</v>
      </c>
      <c r="B176" t="s">
        <v>38</v>
      </c>
      <c r="C176" t="s">
        <v>57</v>
      </c>
      <c r="D176">
        <f>SUM('Transpo pondéré'!D176:S176)</f>
        <v>4.270590622871916E-5</v>
      </c>
      <c r="E176">
        <v>4.270590622871916E-5</v>
      </c>
      <c r="F176">
        <v>4.270590622871916E-5</v>
      </c>
      <c r="G176">
        <v>4.270590622871916E-5</v>
      </c>
      <c r="H176">
        <f t="shared" si="2"/>
        <v>0</v>
      </c>
    </row>
    <row r="177" spans="1:8" x14ac:dyDescent="0.3">
      <c r="A177" t="s">
        <v>1</v>
      </c>
      <c r="B177" t="s">
        <v>39</v>
      </c>
      <c r="C177" t="s">
        <v>72</v>
      </c>
      <c r="D177">
        <f>SUM('Transpo pondéré'!D177:S177)</f>
        <v>1.471675439375552E-2</v>
      </c>
      <c r="E177">
        <v>1.471675439375552E-2</v>
      </c>
      <c r="F177">
        <v>1.471675439375552E-2</v>
      </c>
      <c r="G177">
        <v>1.471675439375552E-2</v>
      </c>
      <c r="H177">
        <f t="shared" si="2"/>
        <v>0</v>
      </c>
    </row>
    <row r="178" spans="1:8" x14ac:dyDescent="0.3">
      <c r="A178" t="s">
        <v>1</v>
      </c>
      <c r="B178" t="s">
        <v>39</v>
      </c>
      <c r="C178" t="s">
        <v>58</v>
      </c>
      <c r="D178">
        <f>SUM('Transpo pondéré'!D178:S178)</f>
        <v>7.4021957310146331E-5</v>
      </c>
      <c r="E178">
        <v>7.4021957310146331E-5</v>
      </c>
      <c r="F178">
        <v>7.4021957310146331E-5</v>
      </c>
      <c r="G178">
        <v>7.4021957310146331E-5</v>
      </c>
      <c r="H178">
        <f t="shared" si="2"/>
        <v>0</v>
      </c>
    </row>
    <row r="179" spans="1:8" x14ac:dyDescent="0.3">
      <c r="A179" t="s">
        <v>1</v>
      </c>
      <c r="B179" t="s">
        <v>39</v>
      </c>
      <c r="C179" t="s">
        <v>56</v>
      </c>
      <c r="D179">
        <f>SUM('Transpo pondéré'!D179:S179)</f>
        <v>2.5774854393347708E-8</v>
      </c>
      <c r="E179">
        <v>2.5774854393347708E-8</v>
      </c>
      <c r="F179">
        <v>2.5774854393347708E-8</v>
      </c>
      <c r="G179">
        <v>2.5774854393347708E-8</v>
      </c>
      <c r="H179">
        <f t="shared" si="2"/>
        <v>0</v>
      </c>
    </row>
    <row r="180" spans="1:8" x14ac:dyDescent="0.3">
      <c r="A180" t="s">
        <v>1</v>
      </c>
      <c r="B180" t="s">
        <v>39</v>
      </c>
      <c r="C180" t="s">
        <v>57</v>
      </c>
      <c r="D180">
        <f>SUM('Transpo pondéré'!D180:S180)</f>
        <v>6.792944223510698E-5</v>
      </c>
      <c r="E180">
        <v>6.792944223510698E-5</v>
      </c>
      <c r="F180">
        <v>6.792944223510698E-5</v>
      </c>
      <c r="G180">
        <v>6.792944223510698E-5</v>
      </c>
      <c r="H180">
        <f t="shared" si="2"/>
        <v>0</v>
      </c>
    </row>
    <row r="181" spans="1:8" x14ac:dyDescent="0.3">
      <c r="A181" t="s">
        <v>1</v>
      </c>
      <c r="B181" t="s">
        <v>39</v>
      </c>
      <c r="C181" t="s">
        <v>81</v>
      </c>
      <c r="D181">
        <f>SUM('Transpo pondéré'!D181:S181)</f>
        <v>5.230724377254259E-5</v>
      </c>
      <c r="E181">
        <v>5.230724377254259E-5</v>
      </c>
      <c r="F181">
        <v>5.230724377254259E-5</v>
      </c>
      <c r="G181">
        <v>5.230724377254259E-5</v>
      </c>
      <c r="H181">
        <f t="shared" si="2"/>
        <v>0</v>
      </c>
    </row>
    <row r="182" spans="1:8" x14ac:dyDescent="0.3">
      <c r="A182" t="s">
        <v>1</v>
      </c>
      <c r="B182" t="s">
        <v>40</v>
      </c>
      <c r="C182" t="s">
        <v>72</v>
      </c>
      <c r="D182">
        <f>SUM('Transpo pondéré'!D182:S182)</f>
        <v>1.1544257543119676E-3</v>
      </c>
      <c r="E182">
        <v>1.1375659450043281E-3</v>
      </c>
      <c r="F182">
        <v>1.1544257543119676E-3</v>
      </c>
      <c r="G182">
        <v>1.1544257543119676E-3</v>
      </c>
      <c r="H182">
        <f t="shared" si="2"/>
        <v>0</v>
      </c>
    </row>
    <row r="183" spans="1:8" x14ac:dyDescent="0.3">
      <c r="A183" t="s">
        <v>1</v>
      </c>
      <c r="B183" t="s">
        <v>40</v>
      </c>
      <c r="C183" t="s">
        <v>73</v>
      </c>
      <c r="D183">
        <f>SUM('Transpo pondéré'!D183:S183)</f>
        <v>1.2974190794248739E-5</v>
      </c>
      <c r="E183">
        <v>1.2883401114346187E-5</v>
      </c>
      <c r="F183">
        <v>1.2974190794248739E-5</v>
      </c>
      <c r="G183">
        <v>1.2974190794248739E-5</v>
      </c>
      <c r="H183">
        <f t="shared" si="2"/>
        <v>0</v>
      </c>
    </row>
    <row r="184" spans="1:8" x14ac:dyDescent="0.3">
      <c r="A184" t="s">
        <v>1</v>
      </c>
      <c r="B184" t="s">
        <v>40</v>
      </c>
      <c r="C184" t="s">
        <v>84</v>
      </c>
      <c r="D184">
        <f>SUM('Transpo pondéré'!D184:S184)</f>
        <v>9.5839671096808186E-4</v>
      </c>
      <c r="E184">
        <v>9.5849778470664731E-4</v>
      </c>
      <c r="F184">
        <v>9.5839671096808186E-4</v>
      </c>
      <c r="G184">
        <v>9.5839671096808186E-4</v>
      </c>
      <c r="H184">
        <f t="shared" si="2"/>
        <v>0</v>
      </c>
    </row>
    <row r="185" spans="1:8" x14ac:dyDescent="0.3">
      <c r="A185" t="s">
        <v>1</v>
      </c>
      <c r="B185" t="s">
        <v>40</v>
      </c>
      <c r="C185" t="s">
        <v>79</v>
      </c>
      <c r="D185">
        <f>SUM('Transpo pondéré'!D185:S185)</f>
        <v>2.0804630211173589E-4</v>
      </c>
      <c r="E185">
        <v>2.0802538107697672E-4</v>
      </c>
      <c r="F185">
        <v>2.0804630211173589E-4</v>
      </c>
      <c r="G185">
        <v>2.0804630211173589E-4</v>
      </c>
      <c r="H185">
        <f t="shared" si="2"/>
        <v>0</v>
      </c>
    </row>
    <row r="186" spans="1:8" x14ac:dyDescent="0.3">
      <c r="A186" t="s">
        <v>1</v>
      </c>
      <c r="B186" t="s">
        <v>40</v>
      </c>
      <c r="C186" t="s">
        <v>56</v>
      </c>
      <c r="D186">
        <f>SUM('Transpo pondéré'!D186:S186)</f>
        <v>2.7244049425627042E-5</v>
      </c>
      <c r="E186">
        <v>2.724983016747491E-5</v>
      </c>
      <c r="F186">
        <v>2.7244049425627042E-5</v>
      </c>
      <c r="G186">
        <v>2.7244049425627042E-5</v>
      </c>
      <c r="H186">
        <f t="shared" si="2"/>
        <v>0</v>
      </c>
    </row>
    <row r="187" spans="1:8" x14ac:dyDescent="0.3">
      <c r="A187" t="s">
        <v>1</v>
      </c>
      <c r="B187" t="s">
        <v>40</v>
      </c>
      <c r="C187" t="s">
        <v>57</v>
      </c>
      <c r="D187">
        <f>SUM('Transpo pondéré'!D187:S187)</f>
        <v>4.1112631367983994E-3</v>
      </c>
      <c r="E187">
        <v>4.1112631367983994E-3</v>
      </c>
      <c r="F187">
        <v>4.1112631367983994E-3</v>
      </c>
      <c r="G187">
        <v>4.1112631367983994E-3</v>
      </c>
      <c r="H187">
        <f t="shared" si="2"/>
        <v>0</v>
      </c>
    </row>
    <row r="188" spans="1:8" x14ac:dyDescent="0.3">
      <c r="A188" t="s">
        <v>1</v>
      </c>
      <c r="B188" t="s">
        <v>41</v>
      </c>
      <c r="C188" t="s">
        <v>72</v>
      </c>
      <c r="D188">
        <f>SUM('Transpo pondéré'!D188:S188)</f>
        <v>1.8679239176268422E-3</v>
      </c>
      <c r="E188">
        <v>1.8418189462956448E-3</v>
      </c>
      <c r="F188">
        <v>1.8679239176268422E-3</v>
      </c>
      <c r="G188">
        <v>1.8679239176268422E-3</v>
      </c>
      <c r="H188">
        <f t="shared" si="2"/>
        <v>0</v>
      </c>
    </row>
    <row r="189" spans="1:8" x14ac:dyDescent="0.3">
      <c r="A189" t="s">
        <v>1</v>
      </c>
      <c r="B189" t="s">
        <v>41</v>
      </c>
      <c r="C189" t="s">
        <v>58</v>
      </c>
      <c r="D189">
        <f>SUM('Transpo pondéré'!D189:S189)</f>
        <v>1.134112717918832E-4</v>
      </c>
      <c r="E189">
        <v>4.9248746614433208E-5</v>
      </c>
      <c r="F189">
        <v>1.134112717918832E-4</v>
      </c>
      <c r="G189">
        <v>1.134112717918832E-4</v>
      </c>
      <c r="H189">
        <f t="shared" si="2"/>
        <v>0</v>
      </c>
    </row>
    <row r="190" spans="1:8" x14ac:dyDescent="0.3">
      <c r="A190" t="s">
        <v>1</v>
      </c>
      <c r="B190" t="s">
        <v>41</v>
      </c>
      <c r="C190" t="s">
        <v>84</v>
      </c>
      <c r="D190">
        <f>SUM('Transpo pondéré'!D190:S190)</f>
        <v>1.4760544796432031E-3</v>
      </c>
      <c r="E190">
        <v>1.4760544796432031E-3</v>
      </c>
      <c r="F190">
        <v>1.4760544796432031E-3</v>
      </c>
      <c r="G190">
        <v>1.4760544796432031E-3</v>
      </c>
      <c r="H190">
        <f t="shared" si="2"/>
        <v>0</v>
      </c>
    </row>
    <row r="191" spans="1:8" x14ac:dyDescent="0.3">
      <c r="A191" t="s">
        <v>1</v>
      </c>
      <c r="B191" t="s">
        <v>41</v>
      </c>
      <c r="C191" t="s">
        <v>79</v>
      </c>
      <c r="D191">
        <f>SUM('Transpo pondéré'!D191:S191)</f>
        <v>2.0804630211173589E-4</v>
      </c>
      <c r="E191">
        <v>2.0804630211173589E-4</v>
      </c>
      <c r="F191">
        <v>2.0804630211173589E-4</v>
      </c>
      <c r="G191">
        <v>2.0804630211173589E-4</v>
      </c>
      <c r="H191">
        <f t="shared" si="2"/>
        <v>0</v>
      </c>
    </row>
    <row r="192" spans="1:8" x14ac:dyDescent="0.3">
      <c r="A192" t="s">
        <v>1</v>
      </c>
      <c r="B192" t="s">
        <v>41</v>
      </c>
      <c r="C192" t="s">
        <v>56</v>
      </c>
      <c r="D192">
        <f>SUM('Transpo pondéré'!D192:S192)</f>
        <v>2.7244049425627042E-5</v>
      </c>
      <c r="E192">
        <v>2.7244049425627042E-5</v>
      </c>
      <c r="F192">
        <v>2.7244049425627042E-5</v>
      </c>
      <c r="G192">
        <v>2.7244049425627042E-5</v>
      </c>
      <c r="H192">
        <f t="shared" si="2"/>
        <v>0</v>
      </c>
    </row>
    <row r="193" spans="1:8" x14ac:dyDescent="0.3">
      <c r="A193" t="s">
        <v>1</v>
      </c>
      <c r="B193" t="s">
        <v>41</v>
      </c>
      <c r="C193" t="s">
        <v>57</v>
      </c>
      <c r="D193">
        <f>SUM('Transpo pondéré'!D193:S193)</f>
        <v>4.6654633347460546E-3</v>
      </c>
      <c r="E193">
        <v>4.6654633347460546E-3</v>
      </c>
      <c r="F193">
        <v>4.6654633347460546E-3</v>
      </c>
      <c r="G193">
        <v>4.6654633347460546E-3</v>
      </c>
      <c r="H193">
        <f t="shared" si="2"/>
        <v>0</v>
      </c>
    </row>
    <row r="194" spans="1:8" x14ac:dyDescent="0.3">
      <c r="A194" t="s">
        <v>1</v>
      </c>
      <c r="B194" t="s">
        <v>41</v>
      </c>
      <c r="C194" t="s">
        <v>82</v>
      </c>
      <c r="D194">
        <f>SUM('Transpo pondéré'!D194:S194)</f>
        <v>4.4824872431511748E-5</v>
      </c>
      <c r="E194">
        <v>4.4824872431511748E-5</v>
      </c>
      <c r="F194">
        <v>4.4824872431511748E-5</v>
      </c>
      <c r="G194">
        <v>4.4824872431511748E-5</v>
      </c>
      <c r="H194">
        <f t="shared" si="2"/>
        <v>0</v>
      </c>
    </row>
    <row r="195" spans="1:8" x14ac:dyDescent="0.3">
      <c r="A195" t="s">
        <v>1</v>
      </c>
      <c r="B195" t="s">
        <v>42</v>
      </c>
      <c r="C195" t="s">
        <v>72</v>
      </c>
      <c r="D195">
        <f>SUM('Transpo pondéré'!D195:S195)</f>
        <v>1.0082768201236596E-2</v>
      </c>
      <c r="E195">
        <v>1.0082768201236596E-2</v>
      </c>
      <c r="F195">
        <v>1.0082768201236596E-2</v>
      </c>
      <c r="G195">
        <v>1.0082768201236596E-2</v>
      </c>
      <c r="H195">
        <f t="shared" ref="H195:H258" si="3">D195-F195</f>
        <v>0</v>
      </c>
    </row>
    <row r="196" spans="1:8" x14ac:dyDescent="0.3">
      <c r="A196" t="s">
        <v>1</v>
      </c>
      <c r="B196" t="s">
        <v>42</v>
      </c>
      <c r="C196" t="s">
        <v>94</v>
      </c>
      <c r="D196">
        <f>SUM('Transpo pondéré'!D196:S196)</f>
        <v>3.9405260005607777E-3</v>
      </c>
      <c r="E196">
        <v>3.9405260005607777E-3</v>
      </c>
      <c r="F196">
        <v>3.9405260005607777E-3</v>
      </c>
      <c r="G196">
        <v>3.9405260005607777E-3</v>
      </c>
      <c r="H196">
        <f t="shared" si="3"/>
        <v>0</v>
      </c>
    </row>
    <row r="197" spans="1:8" x14ac:dyDescent="0.3">
      <c r="A197" t="s">
        <v>1</v>
      </c>
      <c r="B197" t="s">
        <v>42</v>
      </c>
      <c r="C197" t="s">
        <v>58</v>
      </c>
      <c r="D197">
        <f>SUM('Transpo pondéré'!D197:S197)</f>
        <v>1.5670609364786987E-4</v>
      </c>
      <c r="E197">
        <v>1.5670609364786987E-4</v>
      </c>
      <c r="F197">
        <v>1.5670609364786987E-4</v>
      </c>
      <c r="G197">
        <v>1.5670609364786987E-4</v>
      </c>
      <c r="H197">
        <f t="shared" si="3"/>
        <v>0</v>
      </c>
    </row>
    <row r="198" spans="1:8" x14ac:dyDescent="0.3">
      <c r="A198" t="s">
        <v>1</v>
      </c>
      <c r="B198" t="s">
        <v>42</v>
      </c>
      <c r="C198" t="s">
        <v>56</v>
      </c>
      <c r="D198">
        <f>SUM('Transpo pondéré'!D198:S198)</f>
        <v>1.4415525523493433E-2</v>
      </c>
      <c r="E198">
        <v>1.4415525523493433E-2</v>
      </c>
      <c r="F198">
        <v>1.4415525523493433E-2</v>
      </c>
      <c r="G198">
        <v>1.4415525523493433E-2</v>
      </c>
      <c r="H198">
        <f t="shared" si="3"/>
        <v>0</v>
      </c>
    </row>
    <row r="199" spans="1:8" x14ac:dyDescent="0.3">
      <c r="A199" t="s">
        <v>1</v>
      </c>
      <c r="B199" t="s">
        <v>42</v>
      </c>
      <c r="C199" t="s">
        <v>57</v>
      </c>
      <c r="D199">
        <f>SUM('Transpo pondéré'!D199:S199)</f>
        <v>1.8228650725510772E-4</v>
      </c>
      <c r="E199">
        <v>1.8228650725510772E-4</v>
      </c>
      <c r="F199">
        <v>1.8228650725510772E-4</v>
      </c>
      <c r="G199">
        <v>1.8228650725510772E-4</v>
      </c>
      <c r="H199">
        <f t="shared" si="3"/>
        <v>0</v>
      </c>
    </row>
    <row r="200" spans="1:8" x14ac:dyDescent="0.3">
      <c r="A200" t="s">
        <v>1</v>
      </c>
      <c r="B200" t="s">
        <v>43</v>
      </c>
      <c r="C200" t="s">
        <v>87</v>
      </c>
      <c r="D200">
        <f>SUM('Transpo pondéré'!D200:S200)</f>
        <v>2.1860067074400732E-5</v>
      </c>
      <c r="E200">
        <v>2.1860067074400732E-5</v>
      </c>
      <c r="F200">
        <v>2.1860067074400732E-5</v>
      </c>
      <c r="G200">
        <v>2.1860067074400732E-5</v>
      </c>
      <c r="H200">
        <f t="shared" si="3"/>
        <v>0</v>
      </c>
    </row>
    <row r="201" spans="1:8" x14ac:dyDescent="0.3">
      <c r="A201" t="s">
        <v>1</v>
      </c>
      <c r="B201" t="s">
        <v>43</v>
      </c>
      <c r="C201" t="s">
        <v>70</v>
      </c>
      <c r="D201">
        <f>SUM('Transpo pondéré'!D201:S201)</f>
        <v>9.5673172137054244E-2</v>
      </c>
      <c r="E201">
        <v>9.5673172137054244E-2</v>
      </c>
      <c r="F201">
        <v>9.5673172137054244E-2</v>
      </c>
      <c r="G201">
        <v>9.5673172137054244E-2</v>
      </c>
      <c r="H201">
        <f t="shared" si="3"/>
        <v>0</v>
      </c>
    </row>
    <row r="202" spans="1:8" x14ac:dyDescent="0.3">
      <c r="A202" t="s">
        <v>1</v>
      </c>
      <c r="B202" t="s">
        <v>43</v>
      </c>
      <c r="C202" t="s">
        <v>72</v>
      </c>
      <c r="D202">
        <f>SUM('Transpo pondéré'!D202:S202)</f>
        <v>2.6710692645135876E-2</v>
      </c>
      <c r="E202">
        <v>2.6710692645135876E-2</v>
      </c>
      <c r="F202">
        <v>2.6710692645135876E-2</v>
      </c>
      <c r="G202">
        <v>2.6710692645135876E-2</v>
      </c>
      <c r="H202">
        <f t="shared" si="3"/>
        <v>0</v>
      </c>
    </row>
    <row r="203" spans="1:8" x14ac:dyDescent="0.3">
      <c r="A203" t="s">
        <v>1</v>
      </c>
      <c r="B203" t="s">
        <v>43</v>
      </c>
      <c r="C203" t="s">
        <v>58</v>
      </c>
      <c r="D203">
        <f>SUM('Transpo pondéré'!D203:S203)</f>
        <v>2.5783429937662643E-4</v>
      </c>
      <c r="E203">
        <v>2.5783429937662643E-4</v>
      </c>
      <c r="F203">
        <v>2.5783429937662643E-4</v>
      </c>
      <c r="G203">
        <v>2.5783429937662643E-4</v>
      </c>
      <c r="H203">
        <f t="shared" si="3"/>
        <v>0</v>
      </c>
    </row>
    <row r="204" spans="1:8" x14ac:dyDescent="0.3">
      <c r="A204" t="s">
        <v>1</v>
      </c>
      <c r="B204" t="s">
        <v>43</v>
      </c>
      <c r="C204" t="s">
        <v>74</v>
      </c>
      <c r="D204">
        <f>SUM('Transpo pondéré'!D204:S204)</f>
        <v>1.6787272947463796E-4</v>
      </c>
      <c r="E204">
        <v>1.6787272947463796E-4</v>
      </c>
      <c r="F204">
        <v>1.6787272947463796E-4</v>
      </c>
      <c r="G204">
        <v>1.6787272947463796E-4</v>
      </c>
      <c r="H204">
        <f t="shared" si="3"/>
        <v>0</v>
      </c>
    </row>
    <row r="205" spans="1:8" x14ac:dyDescent="0.3">
      <c r="A205" t="s">
        <v>1</v>
      </c>
      <c r="B205" t="s">
        <v>43</v>
      </c>
      <c r="C205" t="s">
        <v>75</v>
      </c>
      <c r="D205">
        <f>SUM('Transpo pondéré'!D205:S205)</f>
        <v>1.2965168143328751E-4</v>
      </c>
      <c r="E205">
        <v>1.2965168143328751E-4</v>
      </c>
      <c r="F205">
        <v>1.2965168143328751E-4</v>
      </c>
      <c r="G205">
        <v>1.2965168143328751E-4</v>
      </c>
      <c r="H205">
        <f t="shared" si="3"/>
        <v>0</v>
      </c>
    </row>
    <row r="206" spans="1:8" x14ac:dyDescent="0.3">
      <c r="A206" t="s">
        <v>1</v>
      </c>
      <c r="B206" t="s">
        <v>43</v>
      </c>
      <c r="C206" t="s">
        <v>78</v>
      </c>
      <c r="D206">
        <f>SUM('Transpo pondéré'!D206:S206)</f>
        <v>8.6252791504765449E-4</v>
      </c>
      <c r="E206">
        <v>8.6252791504765449E-4</v>
      </c>
      <c r="F206">
        <v>8.6252791504765449E-4</v>
      </c>
      <c r="G206">
        <v>8.6252791504765449E-4</v>
      </c>
      <c r="H206">
        <f t="shared" si="3"/>
        <v>0</v>
      </c>
    </row>
    <row r="207" spans="1:8" x14ac:dyDescent="0.3">
      <c r="A207" t="s">
        <v>1</v>
      </c>
      <c r="B207" t="s">
        <v>43</v>
      </c>
      <c r="C207" t="s">
        <v>59</v>
      </c>
      <c r="D207">
        <f>SUM('Transpo pondéré'!D207:S207)</f>
        <v>8.0937906806480731E-4</v>
      </c>
      <c r="E207">
        <v>8.0937906806480731E-4</v>
      </c>
      <c r="F207">
        <v>8.0937906806480731E-4</v>
      </c>
      <c r="G207">
        <v>8.0937906806480731E-4</v>
      </c>
      <c r="H207">
        <f t="shared" si="3"/>
        <v>0</v>
      </c>
    </row>
    <row r="208" spans="1:8" x14ac:dyDescent="0.3">
      <c r="A208" t="s">
        <v>1</v>
      </c>
      <c r="B208" t="s">
        <v>43</v>
      </c>
      <c r="C208" t="s">
        <v>56</v>
      </c>
      <c r="D208">
        <f>SUM('Transpo pondéré'!D208:S208)</f>
        <v>9.5457261167070654E-5</v>
      </c>
      <c r="E208">
        <v>9.5457261167070654E-5</v>
      </c>
      <c r="F208">
        <v>9.5457261167070654E-5</v>
      </c>
      <c r="G208">
        <v>9.5457261167070654E-5</v>
      </c>
      <c r="H208">
        <f t="shared" si="3"/>
        <v>0</v>
      </c>
    </row>
    <row r="209" spans="1:8" x14ac:dyDescent="0.3">
      <c r="A209" t="s">
        <v>1</v>
      </c>
      <c r="B209" t="s">
        <v>43</v>
      </c>
      <c r="C209" t="s">
        <v>95</v>
      </c>
      <c r="D209">
        <f>SUM('Transpo pondéré'!D209:S209)</f>
        <v>9.769672873358278E-6</v>
      </c>
      <c r="E209">
        <v>9.769672873358278E-6</v>
      </c>
      <c r="F209">
        <v>9.769672873358278E-6</v>
      </c>
      <c r="G209">
        <v>9.769672873358278E-6</v>
      </c>
      <c r="H209">
        <f t="shared" si="3"/>
        <v>0</v>
      </c>
    </row>
    <row r="210" spans="1:8" x14ac:dyDescent="0.3">
      <c r="A210" t="s">
        <v>1</v>
      </c>
      <c r="B210" t="s">
        <v>43</v>
      </c>
      <c r="C210" t="s">
        <v>57</v>
      </c>
      <c r="D210">
        <f>SUM('Transpo pondéré'!D210:S210)</f>
        <v>3.8489135405931729E-4</v>
      </c>
      <c r="E210">
        <v>3.8489135405931729E-4</v>
      </c>
      <c r="F210">
        <v>3.8489135405931729E-4</v>
      </c>
      <c r="G210">
        <v>3.8489135405931729E-4</v>
      </c>
      <c r="H210">
        <f t="shared" si="3"/>
        <v>0</v>
      </c>
    </row>
    <row r="211" spans="1:8" x14ac:dyDescent="0.3">
      <c r="A211" t="s">
        <v>1</v>
      </c>
      <c r="B211" t="s">
        <v>44</v>
      </c>
      <c r="C211" t="s">
        <v>72</v>
      </c>
      <c r="D211">
        <f>SUM('Transpo pondéré'!D211:S211)</f>
        <v>2.0901302509456637E-2</v>
      </c>
      <c r="E211">
        <v>2.0901302509456637E-2</v>
      </c>
      <c r="F211">
        <v>2.0901302509456637E-2</v>
      </c>
      <c r="G211">
        <v>2.0901302509456637E-2</v>
      </c>
      <c r="H211">
        <f t="shared" si="3"/>
        <v>0</v>
      </c>
    </row>
    <row r="212" spans="1:8" x14ac:dyDescent="0.3">
      <c r="A212" t="s">
        <v>1</v>
      </c>
      <c r="B212" t="s">
        <v>44</v>
      </c>
      <c r="C212" t="s">
        <v>58</v>
      </c>
      <c r="D212">
        <f>SUM('Transpo pondéré'!D212:S212)</f>
        <v>1.8207969821990952E-4</v>
      </c>
      <c r="E212">
        <v>1.8207969821990952E-4</v>
      </c>
      <c r="F212">
        <v>1.8207969821990952E-4</v>
      </c>
      <c r="G212">
        <v>1.8207969821990952E-4</v>
      </c>
      <c r="H212">
        <f t="shared" si="3"/>
        <v>0</v>
      </c>
    </row>
    <row r="213" spans="1:8" x14ac:dyDescent="0.3">
      <c r="A213" t="s">
        <v>1</v>
      </c>
      <c r="B213" t="s">
        <v>44</v>
      </c>
      <c r="C213" t="s">
        <v>74</v>
      </c>
      <c r="D213">
        <f>SUM('Transpo pondéré'!D213:S213)</f>
        <v>2.2874400898662275E-6</v>
      </c>
      <c r="E213">
        <v>2.2874400898662275E-6</v>
      </c>
      <c r="F213">
        <v>2.2874400898662275E-6</v>
      </c>
      <c r="G213">
        <v>2.2874400898662275E-6</v>
      </c>
      <c r="H213">
        <f t="shared" si="3"/>
        <v>0</v>
      </c>
    </row>
    <row r="214" spans="1:8" x14ac:dyDescent="0.3">
      <c r="A214" t="s">
        <v>1</v>
      </c>
      <c r="B214" t="s">
        <v>44</v>
      </c>
      <c r="C214" t="s">
        <v>56</v>
      </c>
      <c r="D214">
        <f>SUM('Transpo pondéré'!D214:S214)</f>
        <v>7.9443779419897579E-5</v>
      </c>
      <c r="E214">
        <v>7.9443779419897579E-5</v>
      </c>
      <c r="F214">
        <v>7.9443779419897579E-5</v>
      </c>
      <c r="G214">
        <v>7.9443779419897579E-5</v>
      </c>
      <c r="H214">
        <f t="shared" si="3"/>
        <v>0</v>
      </c>
    </row>
    <row r="215" spans="1:8" x14ac:dyDescent="0.3">
      <c r="A215" t="s">
        <v>1</v>
      </c>
      <c r="B215" t="s">
        <v>44</v>
      </c>
      <c r="C215" t="s">
        <v>57</v>
      </c>
      <c r="D215">
        <f>SUM('Transpo pondéré'!D215:S215)</f>
        <v>7.2774084347364357E-5</v>
      </c>
      <c r="E215">
        <v>7.2774084347364357E-5</v>
      </c>
      <c r="F215">
        <v>7.2774084347364357E-5</v>
      </c>
      <c r="G215">
        <v>7.2774084347364357E-5</v>
      </c>
      <c r="H215">
        <f t="shared" si="3"/>
        <v>0</v>
      </c>
    </row>
    <row r="216" spans="1:8" x14ac:dyDescent="0.3">
      <c r="A216" t="s">
        <v>1</v>
      </c>
      <c r="B216" t="s">
        <v>45</v>
      </c>
      <c r="C216" t="s">
        <v>70</v>
      </c>
      <c r="D216">
        <f>SUM('Transpo pondéré'!D216:S216)</f>
        <v>3.2293144344192053E-2</v>
      </c>
      <c r="E216">
        <v>3.2293144344192053E-2</v>
      </c>
      <c r="F216">
        <v>3.2293144344192053E-2</v>
      </c>
      <c r="G216">
        <v>3.2293144344192053E-2</v>
      </c>
      <c r="H216">
        <f t="shared" si="3"/>
        <v>0</v>
      </c>
    </row>
    <row r="217" spans="1:8" x14ac:dyDescent="0.3">
      <c r="A217" t="s">
        <v>1</v>
      </c>
      <c r="B217" t="s">
        <v>45</v>
      </c>
      <c r="C217" t="s">
        <v>72</v>
      </c>
      <c r="D217">
        <f>SUM('Transpo pondéré'!D217:S217)</f>
        <v>5.3405368722510135E-3</v>
      </c>
      <c r="E217">
        <v>5.3405368722510135E-3</v>
      </c>
      <c r="F217">
        <v>5.3405368722510135E-3</v>
      </c>
      <c r="G217">
        <v>5.3405368722510135E-3</v>
      </c>
      <c r="H217">
        <f t="shared" si="3"/>
        <v>0</v>
      </c>
    </row>
    <row r="218" spans="1:8" x14ac:dyDescent="0.3">
      <c r="A218" t="s">
        <v>1</v>
      </c>
      <c r="B218" t="s">
        <v>45</v>
      </c>
      <c r="C218" t="s">
        <v>58</v>
      </c>
      <c r="D218">
        <f>SUM('Transpo pondéré'!D218:S218)</f>
        <v>1.5670609364786987E-4</v>
      </c>
      <c r="E218">
        <v>1.5670609364786987E-4</v>
      </c>
      <c r="F218">
        <v>1.5670609364786987E-4</v>
      </c>
      <c r="G218">
        <v>1.5670609364786987E-4</v>
      </c>
      <c r="H218">
        <f t="shared" si="3"/>
        <v>0</v>
      </c>
    </row>
    <row r="219" spans="1:8" x14ac:dyDescent="0.3">
      <c r="A219" t="s">
        <v>1</v>
      </c>
      <c r="B219" t="s">
        <v>45</v>
      </c>
      <c r="C219" t="s">
        <v>75</v>
      </c>
      <c r="D219">
        <f>SUM('Transpo pondéré'!D219:S219)</f>
        <v>1.9558331876918367E-4</v>
      </c>
      <c r="E219">
        <v>1.9558331876918367E-4</v>
      </c>
      <c r="F219">
        <v>1.9558331876918367E-4</v>
      </c>
      <c r="G219">
        <v>1.9558331876918367E-4</v>
      </c>
      <c r="H219">
        <f t="shared" si="3"/>
        <v>0</v>
      </c>
    </row>
    <row r="220" spans="1:8" x14ac:dyDescent="0.3">
      <c r="A220" t="s">
        <v>1</v>
      </c>
      <c r="B220" t="s">
        <v>45</v>
      </c>
      <c r="C220" t="s">
        <v>56</v>
      </c>
      <c r="D220">
        <f>SUM('Transpo pondéré'!D220:S220)</f>
        <v>4.7728928183535376E-5</v>
      </c>
      <c r="E220">
        <v>4.7728928183535376E-5</v>
      </c>
      <c r="F220">
        <v>4.7728928183535376E-5</v>
      </c>
      <c r="G220">
        <v>4.7728928183535376E-5</v>
      </c>
      <c r="H220">
        <f t="shared" si="3"/>
        <v>0</v>
      </c>
    </row>
    <row r="221" spans="1:8" x14ac:dyDescent="0.3">
      <c r="A221" t="s">
        <v>1</v>
      </c>
      <c r="B221" t="s">
        <v>45</v>
      </c>
      <c r="C221" t="s">
        <v>57</v>
      </c>
      <c r="D221">
        <f>SUM('Transpo pondéré'!D221:S221)</f>
        <v>1.3779070814573101E-4</v>
      </c>
      <c r="E221">
        <v>1.3779070814573101E-4</v>
      </c>
      <c r="F221">
        <v>1.3779070814573101E-4</v>
      </c>
      <c r="G221">
        <v>1.3779070814573101E-4</v>
      </c>
      <c r="H221">
        <f t="shared" si="3"/>
        <v>0</v>
      </c>
    </row>
    <row r="222" spans="1:8" x14ac:dyDescent="0.3">
      <c r="A222" t="s">
        <v>1</v>
      </c>
      <c r="B222" t="s">
        <v>46</v>
      </c>
      <c r="C222" t="s">
        <v>72</v>
      </c>
      <c r="D222">
        <f>SUM('Transpo pondéré'!D222:S222)</f>
        <v>1.074247624475215E-3</v>
      </c>
      <c r="E222">
        <v>1.074247624475215E-3</v>
      </c>
      <c r="F222">
        <v>1.074247624475215E-3</v>
      </c>
      <c r="G222">
        <v>1.074247624475215E-3</v>
      </c>
      <c r="H222">
        <f t="shared" si="3"/>
        <v>0</v>
      </c>
    </row>
    <row r="223" spans="1:8" x14ac:dyDescent="0.3">
      <c r="A223" t="s">
        <v>1</v>
      </c>
      <c r="B223" t="s">
        <v>46</v>
      </c>
      <c r="C223" t="s">
        <v>58</v>
      </c>
      <c r="D223">
        <f>SUM('Transpo pondéré'!D223:S223)</f>
        <v>8.2018526160601447E-6</v>
      </c>
      <c r="E223">
        <v>8.2018526160601447E-6</v>
      </c>
      <c r="F223">
        <v>8.2018526160601447E-6</v>
      </c>
      <c r="G223">
        <v>8.2018526160601447E-6</v>
      </c>
      <c r="H223">
        <f t="shared" si="3"/>
        <v>0</v>
      </c>
    </row>
    <row r="224" spans="1:8" x14ac:dyDescent="0.3">
      <c r="A224" t="s">
        <v>1</v>
      </c>
      <c r="B224" t="s">
        <v>46</v>
      </c>
      <c r="C224" t="s">
        <v>56</v>
      </c>
      <c r="D224">
        <f>SUM('Transpo pondéré'!D224:S224)</f>
        <v>1.9550047350810401E-3</v>
      </c>
      <c r="E224">
        <v>1.9550047350810401E-3</v>
      </c>
      <c r="F224">
        <v>1.9550047350810401E-3</v>
      </c>
      <c r="G224">
        <v>1.9550047350810401E-3</v>
      </c>
      <c r="H224">
        <f t="shared" si="3"/>
        <v>0</v>
      </c>
    </row>
    <row r="225" spans="1:8" x14ac:dyDescent="0.3">
      <c r="A225" t="s">
        <v>1</v>
      </c>
      <c r="B225" t="s">
        <v>46</v>
      </c>
      <c r="C225" t="s">
        <v>57</v>
      </c>
      <c r="D225">
        <f>SUM('Transpo pondéré'!D225:S225)</f>
        <v>5.8386244921309951E-6</v>
      </c>
      <c r="E225">
        <v>5.8386244921309951E-6</v>
      </c>
      <c r="F225">
        <v>5.8386244921309951E-6</v>
      </c>
      <c r="G225">
        <v>5.8386244921309951E-6</v>
      </c>
      <c r="H225">
        <f t="shared" si="3"/>
        <v>0</v>
      </c>
    </row>
    <row r="226" spans="1:8" x14ac:dyDescent="0.3">
      <c r="A226" t="s">
        <v>1</v>
      </c>
      <c r="B226" t="s">
        <v>47</v>
      </c>
      <c r="C226" t="s">
        <v>72</v>
      </c>
      <c r="D226">
        <f>SUM('Transpo pondéré'!D226:S226)</f>
        <v>1.2677650631070768E-3</v>
      </c>
      <c r="E226">
        <v>1.2677650631070768E-3</v>
      </c>
      <c r="F226">
        <v>1.2677650631070768E-3</v>
      </c>
      <c r="G226">
        <v>1.2677650631070768E-3</v>
      </c>
      <c r="H226">
        <f t="shared" si="3"/>
        <v>0</v>
      </c>
    </row>
    <row r="227" spans="1:8" x14ac:dyDescent="0.3">
      <c r="A227" t="s">
        <v>1</v>
      </c>
      <c r="B227" t="s">
        <v>47</v>
      </c>
      <c r="C227" t="s">
        <v>58</v>
      </c>
      <c r="D227">
        <f>SUM('Transpo pondéré'!D227:S227)</f>
        <v>1.5422106714228524E-5</v>
      </c>
      <c r="E227">
        <v>1.5422106714228524E-5</v>
      </c>
      <c r="F227">
        <v>1.5422106714228524E-5</v>
      </c>
      <c r="G227">
        <v>1.5422106714228524E-5</v>
      </c>
      <c r="H227">
        <f t="shared" si="3"/>
        <v>0</v>
      </c>
    </row>
    <row r="228" spans="1:8" x14ac:dyDescent="0.3">
      <c r="A228" t="s">
        <v>1</v>
      </c>
      <c r="B228" t="s">
        <v>47</v>
      </c>
      <c r="C228" t="s">
        <v>56</v>
      </c>
      <c r="D228">
        <f>SUM('Transpo pondéré'!D228:S228)</f>
        <v>1.9550047350810401E-3</v>
      </c>
      <c r="E228">
        <v>1.9550047350810401E-3</v>
      </c>
      <c r="F228">
        <v>1.9550047350810401E-3</v>
      </c>
      <c r="G228">
        <v>1.9550047350810401E-3</v>
      </c>
      <c r="H228">
        <f t="shared" si="3"/>
        <v>0</v>
      </c>
    </row>
    <row r="229" spans="1:8" x14ac:dyDescent="0.3">
      <c r="A229" t="s">
        <v>1</v>
      </c>
      <c r="B229" t="s">
        <v>47</v>
      </c>
      <c r="C229" t="s">
        <v>57</v>
      </c>
      <c r="D229">
        <f>SUM('Transpo pondéré'!D229:S229)</f>
        <v>6.3780996925484023E-6</v>
      </c>
      <c r="E229">
        <v>6.3780996925484023E-6</v>
      </c>
      <c r="F229">
        <v>6.3780996925484023E-6</v>
      </c>
      <c r="G229">
        <v>6.3780996925484023E-6</v>
      </c>
      <c r="H229">
        <f t="shared" si="3"/>
        <v>0</v>
      </c>
    </row>
    <row r="230" spans="1:8" x14ac:dyDescent="0.3">
      <c r="A230" t="s">
        <v>1</v>
      </c>
      <c r="B230" t="s">
        <v>48</v>
      </c>
      <c r="C230" t="s">
        <v>72</v>
      </c>
      <c r="D230">
        <f>SUM('Transpo pondéré'!D230:S230)</f>
        <v>1.0842486003991895E-4</v>
      </c>
      <c r="E230">
        <v>1.0842486003991895E-4</v>
      </c>
      <c r="F230">
        <v>1.0842486003991895E-4</v>
      </c>
      <c r="G230">
        <v>1.0842486003991895E-4</v>
      </c>
      <c r="H230">
        <f t="shared" si="3"/>
        <v>0</v>
      </c>
    </row>
    <row r="231" spans="1:8" x14ac:dyDescent="0.3">
      <c r="A231" t="s">
        <v>1</v>
      </c>
      <c r="B231" t="s">
        <v>48</v>
      </c>
      <c r="C231" t="s">
        <v>56</v>
      </c>
      <c r="D231">
        <f>SUM('Transpo pondéré'!D231:S231)</f>
        <v>1.9550047350810401E-3</v>
      </c>
      <c r="E231">
        <v>1.9550047350810401E-3</v>
      </c>
      <c r="F231">
        <v>1.9550047350810401E-3</v>
      </c>
      <c r="G231">
        <v>1.9550047350810401E-3</v>
      </c>
      <c r="H231">
        <f t="shared" si="3"/>
        <v>0</v>
      </c>
    </row>
    <row r="232" spans="1:8" x14ac:dyDescent="0.3">
      <c r="A232" t="s">
        <v>1</v>
      </c>
      <c r="B232" t="s">
        <v>48</v>
      </c>
      <c r="C232" t="s">
        <v>57</v>
      </c>
      <c r="D232">
        <f>SUM('Transpo pondéré'!D232:S232)</f>
        <v>3.4715968255404597E-6</v>
      </c>
      <c r="E232">
        <v>3.4715968255404597E-6</v>
      </c>
      <c r="F232">
        <v>3.4715968255404597E-6</v>
      </c>
      <c r="G232">
        <v>3.4715968255404597E-6</v>
      </c>
      <c r="H232">
        <f t="shared" si="3"/>
        <v>0</v>
      </c>
    </row>
    <row r="233" spans="1:8" x14ac:dyDescent="0.3">
      <c r="A233" t="s">
        <v>4</v>
      </c>
      <c r="B233" t="s">
        <v>49</v>
      </c>
      <c r="C233" t="s">
        <v>56</v>
      </c>
      <c r="D233">
        <f>SUM('Transpo pondéré'!D233:S233)</f>
        <v>0.19747970248234772</v>
      </c>
      <c r="E233">
        <v>0.19747970248234772</v>
      </c>
      <c r="F233">
        <v>0.19747970248234772</v>
      </c>
      <c r="G233">
        <v>0.19747970248234772</v>
      </c>
      <c r="H233">
        <f t="shared" si="3"/>
        <v>0</v>
      </c>
    </row>
    <row r="234" spans="1:8" x14ac:dyDescent="0.3">
      <c r="A234" t="s">
        <v>4</v>
      </c>
      <c r="B234" t="s">
        <v>49</v>
      </c>
      <c r="C234" t="s">
        <v>57</v>
      </c>
      <c r="D234">
        <f>SUM('Transpo pondéré'!D234:S234)</f>
        <v>2.4196252526236264E-2</v>
      </c>
      <c r="E234">
        <v>2.4196252526236264E-2</v>
      </c>
      <c r="F234">
        <v>2.4196252526236264E-2</v>
      </c>
      <c r="G234">
        <v>2.4196252526236264E-2</v>
      </c>
      <c r="H234">
        <f t="shared" si="3"/>
        <v>0</v>
      </c>
    </row>
    <row r="235" spans="1:8" x14ac:dyDescent="0.3">
      <c r="A235" t="s">
        <v>147</v>
      </c>
      <c r="B235" t="s">
        <v>50</v>
      </c>
      <c r="C235" t="s">
        <v>96</v>
      </c>
      <c r="D235">
        <f>SUM('Transpo pondéré'!D235:S235)</f>
        <v>29.045926358426208</v>
      </c>
      <c r="E235">
        <v>29.045926358426208</v>
      </c>
      <c r="F235">
        <v>27.818235635627875</v>
      </c>
      <c r="G235">
        <v>28.781793242505735</v>
      </c>
      <c r="H235">
        <f t="shared" si="3"/>
        <v>1.2276907227983322</v>
      </c>
    </row>
    <row r="236" spans="1:8" x14ac:dyDescent="0.3">
      <c r="A236" t="s">
        <v>147</v>
      </c>
      <c r="B236" t="s">
        <v>50</v>
      </c>
      <c r="C236" t="s">
        <v>97</v>
      </c>
      <c r="D236">
        <f>SUM('Transpo pondéré'!D236:S236)</f>
        <v>42.645791383341304</v>
      </c>
      <c r="E236">
        <v>42.645791383341304</v>
      </c>
      <c r="F236">
        <v>40.843272097102968</v>
      </c>
      <c r="G236">
        <v>42.25798602915922</v>
      </c>
      <c r="H236">
        <f t="shared" si="3"/>
        <v>1.8025192862383363</v>
      </c>
    </row>
    <row r="237" spans="1:8" x14ac:dyDescent="0.3">
      <c r="A237" t="s">
        <v>147</v>
      </c>
      <c r="B237" t="s">
        <v>51</v>
      </c>
      <c r="C237" t="s">
        <v>98</v>
      </c>
      <c r="D237">
        <f>SUM('Transpo pondéré'!D237:S237)</f>
        <v>2.2929721440000002E-2</v>
      </c>
      <c r="E237">
        <v>2.2929721440000002E-2</v>
      </c>
      <c r="F237">
        <v>2.2929721440000002E-2</v>
      </c>
      <c r="G237">
        <v>2.2929721440000002E-2</v>
      </c>
      <c r="H237">
        <f t="shared" si="3"/>
        <v>0</v>
      </c>
    </row>
    <row r="238" spans="1:8" x14ac:dyDescent="0.3">
      <c r="A238" t="s">
        <v>6</v>
      </c>
      <c r="B238" t="s">
        <v>50</v>
      </c>
      <c r="C238" t="s">
        <v>96</v>
      </c>
      <c r="D238">
        <f>SUM('Transpo pondéré'!D238:S238)</f>
        <v>203.32148450898345</v>
      </c>
      <c r="E238">
        <v>203.32148450898345</v>
      </c>
      <c r="F238">
        <v>194.72764944939507</v>
      </c>
      <c r="G238">
        <v>201.47255269754018</v>
      </c>
      <c r="H238">
        <f t="shared" si="3"/>
        <v>8.5938350595883719</v>
      </c>
    </row>
    <row r="239" spans="1:8" x14ac:dyDescent="0.3">
      <c r="A239" t="s">
        <v>6</v>
      </c>
      <c r="B239" t="s">
        <v>50</v>
      </c>
      <c r="C239" t="s">
        <v>97</v>
      </c>
      <c r="D239">
        <f>SUM('Transpo pondéré'!D239:S239)</f>
        <v>298.52053968338907</v>
      </c>
      <c r="E239">
        <v>298.52053968338907</v>
      </c>
      <c r="F239">
        <v>285.90290467972085</v>
      </c>
      <c r="G239">
        <v>295.80590220411443</v>
      </c>
      <c r="H239">
        <f t="shared" si="3"/>
        <v>12.617635003668227</v>
      </c>
    </row>
    <row r="240" spans="1:8" x14ac:dyDescent="0.3">
      <c r="A240" t="s">
        <v>6</v>
      </c>
      <c r="B240" t="s">
        <v>51</v>
      </c>
      <c r="C240" t="s">
        <v>98</v>
      </c>
      <c r="D240">
        <f>SUM('Transpo pondéré'!D240:S240)</f>
        <v>0.16050805007999996</v>
      </c>
      <c r="E240">
        <v>0.16050805007999996</v>
      </c>
      <c r="F240">
        <v>0.16050805007999996</v>
      </c>
      <c r="G240">
        <v>0.16050805007999996</v>
      </c>
      <c r="H240">
        <f t="shared" si="3"/>
        <v>0</v>
      </c>
    </row>
    <row r="241" spans="1:8" x14ac:dyDescent="0.3">
      <c r="A241" t="s">
        <v>7</v>
      </c>
      <c r="B241" t="s">
        <v>52</v>
      </c>
      <c r="C241" t="s">
        <v>99</v>
      </c>
      <c r="D241">
        <f>SUM('Transpo pondéré'!D241:S241)</f>
        <v>2.6289187041272103E-4</v>
      </c>
      <c r="E241">
        <v>2.6289187041272103E-4</v>
      </c>
      <c r="F241">
        <v>2.6289187041272103E-4</v>
      </c>
      <c r="G241">
        <v>2.6289187041272103E-4</v>
      </c>
      <c r="H241">
        <f t="shared" si="3"/>
        <v>0</v>
      </c>
    </row>
    <row r="242" spans="1:8" x14ac:dyDescent="0.3">
      <c r="A242" t="s">
        <v>7</v>
      </c>
      <c r="B242" t="s">
        <v>52</v>
      </c>
      <c r="C242" t="s">
        <v>100</v>
      </c>
      <c r="D242">
        <f>SUM('Transpo pondéré'!D242:S242)</f>
        <v>3.3123501920769315E-3</v>
      </c>
      <c r="E242">
        <v>3.3123501920769315E-3</v>
      </c>
      <c r="F242">
        <v>3.3123501920769315E-3</v>
      </c>
      <c r="G242">
        <v>3.3123501920769315E-3</v>
      </c>
      <c r="H242">
        <f t="shared" si="3"/>
        <v>0</v>
      </c>
    </row>
    <row r="243" spans="1:8" x14ac:dyDescent="0.3">
      <c r="A243" t="s">
        <v>7</v>
      </c>
      <c r="B243" t="s">
        <v>52</v>
      </c>
      <c r="C243" t="s">
        <v>101</v>
      </c>
      <c r="D243">
        <f>SUM('Transpo pondéré'!D243:S243)</f>
        <v>5.2796538080650171E-2</v>
      </c>
      <c r="E243">
        <v>5.2796538080650171E-2</v>
      </c>
      <c r="F243">
        <v>5.2796538080650171E-2</v>
      </c>
      <c r="G243">
        <v>5.2796538080650171E-2</v>
      </c>
      <c r="H243">
        <f t="shared" si="3"/>
        <v>0</v>
      </c>
    </row>
    <row r="244" spans="1:8" x14ac:dyDescent="0.3">
      <c r="A244" t="s">
        <v>7</v>
      </c>
      <c r="B244" t="s">
        <v>52</v>
      </c>
      <c r="C244" t="s">
        <v>102</v>
      </c>
      <c r="D244">
        <f>SUM('Transpo pondéré'!D244:S244)</f>
        <v>1.7750429920694605E-3</v>
      </c>
      <c r="E244">
        <v>1.7750429920694605E-3</v>
      </c>
      <c r="F244">
        <v>1.7750429920694605E-3</v>
      </c>
      <c r="G244">
        <v>1.7750429920694605E-3</v>
      </c>
      <c r="H244">
        <f t="shared" si="3"/>
        <v>0</v>
      </c>
    </row>
    <row r="245" spans="1:8" x14ac:dyDescent="0.3">
      <c r="A245" t="s">
        <v>7</v>
      </c>
      <c r="B245" t="s">
        <v>52</v>
      </c>
      <c r="C245" t="s">
        <v>103</v>
      </c>
      <c r="D245">
        <f>SUM('Transpo pondéré'!D245:S245)</f>
        <v>1.4823838656075929E-3</v>
      </c>
      <c r="E245">
        <v>1.4823838656075929E-3</v>
      </c>
      <c r="F245">
        <v>1.4823838656075929E-3</v>
      </c>
      <c r="G245">
        <v>1.4823838656075929E-3</v>
      </c>
      <c r="H245">
        <f t="shared" si="3"/>
        <v>0</v>
      </c>
    </row>
    <row r="246" spans="1:8" x14ac:dyDescent="0.3">
      <c r="A246" t="s">
        <v>7</v>
      </c>
      <c r="B246" t="s">
        <v>53</v>
      </c>
      <c r="C246" t="s">
        <v>104</v>
      </c>
      <c r="D246">
        <f>SUM('Transpo pondéré'!D246:S246)</f>
        <v>-0.13161968899848167</v>
      </c>
      <c r="E246">
        <v>-0.13161968899848167</v>
      </c>
      <c r="F246">
        <v>-0.13161968899848167</v>
      </c>
      <c r="G246">
        <v>-0.13161968899848167</v>
      </c>
      <c r="H246">
        <f t="shared" si="3"/>
        <v>0</v>
      </c>
    </row>
    <row r="247" spans="1:8" x14ac:dyDescent="0.3">
      <c r="A247" t="s">
        <v>7</v>
      </c>
      <c r="B247" t="s">
        <v>53</v>
      </c>
      <c r="C247" t="s">
        <v>105</v>
      </c>
      <c r="D247">
        <f>SUM('Transpo pondéré'!D247:S247)</f>
        <v>-0.73436621545425607</v>
      </c>
      <c r="E247">
        <v>-0.73436621545425607</v>
      </c>
      <c r="F247">
        <v>-0.73436621545425607</v>
      </c>
      <c r="G247">
        <v>-0.73436621545425607</v>
      </c>
      <c r="H247">
        <f t="shared" si="3"/>
        <v>0</v>
      </c>
    </row>
    <row r="248" spans="1:8" x14ac:dyDescent="0.3">
      <c r="A248" t="s">
        <v>7</v>
      </c>
      <c r="B248" t="s">
        <v>53</v>
      </c>
      <c r="C248" t="s">
        <v>106</v>
      </c>
      <c r="D248">
        <f>SUM('Transpo pondéré'!D248:S248)</f>
        <v>-7.343169584099277</v>
      </c>
      <c r="E248">
        <v>-7.343169584099277</v>
      </c>
      <c r="F248">
        <v>-7.343169584099277</v>
      </c>
      <c r="G248">
        <v>-7.343169584099277</v>
      </c>
      <c r="H248">
        <f t="shared" si="3"/>
        <v>0</v>
      </c>
    </row>
    <row r="249" spans="1:8" x14ac:dyDescent="0.3">
      <c r="A249" t="s">
        <v>7</v>
      </c>
      <c r="B249" t="s">
        <v>53</v>
      </c>
      <c r="C249" t="s">
        <v>107</v>
      </c>
      <c r="D249">
        <f>SUM('Transpo pondéré'!D249:S249)</f>
        <v>-3.6300371428509962E-2</v>
      </c>
      <c r="E249">
        <v>-3.6300371428509962E-2</v>
      </c>
      <c r="F249">
        <v>-3.6300371428509962E-2</v>
      </c>
      <c r="G249">
        <v>-3.6300371428509962E-2</v>
      </c>
      <c r="H249">
        <f t="shared" si="3"/>
        <v>0</v>
      </c>
    </row>
    <row r="250" spans="1:8" x14ac:dyDescent="0.3">
      <c r="A250" t="s">
        <v>7</v>
      </c>
      <c r="B250" t="s">
        <v>53</v>
      </c>
      <c r="C250" t="s">
        <v>108</v>
      </c>
      <c r="D250">
        <f>SUM('Transpo pondéré'!D250:S250)</f>
        <v>-5.5342820852973364E-4</v>
      </c>
      <c r="E250">
        <v>-5.5342820852973364E-4</v>
      </c>
      <c r="F250">
        <v>-5.5342820852973364E-4</v>
      </c>
      <c r="G250">
        <v>-5.5342820852973364E-4</v>
      </c>
      <c r="H250">
        <f t="shared" si="3"/>
        <v>0</v>
      </c>
    </row>
    <row r="251" spans="1:8" x14ac:dyDescent="0.3">
      <c r="A251" t="s">
        <v>7</v>
      </c>
      <c r="B251" t="s">
        <v>53</v>
      </c>
      <c r="C251" t="s">
        <v>109</v>
      </c>
      <c r="D251">
        <f>SUM('Transpo pondéré'!D251:S251)</f>
        <v>-5.9576657912443261E-4</v>
      </c>
      <c r="E251">
        <v>-5.9576657912443261E-4</v>
      </c>
      <c r="F251">
        <v>-5.9576657912443261E-4</v>
      </c>
      <c r="G251">
        <v>-5.9576657912443261E-4</v>
      </c>
      <c r="H251">
        <f t="shared" si="3"/>
        <v>0</v>
      </c>
    </row>
    <row r="252" spans="1:8" x14ac:dyDescent="0.3">
      <c r="A252" t="s">
        <v>7</v>
      </c>
      <c r="B252" t="s">
        <v>53</v>
      </c>
      <c r="C252" t="s">
        <v>110</v>
      </c>
      <c r="D252">
        <f>SUM('Transpo pondéré'!D252:S252)</f>
        <v>3.9406014776760594E-5</v>
      </c>
      <c r="E252">
        <v>3.9406014776760594E-5</v>
      </c>
      <c r="F252">
        <v>3.9406014776760594E-5</v>
      </c>
      <c r="G252">
        <v>3.9406014776760594E-5</v>
      </c>
      <c r="H252">
        <f t="shared" si="3"/>
        <v>0</v>
      </c>
    </row>
    <row r="253" spans="1:8" x14ac:dyDescent="0.3">
      <c r="A253" t="s">
        <v>7</v>
      </c>
      <c r="B253" t="s">
        <v>53</v>
      </c>
      <c r="C253" t="s">
        <v>111</v>
      </c>
      <c r="D253">
        <f>SUM('Transpo pondéré'!D253:S253)</f>
        <v>4.9673989771860697E-4</v>
      </c>
      <c r="E253">
        <v>4.9673989771860697E-4</v>
      </c>
      <c r="F253">
        <v>4.9673989771860697E-4</v>
      </c>
      <c r="G253">
        <v>4.9673989771860697E-4</v>
      </c>
      <c r="H253">
        <f t="shared" si="3"/>
        <v>0</v>
      </c>
    </row>
    <row r="254" spans="1:8" x14ac:dyDescent="0.3">
      <c r="A254" t="s">
        <v>7</v>
      </c>
      <c r="B254" t="s">
        <v>53</v>
      </c>
      <c r="C254" t="s">
        <v>112</v>
      </c>
      <c r="D254">
        <f>SUM('Transpo pondéré'!D254:S254)</f>
        <v>3.8004872333553118E-2</v>
      </c>
      <c r="E254">
        <v>3.8004872333553118E-2</v>
      </c>
      <c r="F254">
        <v>3.8004872333553118E-2</v>
      </c>
      <c r="G254">
        <v>3.8004872333553118E-2</v>
      </c>
      <c r="H254">
        <f t="shared" si="3"/>
        <v>0</v>
      </c>
    </row>
    <row r="255" spans="1:8" x14ac:dyDescent="0.3">
      <c r="A255" t="s">
        <v>7</v>
      </c>
      <c r="B255" t="s">
        <v>53</v>
      </c>
      <c r="C255" t="s">
        <v>113</v>
      </c>
      <c r="D255">
        <f>SUM('Transpo pondéré'!D255:S255)</f>
        <v>4.5758122250590642E-4</v>
      </c>
      <c r="E255">
        <v>4.5758122250590642E-4</v>
      </c>
      <c r="F255">
        <v>4.5758122250590642E-4</v>
      </c>
      <c r="G255">
        <v>4.5758122250590642E-4</v>
      </c>
      <c r="H255">
        <f t="shared" si="3"/>
        <v>0</v>
      </c>
    </row>
    <row r="256" spans="1:8" x14ac:dyDescent="0.3">
      <c r="A256" t="s">
        <v>7</v>
      </c>
      <c r="B256" t="s">
        <v>53</v>
      </c>
      <c r="C256" t="s">
        <v>114</v>
      </c>
      <c r="D256">
        <f>SUM('Transpo pondéré'!D256:S256)</f>
        <v>1.3265091450664407E-3</v>
      </c>
      <c r="E256">
        <v>1.3265091450664407E-3</v>
      </c>
      <c r="F256">
        <v>1.3265091450664407E-3</v>
      </c>
      <c r="G256">
        <v>1.3265091450664407E-3</v>
      </c>
      <c r="H256">
        <f t="shared" si="3"/>
        <v>0</v>
      </c>
    </row>
    <row r="257" spans="1:8" x14ac:dyDescent="0.3">
      <c r="A257" t="s">
        <v>7</v>
      </c>
      <c r="B257" t="s">
        <v>53</v>
      </c>
      <c r="C257" t="s">
        <v>115</v>
      </c>
      <c r="D257">
        <f>SUM('Transpo pondéré'!D257:S257)</f>
        <v>3.1929672101017686E-3</v>
      </c>
      <c r="E257">
        <v>3.1929672101017686E-3</v>
      </c>
      <c r="F257">
        <v>3.1929672101017686E-3</v>
      </c>
      <c r="G257">
        <v>3.1929672101017686E-3</v>
      </c>
      <c r="H257">
        <f t="shared" si="3"/>
        <v>0</v>
      </c>
    </row>
    <row r="258" spans="1:8" x14ac:dyDescent="0.3">
      <c r="A258" t="s">
        <v>7</v>
      </c>
      <c r="B258" t="s">
        <v>53</v>
      </c>
      <c r="C258" t="s">
        <v>116</v>
      </c>
      <c r="D258">
        <f>SUM('Transpo pondéré'!D258:S258)</f>
        <v>1.9232663857789309E-2</v>
      </c>
      <c r="E258">
        <v>1.9232663857789309E-2</v>
      </c>
      <c r="F258">
        <v>1.9232663857789309E-2</v>
      </c>
      <c r="G258">
        <v>1.9232663857789309E-2</v>
      </c>
      <c r="H258">
        <f t="shared" si="3"/>
        <v>0</v>
      </c>
    </row>
    <row r="259" spans="1:8" x14ac:dyDescent="0.3">
      <c r="A259" t="s">
        <v>7</v>
      </c>
      <c r="B259" t="s">
        <v>53</v>
      </c>
      <c r="C259" t="s">
        <v>117</v>
      </c>
      <c r="D259">
        <f>SUM('Transpo pondéré'!D259:S259)</f>
        <v>2.8034730146105926E-3</v>
      </c>
      <c r="E259">
        <v>2.8034730146105926E-3</v>
      </c>
      <c r="F259">
        <v>2.8034730146105926E-3</v>
      </c>
      <c r="G259">
        <v>2.8034730146105926E-3</v>
      </c>
      <c r="H259">
        <f t="shared" ref="H259:H260" si="4">D259-F259</f>
        <v>0</v>
      </c>
    </row>
    <row r="260" spans="1:8" x14ac:dyDescent="0.3">
      <c r="A260" t="s">
        <v>7</v>
      </c>
      <c r="B260" t="s">
        <v>53</v>
      </c>
      <c r="C260" t="s">
        <v>118</v>
      </c>
      <c r="D260">
        <f>SUM('Transpo pondéré'!D260:S260)</f>
        <v>1.0291513304971679E-3</v>
      </c>
      <c r="E260">
        <v>1.0291513304971679E-3</v>
      </c>
      <c r="F260">
        <v>1.0291513304971679E-3</v>
      </c>
      <c r="G260">
        <v>1.0291513304971679E-3</v>
      </c>
      <c r="H260">
        <f t="shared" si="4"/>
        <v>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5:D52"/>
  <sheetViews>
    <sheetView topLeftCell="A58" workbookViewId="0">
      <selection activeCell="K33" sqref="K33"/>
    </sheetView>
  </sheetViews>
  <sheetFormatPr baseColWidth="10" defaultColWidth="11.44140625" defaultRowHeight="14.4" x14ac:dyDescent="0.3"/>
  <cols>
    <col min="1" max="1" width="29.109375" customWidth="1"/>
    <col min="2" max="2" width="33.33203125" bestFit="1" customWidth="1"/>
    <col min="3" max="3" width="26.5546875" customWidth="1"/>
    <col min="4" max="4" width="34.6640625" customWidth="1"/>
    <col min="5" max="16" width="24.44140625" customWidth="1"/>
    <col min="17" max="17" width="24.44140625" bestFit="1" customWidth="1"/>
  </cols>
  <sheetData>
    <row r="5" spans="1:4" x14ac:dyDescent="0.3">
      <c r="A5" s="1" t="s">
        <v>195</v>
      </c>
      <c r="B5" t="s">
        <v>206</v>
      </c>
      <c r="C5" t="s">
        <v>207</v>
      </c>
      <c r="D5" t="s">
        <v>196</v>
      </c>
    </row>
    <row r="6" spans="1:4" x14ac:dyDescent="0.3">
      <c r="A6" s="2" t="s">
        <v>50</v>
      </c>
      <c r="B6">
        <v>145.9221403246147</v>
      </c>
      <c r="C6">
        <v>37.584896000000001</v>
      </c>
      <c r="D6">
        <v>219.15878400000003</v>
      </c>
    </row>
    <row r="7" spans="1:4" x14ac:dyDescent="0.3">
      <c r="A7" s="2" t="s">
        <v>19</v>
      </c>
      <c r="B7">
        <v>0.15432784591912921</v>
      </c>
      <c r="C7">
        <v>2.2511783359999999E-2</v>
      </c>
      <c r="D7">
        <v>0.24234736032000004</v>
      </c>
    </row>
    <row r="8" spans="1:4" x14ac:dyDescent="0.3">
      <c r="A8" s="2" t="s">
        <v>33</v>
      </c>
      <c r="B8">
        <v>0.1086649594119245</v>
      </c>
      <c r="C8">
        <v>3.1976448902494889E-2</v>
      </c>
      <c r="D8">
        <v>0.16710118181131717</v>
      </c>
    </row>
    <row r="9" spans="1:4" x14ac:dyDescent="0.3">
      <c r="A9" s="2" t="s">
        <v>11</v>
      </c>
      <c r="B9">
        <v>7.7298171807618554E-2</v>
      </c>
      <c r="C9">
        <v>3.8086183359999998E-2</v>
      </c>
      <c r="D9">
        <v>0.12137872032000001</v>
      </c>
    </row>
    <row r="10" spans="1:4" x14ac:dyDescent="0.3">
      <c r="A10" s="2" t="s">
        <v>13</v>
      </c>
      <c r="B10">
        <v>5.6098106334070509E-2</v>
      </c>
      <c r="C10">
        <v>2.2511951999999998E-2</v>
      </c>
      <c r="D10">
        <v>9.0042080543999994E-2</v>
      </c>
    </row>
    <row r="11" spans="1:4" x14ac:dyDescent="0.3">
      <c r="A11" s="2" t="s">
        <v>12</v>
      </c>
      <c r="B11">
        <v>5.1043009182401781E-2</v>
      </c>
      <c r="C11">
        <v>2.5386272000000001E-2</v>
      </c>
      <c r="D11">
        <v>8.2022803199999994E-2</v>
      </c>
    </row>
    <row r="12" spans="1:4" x14ac:dyDescent="0.3">
      <c r="A12" s="2" t="s">
        <v>36</v>
      </c>
      <c r="B12">
        <v>4.6996611817517964E-2</v>
      </c>
      <c r="C12">
        <v>1.4091351245665209E-2</v>
      </c>
      <c r="D12">
        <v>7.1602753270959565E-2</v>
      </c>
    </row>
    <row r="13" spans="1:4" x14ac:dyDescent="0.3">
      <c r="A13" s="2" t="s">
        <v>31</v>
      </c>
      <c r="B13">
        <v>4.5624252618513418E-2</v>
      </c>
      <c r="C13">
        <v>1.3138726112797429E-2</v>
      </c>
      <c r="D13">
        <v>6.8519219702278533E-2</v>
      </c>
    </row>
    <row r="14" spans="1:4" x14ac:dyDescent="0.3">
      <c r="A14" s="2" t="s">
        <v>51</v>
      </c>
      <c r="B14">
        <v>3.7060607999999995E-2</v>
      </c>
      <c r="C14">
        <v>9.2851200000000009E-3</v>
      </c>
      <c r="D14">
        <v>3.8548224000000006E-2</v>
      </c>
    </row>
    <row r="15" spans="1:4" x14ac:dyDescent="0.3">
      <c r="A15" s="2" t="s">
        <v>43</v>
      </c>
      <c r="B15">
        <v>2.8219895537497573E-2</v>
      </c>
      <c r="C15">
        <v>7.4536283673372486E-3</v>
      </c>
      <c r="D15">
        <v>4.1479126321176826E-2</v>
      </c>
    </row>
    <row r="16" spans="1:4" x14ac:dyDescent="0.3">
      <c r="A16" s="2" t="s">
        <v>3</v>
      </c>
      <c r="B16">
        <v>2.2740879159570692E-2</v>
      </c>
      <c r="C16">
        <v>6.4113753599999988E-4</v>
      </c>
      <c r="D16">
        <v>1.07398519488E-2</v>
      </c>
    </row>
    <row r="17" spans="1:4" x14ac:dyDescent="0.3">
      <c r="A17" s="2" t="s">
        <v>37</v>
      </c>
      <c r="B17">
        <v>2.1469876545568808E-2</v>
      </c>
      <c r="C17">
        <v>6.2129659221203419E-3</v>
      </c>
      <c r="D17">
        <v>3.2251713854764281E-2</v>
      </c>
    </row>
    <row r="18" spans="1:4" x14ac:dyDescent="0.3">
      <c r="A18" s="2" t="s">
        <v>32</v>
      </c>
      <c r="B18">
        <v>1.9578138991484272E-2</v>
      </c>
      <c r="C18">
        <v>5.8867537127020274E-3</v>
      </c>
      <c r="D18">
        <v>2.8785574697420567E-2</v>
      </c>
    </row>
    <row r="19" spans="1:4" x14ac:dyDescent="0.3">
      <c r="A19" s="2" t="s">
        <v>35</v>
      </c>
      <c r="B19">
        <v>1.217970841841149E-2</v>
      </c>
      <c r="C19">
        <v>3.6686337419926623E-3</v>
      </c>
      <c r="D19">
        <v>1.9464829704184634E-2</v>
      </c>
    </row>
    <row r="20" spans="1:4" x14ac:dyDescent="0.3">
      <c r="A20" s="2" t="s">
        <v>16</v>
      </c>
      <c r="B20">
        <v>1.1975329577268762E-2</v>
      </c>
      <c r="C20">
        <v>5.7249014400000001E-3</v>
      </c>
      <c r="D20">
        <v>1.8597159360000001E-2</v>
      </c>
    </row>
    <row r="21" spans="1:4" x14ac:dyDescent="0.3">
      <c r="A21" s="2" t="s">
        <v>15</v>
      </c>
      <c r="B21">
        <v>1.1422243683507652E-2</v>
      </c>
      <c r="C21">
        <v>4.1044000000000002E-3</v>
      </c>
      <c r="D21">
        <v>1.5281136000000001E-2</v>
      </c>
    </row>
    <row r="22" spans="1:4" x14ac:dyDescent="0.3">
      <c r="A22" s="2" t="s">
        <v>29</v>
      </c>
      <c r="B22">
        <v>1.086078116676569E-2</v>
      </c>
      <c r="C22">
        <v>1.7608991999999999E-3</v>
      </c>
      <c r="D22">
        <v>1.436258304E-2</v>
      </c>
    </row>
    <row r="23" spans="1:4" x14ac:dyDescent="0.3">
      <c r="A23" s="2" t="s">
        <v>20</v>
      </c>
      <c r="B23">
        <v>9.9806494789750691E-3</v>
      </c>
      <c r="C23">
        <v>2.9927249506209344E-3</v>
      </c>
      <c r="D23">
        <v>1.5497470391268062E-2</v>
      </c>
    </row>
    <row r="24" spans="1:4" x14ac:dyDescent="0.3">
      <c r="A24" s="2" t="s">
        <v>30</v>
      </c>
      <c r="B24">
        <v>9.6394629603882426E-3</v>
      </c>
      <c r="C24">
        <v>3.0115915286904869E-3</v>
      </c>
      <c r="D24">
        <v>1.5829179240854079E-2</v>
      </c>
    </row>
    <row r="25" spans="1:4" x14ac:dyDescent="0.3">
      <c r="A25" s="2" t="s">
        <v>45</v>
      </c>
      <c r="B25">
        <v>8.0979225497670726E-3</v>
      </c>
      <c r="C25">
        <v>2.2265789980921214E-3</v>
      </c>
      <c r="D25">
        <v>1.208240509324846E-2</v>
      </c>
    </row>
    <row r="26" spans="1:4" x14ac:dyDescent="0.3">
      <c r="A26" s="2" t="s">
        <v>49</v>
      </c>
      <c r="B26">
        <v>7.9206399999999996E-3</v>
      </c>
      <c r="C26">
        <v>3.5308264938493381E-3</v>
      </c>
      <c r="D26">
        <v>1.6224469948069632E-2</v>
      </c>
    </row>
    <row r="27" spans="1:4" x14ac:dyDescent="0.3">
      <c r="A27" s="2" t="s">
        <v>9</v>
      </c>
      <c r="B27">
        <v>5.0455204008123108E-3</v>
      </c>
      <c r="C27">
        <v>9.5549440000000001E-4</v>
      </c>
      <c r="D27">
        <v>8.0838051840000022E-3</v>
      </c>
    </row>
    <row r="28" spans="1:4" x14ac:dyDescent="0.3">
      <c r="A28" s="2" t="s">
        <v>44</v>
      </c>
      <c r="B28">
        <v>4.976242613476547E-3</v>
      </c>
      <c r="C28">
        <v>1.5545922655999999E-3</v>
      </c>
      <c r="D28">
        <v>8.2333008576000004E-3</v>
      </c>
    </row>
    <row r="29" spans="1:4" x14ac:dyDescent="0.3">
      <c r="A29" s="2" t="s">
        <v>18</v>
      </c>
      <c r="B29">
        <v>4.3186948072649351E-3</v>
      </c>
      <c r="C29">
        <v>5.6944272000000002E-4</v>
      </c>
      <c r="D29">
        <v>5.3915146646399993E-3</v>
      </c>
    </row>
    <row r="30" spans="1:4" x14ac:dyDescent="0.3">
      <c r="A30" s="2" t="s">
        <v>39</v>
      </c>
      <c r="B30">
        <v>4.0482815890983768E-3</v>
      </c>
      <c r="C30">
        <v>9.2787754060800001E-4</v>
      </c>
      <c r="D30">
        <v>5.6014561672992E-3</v>
      </c>
    </row>
    <row r="31" spans="1:4" x14ac:dyDescent="0.3">
      <c r="A31" s="2" t="s">
        <v>42</v>
      </c>
      <c r="B31">
        <v>3.445331314625359E-3</v>
      </c>
      <c r="C31">
        <v>1.05389088E-3</v>
      </c>
      <c r="D31">
        <v>5.8587235200000002E-3</v>
      </c>
    </row>
    <row r="32" spans="1:4" x14ac:dyDescent="0.3">
      <c r="A32" s="2" t="s">
        <v>28</v>
      </c>
      <c r="B32">
        <v>2.9621259474469819E-3</v>
      </c>
      <c r="C32">
        <v>4.8533806091883024E-4</v>
      </c>
      <c r="D32">
        <v>2.9433616120975847E-3</v>
      </c>
    </row>
    <row r="33" spans="1:4" x14ac:dyDescent="0.3">
      <c r="A33" s="2" t="s">
        <v>17</v>
      </c>
      <c r="B33">
        <v>2.7733791627334E-3</v>
      </c>
      <c r="C33">
        <v>9.9150400000000004E-4</v>
      </c>
      <c r="D33">
        <v>4.3130879999999996E-3</v>
      </c>
    </row>
    <row r="34" spans="1:4" x14ac:dyDescent="0.3">
      <c r="A34" s="2" t="s">
        <v>27</v>
      </c>
      <c r="B34">
        <v>2.7336072963312233E-3</v>
      </c>
      <c r="C34">
        <v>7.6580607427465261E-3</v>
      </c>
      <c r="D34">
        <v>9.122265160731757E-3</v>
      </c>
    </row>
    <row r="35" spans="1:4" x14ac:dyDescent="0.3">
      <c r="A35" s="2" t="s">
        <v>10</v>
      </c>
      <c r="B35">
        <v>2.6623800341074445E-3</v>
      </c>
      <c r="C35">
        <v>5.5561919999999999E-4</v>
      </c>
      <c r="D35">
        <v>3.9397363199999997E-3</v>
      </c>
    </row>
    <row r="36" spans="1:4" x14ac:dyDescent="0.3">
      <c r="A36" s="2" t="s">
        <v>14</v>
      </c>
      <c r="B36">
        <v>2.3998000235656396E-3</v>
      </c>
      <c r="C36">
        <v>6.1414719999999996E-4</v>
      </c>
      <c r="D36">
        <v>2.0723040000000001E-3</v>
      </c>
    </row>
    <row r="37" spans="1:4" x14ac:dyDescent="0.3">
      <c r="A37" s="2" t="s">
        <v>23</v>
      </c>
      <c r="B37">
        <v>2.337333667225109E-3</v>
      </c>
      <c r="C37">
        <v>3.4238483200000002E-3</v>
      </c>
      <c r="D37">
        <v>5.0399107200000013E-3</v>
      </c>
    </row>
    <row r="38" spans="1:4" x14ac:dyDescent="0.3">
      <c r="A38" s="2" t="s">
        <v>26</v>
      </c>
      <c r="B38">
        <v>2.3006951472527544E-3</v>
      </c>
      <c r="C38">
        <v>7.8200550399999992E-3</v>
      </c>
      <c r="D38">
        <v>8.8723926720000006E-3</v>
      </c>
    </row>
    <row r="39" spans="1:4" x14ac:dyDescent="0.3">
      <c r="A39" s="2" t="s">
        <v>25</v>
      </c>
      <c r="B39">
        <v>2.0629114426414957E-3</v>
      </c>
      <c r="C39">
        <v>4.3121247999999999E-3</v>
      </c>
      <c r="D39">
        <v>5.5824163200000002E-3</v>
      </c>
    </row>
    <row r="40" spans="1:4" x14ac:dyDescent="0.3">
      <c r="A40" s="2" t="s">
        <v>41</v>
      </c>
      <c r="B40">
        <v>1.8170987786875034E-3</v>
      </c>
      <c r="C40">
        <v>4.8386142434845425E-4</v>
      </c>
      <c r="D40">
        <v>2.6847547868837683E-3</v>
      </c>
    </row>
    <row r="41" spans="1:4" x14ac:dyDescent="0.3">
      <c r="A41" s="2" t="s">
        <v>52</v>
      </c>
      <c r="B41">
        <v>1.50438912E-3</v>
      </c>
      <c r="C41">
        <v>5.4192960000000001E-4</v>
      </c>
      <c r="D41">
        <v>3.6752227200000003E-3</v>
      </c>
    </row>
    <row r="42" spans="1:4" x14ac:dyDescent="0.3">
      <c r="A42" s="2" t="s">
        <v>40</v>
      </c>
      <c r="B42">
        <v>1.4471276855474165E-3</v>
      </c>
      <c r="C42">
        <v>3.8155003623857917E-4</v>
      </c>
      <c r="D42">
        <v>2.1323932740110532E-3</v>
      </c>
    </row>
    <row r="43" spans="1:4" x14ac:dyDescent="0.3">
      <c r="A43" s="2" t="s">
        <v>38</v>
      </c>
      <c r="B43">
        <v>1.3295641653534771E-3</v>
      </c>
      <c r="C43">
        <v>2.2735221462899767E-3</v>
      </c>
      <c r="D43">
        <v>3.6665958530621465E-3</v>
      </c>
    </row>
    <row r="44" spans="1:4" x14ac:dyDescent="0.3">
      <c r="A44" s="2" t="s">
        <v>34</v>
      </c>
      <c r="B44">
        <v>1.1641399150542694E-3</v>
      </c>
      <c r="C44">
        <v>4.7072217613234322E-4</v>
      </c>
      <c r="D44">
        <v>1.7624017382176318E-3</v>
      </c>
    </row>
    <row r="45" spans="1:4" x14ac:dyDescent="0.3">
      <c r="A45" s="2" t="s">
        <v>21</v>
      </c>
      <c r="B45">
        <v>5.1850240000000003E-4</v>
      </c>
      <c r="C45">
        <v>7.9707200000000001E-5</v>
      </c>
      <c r="D45">
        <v>5.2060319999999998E-4</v>
      </c>
    </row>
    <row r="46" spans="1:4" x14ac:dyDescent="0.3">
      <c r="A46" s="2" t="s">
        <v>24</v>
      </c>
      <c r="B46">
        <v>4.2291847542908357E-4</v>
      </c>
      <c r="C46">
        <v>1.9071851494056108E-3</v>
      </c>
      <c r="D46">
        <v>2.0540913386205908E-3</v>
      </c>
    </row>
    <row r="47" spans="1:4" x14ac:dyDescent="0.3">
      <c r="A47" s="2" t="s">
        <v>47</v>
      </c>
      <c r="B47">
        <v>3.2627755108726727E-4</v>
      </c>
      <c r="C47">
        <v>1.03912E-4</v>
      </c>
      <c r="D47">
        <v>5.3757924479999998E-4</v>
      </c>
    </row>
    <row r="48" spans="1:4" x14ac:dyDescent="0.3">
      <c r="A48" s="2" t="s">
        <v>46</v>
      </c>
      <c r="B48">
        <v>2.783927101371872E-4</v>
      </c>
      <c r="C48">
        <v>8.9083583999999998E-5</v>
      </c>
      <c r="D48">
        <v>4.5989648640000009E-4</v>
      </c>
    </row>
    <row r="49" spans="1:4" x14ac:dyDescent="0.3">
      <c r="A49" s="2" t="s">
        <v>22</v>
      </c>
      <c r="B49">
        <v>1.2592025919026269E-4</v>
      </c>
      <c r="C49">
        <v>1.7255839999999998E-5</v>
      </c>
      <c r="D49">
        <v>1.061390304E-4</v>
      </c>
    </row>
    <row r="50" spans="1:4" x14ac:dyDescent="0.3">
      <c r="A50" s="2" t="s">
        <v>48</v>
      </c>
      <c r="B50">
        <v>4.893599454367134E-5</v>
      </c>
      <c r="C50">
        <v>1.7382815999999999E-5</v>
      </c>
      <c r="D50">
        <v>7.9680931200000013E-5</v>
      </c>
    </row>
    <row r="51" spans="1:4" x14ac:dyDescent="0.3">
      <c r="A51" s="2" t="s">
        <v>53</v>
      </c>
      <c r="B51">
        <v>-0.27653464823306717</v>
      </c>
      <c r="C51">
        <v>-9.183975556414084E-2</v>
      </c>
      <c r="D51">
        <v>-0.42942974867090933</v>
      </c>
    </row>
    <row r="52" spans="1:4" x14ac:dyDescent="0.3">
      <c r="A52" s="2" t="s">
        <v>197</v>
      </c>
      <c r="B52">
        <v>146.44785434004368</v>
      </c>
      <c r="C52">
        <v>37.754547230450513</v>
      </c>
      <c r="D52">
        <v>219.9442457278995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34"/>
  <sheetViews>
    <sheetView tabSelected="1" topLeftCell="A91" zoomScaleNormal="100" workbookViewId="0">
      <selection activeCell="C24" sqref="C24"/>
    </sheetView>
  </sheetViews>
  <sheetFormatPr baseColWidth="10" defaultColWidth="11.44140625" defaultRowHeight="14.4" x14ac:dyDescent="0.3"/>
  <cols>
    <col min="1" max="1" width="45.33203125" bestFit="1" customWidth="1"/>
    <col min="2" max="2" width="14.6640625" bestFit="1" customWidth="1"/>
    <col min="3" max="3" width="17.33203125" customWidth="1"/>
    <col min="4" max="4" width="20.21875" customWidth="1"/>
    <col min="26" max="27" width="12.88671875" bestFit="1" customWidth="1"/>
  </cols>
  <sheetData>
    <row r="1" spans="1:30" x14ac:dyDescent="0.3">
      <c r="K1" s="4">
        <v>33.414429784288998</v>
      </c>
      <c r="L1" s="4">
        <v>0.25423978428896249</v>
      </c>
      <c r="U1" s="9"/>
      <c r="V1" s="9"/>
    </row>
    <row r="2" spans="1:30" x14ac:dyDescent="0.3">
      <c r="A2" s="21" t="s">
        <v>208</v>
      </c>
      <c r="B2" s="21"/>
      <c r="C2" s="21"/>
      <c r="D2" s="21"/>
      <c r="E2" s="21"/>
      <c r="F2" s="21"/>
      <c r="G2" s="21"/>
      <c r="K2" s="4">
        <v>57.269114716456052</v>
      </c>
      <c r="L2" s="4">
        <v>0.34910471645604951</v>
      </c>
      <c r="U2" s="9"/>
      <c r="V2" s="9"/>
      <c r="X2" s="21" t="s">
        <v>209</v>
      </c>
      <c r="Y2" s="21"/>
      <c r="Z2" s="21"/>
      <c r="AA2" s="21"/>
      <c r="AB2" s="21"/>
      <c r="AC2" s="21"/>
      <c r="AD2" s="21"/>
    </row>
    <row r="3" spans="1:30" x14ac:dyDescent="0.3">
      <c r="A3" s="21"/>
      <c r="B3" s="21"/>
      <c r="C3" s="21"/>
      <c r="D3" s="21"/>
      <c r="E3" s="21"/>
      <c r="F3" s="21"/>
      <c r="G3" s="21"/>
      <c r="K3" s="4">
        <v>111.95668477438414</v>
      </c>
      <c r="L3" s="4">
        <v>5.493824774384156</v>
      </c>
      <c r="U3" s="9"/>
      <c r="V3" s="9"/>
      <c r="X3" s="21"/>
      <c r="Y3" s="21"/>
      <c r="Z3" s="21"/>
      <c r="AA3" s="21"/>
      <c r="AB3" s="21"/>
      <c r="AC3" s="21"/>
      <c r="AD3" s="21"/>
    </row>
    <row r="4" spans="1:30" x14ac:dyDescent="0.3">
      <c r="A4" s="21"/>
      <c r="B4" s="21"/>
      <c r="C4" s="21"/>
      <c r="D4" s="21"/>
      <c r="E4" s="21"/>
      <c r="F4" s="21"/>
      <c r="G4" s="21"/>
      <c r="K4" s="4">
        <v>1.5283813726707058</v>
      </c>
      <c r="L4" s="4">
        <v>1.4388513726707057</v>
      </c>
      <c r="U4" s="9"/>
      <c r="V4" s="9"/>
      <c r="X4" s="21"/>
      <c r="Y4" s="21"/>
      <c r="Z4" s="21"/>
      <c r="AA4" s="21"/>
      <c r="AB4" s="21"/>
      <c r="AC4" s="21"/>
      <c r="AD4" s="21"/>
    </row>
    <row r="5" spans="1:30" x14ac:dyDescent="0.3">
      <c r="A5" s="21"/>
      <c r="B5" s="21"/>
      <c r="C5" s="21"/>
      <c r="D5" s="21"/>
      <c r="E5" s="21"/>
      <c r="F5" s="21"/>
      <c r="G5" s="21"/>
      <c r="K5" s="4">
        <v>42.833969794478818</v>
      </c>
      <c r="L5" s="4">
        <v>0.21317479447881668</v>
      </c>
      <c r="U5" s="9"/>
      <c r="V5" s="9"/>
      <c r="X5" s="21"/>
      <c r="Y5" s="21"/>
      <c r="Z5" s="21"/>
      <c r="AA5" s="21"/>
      <c r="AB5" s="21"/>
      <c r="AC5" s="21"/>
      <c r="AD5" s="21"/>
    </row>
    <row r="6" spans="1:30" x14ac:dyDescent="0.3">
      <c r="A6" s="21"/>
      <c r="B6" s="21"/>
      <c r="C6" s="21"/>
      <c r="D6" s="21"/>
      <c r="E6" s="21"/>
      <c r="F6" s="21"/>
      <c r="G6" s="21"/>
      <c r="K6" s="4">
        <v>51.872592140300021</v>
      </c>
      <c r="L6" s="4">
        <v>0.24317514030002016</v>
      </c>
      <c r="U6" s="9"/>
      <c r="V6" s="9"/>
      <c r="X6" s="21"/>
      <c r="Y6" s="21"/>
      <c r="Z6" s="21"/>
      <c r="AA6" s="21"/>
      <c r="AB6" s="21"/>
      <c r="AC6" s="21"/>
      <c r="AD6" s="21"/>
    </row>
    <row r="7" spans="1:30" x14ac:dyDescent="0.3">
      <c r="A7" s="21"/>
      <c r="B7" s="21"/>
      <c r="C7" s="21"/>
      <c r="D7" s="21"/>
      <c r="E7" s="21"/>
      <c r="F7" s="21"/>
      <c r="G7" s="21"/>
      <c r="K7" s="4">
        <v>5.2261661424898822</v>
      </c>
      <c r="L7" s="4">
        <v>0.25377914248988215</v>
      </c>
      <c r="U7" s="9"/>
      <c r="V7" s="9"/>
      <c r="X7" s="21"/>
      <c r="Y7" s="21"/>
      <c r="Z7" s="21"/>
      <c r="AA7" s="21"/>
      <c r="AB7" s="21"/>
      <c r="AC7" s="21"/>
      <c r="AD7" s="21"/>
    </row>
    <row r="8" spans="1:30" x14ac:dyDescent="0.3">
      <c r="A8" s="21"/>
      <c r="B8" s="21"/>
      <c r="C8" s="21"/>
      <c r="D8" s="21"/>
      <c r="E8" s="21"/>
      <c r="F8" s="21"/>
      <c r="G8" s="21"/>
      <c r="K8" s="4">
        <v>17.184476574048006</v>
      </c>
      <c r="L8" s="4">
        <v>0.58559572375264124</v>
      </c>
      <c r="U8" s="9"/>
      <c r="V8" s="9"/>
      <c r="X8" s="21"/>
      <c r="Y8" s="21"/>
      <c r="Z8" s="21"/>
      <c r="AA8" s="21"/>
      <c r="AB8" s="21"/>
      <c r="AC8" s="21"/>
      <c r="AD8" s="21"/>
    </row>
    <row r="9" spans="1:30" x14ac:dyDescent="0.3">
      <c r="A9" s="21"/>
      <c r="B9" s="21"/>
      <c r="C9" s="21"/>
      <c r="D9" s="21"/>
      <c r="E9" s="21"/>
      <c r="F9" s="21"/>
      <c r="G9" s="21"/>
      <c r="K9" s="4">
        <v>0.27630428088041059</v>
      </c>
      <c r="L9" s="4">
        <v>0.10375090698756723</v>
      </c>
      <c r="U9" s="9"/>
      <c r="V9" s="9"/>
      <c r="X9" s="21"/>
      <c r="Y9" s="21"/>
      <c r="Z9" s="21"/>
      <c r="AA9" s="21"/>
      <c r="AB9" s="21"/>
      <c r="AC9" s="21"/>
      <c r="AD9" s="21"/>
    </row>
    <row r="10" spans="1:30" x14ac:dyDescent="0.3">
      <c r="A10" s="21"/>
      <c r="B10" s="21"/>
      <c r="C10" s="21"/>
      <c r="D10" s="21"/>
      <c r="E10" s="21"/>
      <c r="F10" s="21"/>
      <c r="G10" s="21"/>
      <c r="K10" s="4">
        <v>4.3369604888322866E-2</v>
      </c>
      <c r="L10" s="4">
        <v>2.6529284378463379E-2</v>
      </c>
      <c r="U10" s="9"/>
      <c r="V10" s="9"/>
      <c r="X10" s="21"/>
      <c r="Y10" s="21"/>
      <c r="Z10" s="21"/>
      <c r="AA10" s="21"/>
      <c r="AB10" s="21"/>
      <c r="AC10" s="21"/>
      <c r="AD10" s="21"/>
    </row>
    <row r="11" spans="1:30" x14ac:dyDescent="0.3">
      <c r="A11" s="2"/>
      <c r="K11" s="4">
        <v>2.7551765891866468E-3</v>
      </c>
      <c r="L11" s="4">
        <v>2.6368759098758525E-3</v>
      </c>
      <c r="U11" s="9"/>
      <c r="V11" s="9"/>
    </row>
    <row r="12" spans="1:30" x14ac:dyDescent="0.3">
      <c r="A12" s="2"/>
      <c r="K12" s="4">
        <v>10.121379838432182</v>
      </c>
      <c r="L12" s="4">
        <v>0.23801966064437768</v>
      </c>
      <c r="U12" s="9"/>
      <c r="V12" s="9"/>
    </row>
    <row r="13" spans="1:30" x14ac:dyDescent="0.3">
      <c r="A13" s="2"/>
      <c r="K13" s="4">
        <v>58.70349161988613</v>
      </c>
      <c r="L13" s="4">
        <v>0.23413675061844366</v>
      </c>
      <c r="U13" s="9"/>
      <c r="V13" s="9"/>
    </row>
    <row r="14" spans="1:30" x14ac:dyDescent="0.3">
      <c r="A14" s="2"/>
      <c r="K14" s="4">
        <v>96.51403911636109</v>
      </c>
      <c r="L14" s="4">
        <v>0.57481073892878143</v>
      </c>
      <c r="U14" s="9"/>
      <c r="V14" s="9"/>
    </row>
    <row r="15" spans="1:30" x14ac:dyDescent="0.3">
      <c r="A15" s="2"/>
      <c r="K15" s="4">
        <v>10.846739498785151</v>
      </c>
      <c r="L15" s="4">
        <v>10.59478624111844</v>
      </c>
      <c r="U15" s="9"/>
      <c r="V15" s="9"/>
    </row>
    <row r="16" spans="1:30" x14ac:dyDescent="0.3">
      <c r="K16" s="4">
        <v>3.9359863124889749</v>
      </c>
      <c r="L16" s="4">
        <v>3.8727612030003704</v>
      </c>
      <c r="U16" s="9"/>
      <c r="V16" s="9"/>
    </row>
    <row r="17" spans="1:27" x14ac:dyDescent="0.3">
      <c r="U17" s="9"/>
      <c r="V17" s="9"/>
      <c r="Y17" t="s">
        <v>210</v>
      </c>
      <c r="Z17" t="s">
        <v>211</v>
      </c>
      <c r="AA17" t="s">
        <v>212</v>
      </c>
    </row>
    <row r="18" spans="1:27" x14ac:dyDescent="0.3">
      <c r="U18" s="9"/>
      <c r="V18" s="9"/>
      <c r="X18" s="3" t="s">
        <v>148</v>
      </c>
      <c r="Y18" s="7">
        <v>4.952818698014652</v>
      </c>
      <c r="Z18" s="4">
        <f>Y18-AA18</f>
        <v>0.25354605801465091</v>
      </c>
      <c r="AA18" s="4">
        <v>4.6992726400000011</v>
      </c>
    </row>
    <row r="19" spans="1:27" x14ac:dyDescent="0.3">
      <c r="A19" s="3"/>
      <c r="B19" s="4"/>
      <c r="U19" s="9"/>
      <c r="V19" s="9"/>
      <c r="X19" s="3" t="s">
        <v>149</v>
      </c>
      <c r="Y19" s="7">
        <v>28.578975028570309</v>
      </c>
      <c r="Z19" s="4">
        <f t="shared" ref="Z19:Z33" si="0">Y19-AA19</f>
        <v>1.1793085005703041</v>
      </c>
      <c r="AA19" s="4">
        <v>27.399666528000004</v>
      </c>
    </row>
    <row r="20" spans="1:27" x14ac:dyDescent="0.3">
      <c r="U20" s="9"/>
      <c r="V20" s="9"/>
      <c r="X20" s="3" t="s">
        <v>153</v>
      </c>
      <c r="Y20" s="7">
        <v>6.4741493066908147</v>
      </c>
      <c r="Z20" s="4">
        <f t="shared" si="0"/>
        <v>1.8019506506908147</v>
      </c>
      <c r="AA20" s="4">
        <v>4.6721986559999999</v>
      </c>
    </row>
    <row r="21" spans="1:27" x14ac:dyDescent="0.3">
      <c r="U21" s="9"/>
      <c r="V21" s="9"/>
      <c r="X21" s="3" t="s">
        <v>157</v>
      </c>
      <c r="Y21" s="7">
        <v>0.65034855095647615</v>
      </c>
      <c r="Z21" s="4">
        <f t="shared" si="0"/>
        <v>0.64461863095647609</v>
      </c>
      <c r="AA21" s="4">
        <v>5.7299199999999995E-3</v>
      </c>
    </row>
    <row r="22" spans="1:27" x14ac:dyDescent="0.3">
      <c r="B22" t="s">
        <v>210</v>
      </c>
      <c r="C22" t="s">
        <v>211</v>
      </c>
      <c r="D22" t="s">
        <v>212</v>
      </c>
      <c r="U22" s="9"/>
      <c r="V22" s="9"/>
      <c r="X22" s="3" t="s">
        <v>158</v>
      </c>
      <c r="Y22" s="7">
        <v>2.9848004402651678</v>
      </c>
      <c r="Z22" s="4">
        <f t="shared" si="0"/>
        <v>0.10119922426516759</v>
      </c>
      <c r="AA22" s="4">
        <v>2.8836012160000002</v>
      </c>
    </row>
    <row r="23" spans="1:27" x14ac:dyDescent="0.3">
      <c r="A23" s="3" t="s">
        <v>148</v>
      </c>
      <c r="B23" s="4">
        <v>33.414429784288963</v>
      </c>
      <c r="C23" s="4">
        <v>0.25423978428896249</v>
      </c>
      <c r="D23" s="4">
        <f>B23-C23</f>
        <v>33.16019</v>
      </c>
      <c r="U23" s="9"/>
      <c r="V23" s="9"/>
      <c r="X23" s="3" t="s">
        <v>159</v>
      </c>
      <c r="Y23" s="7">
        <v>4.5228919504820917</v>
      </c>
      <c r="Z23" s="4">
        <f t="shared" si="0"/>
        <v>0.14471738888209185</v>
      </c>
      <c r="AA23" s="4">
        <v>4.3781745615999998</v>
      </c>
    </row>
    <row r="24" spans="1:27" x14ac:dyDescent="0.3">
      <c r="A24" s="3" t="s">
        <v>149</v>
      </c>
      <c r="B24" s="4">
        <v>57.269114716456102</v>
      </c>
      <c r="C24" s="4">
        <v>0.34910471645604951</v>
      </c>
      <c r="D24" s="4">
        <f t="shared" ref="D24:D38" si="1">B24-C24</f>
        <v>56.920010000000055</v>
      </c>
      <c r="U24" s="9"/>
      <c r="V24" s="9"/>
      <c r="X24" s="3" t="s">
        <v>160</v>
      </c>
      <c r="Y24" s="7">
        <v>0.83967740216055264</v>
      </c>
      <c r="Z24" s="4">
        <f t="shared" si="0"/>
        <v>0.59759318936055261</v>
      </c>
      <c r="AA24" s="4">
        <v>0.24208421279999998</v>
      </c>
    </row>
    <row r="25" spans="1:27" x14ac:dyDescent="0.3">
      <c r="A25" s="3" t="s">
        <v>153</v>
      </c>
      <c r="B25" s="4">
        <v>111.956684774384</v>
      </c>
      <c r="C25" s="4">
        <v>5.493824774384156</v>
      </c>
      <c r="D25" s="4">
        <f t="shared" si="1"/>
        <v>106.46285999999985</v>
      </c>
      <c r="U25" s="9"/>
      <c r="V25" s="9"/>
      <c r="X25" s="3" t="s">
        <v>164</v>
      </c>
      <c r="Y25" s="7">
        <v>5.0221299132670199</v>
      </c>
      <c r="Z25" s="4">
        <f t="shared" si="0"/>
        <v>4.3240284100774549</v>
      </c>
      <c r="AA25" s="4">
        <v>0.69810150318956521</v>
      </c>
    </row>
    <row r="26" spans="1:27" x14ac:dyDescent="0.3">
      <c r="A26" s="3" t="s">
        <v>157</v>
      </c>
      <c r="B26" s="4">
        <v>1.5283813726707101</v>
      </c>
      <c r="C26" s="4">
        <v>1.4388513726707057</v>
      </c>
      <c r="D26" s="4">
        <f t="shared" si="1"/>
        <v>8.9530000000004328E-2</v>
      </c>
      <c r="U26" s="9"/>
      <c r="V26" s="9"/>
      <c r="X26" s="3" t="s">
        <v>168</v>
      </c>
      <c r="Y26" s="7">
        <v>0.10299123603522978</v>
      </c>
      <c r="Z26" s="4">
        <f t="shared" si="0"/>
        <v>8.3231409676300744E-2</v>
      </c>
      <c r="AA26" s="4">
        <v>1.9759826358929027E-2</v>
      </c>
    </row>
    <row r="27" spans="1:27" x14ac:dyDescent="0.3">
      <c r="A27" s="3" t="s">
        <v>158</v>
      </c>
      <c r="B27" s="4">
        <v>42.833969794478797</v>
      </c>
      <c r="C27" s="4">
        <v>0.21317479447881668</v>
      </c>
      <c r="D27" s="4">
        <f t="shared" si="1"/>
        <v>42.62079499999998</v>
      </c>
      <c r="U27" s="9"/>
      <c r="V27" s="9"/>
      <c r="X27" s="3" t="s">
        <v>169</v>
      </c>
      <c r="Y27" s="7">
        <v>3.6768595114354242E-2</v>
      </c>
      <c r="Z27" s="4">
        <f t="shared" si="0"/>
        <v>3.3712317517822027E-2</v>
      </c>
      <c r="AA27" s="4">
        <v>3.0562775965322134E-3</v>
      </c>
    </row>
    <row r="28" spans="1:27" x14ac:dyDescent="0.3">
      <c r="A28" s="3" t="s">
        <v>159</v>
      </c>
      <c r="B28" s="4">
        <v>51.872592140300021</v>
      </c>
      <c r="C28" s="4">
        <v>0.24317514030002016</v>
      </c>
      <c r="D28" s="4">
        <f t="shared" si="1"/>
        <v>51.629417000000004</v>
      </c>
      <c r="U28" s="9"/>
      <c r="V28" s="9"/>
      <c r="X28" s="3" t="s">
        <v>170</v>
      </c>
      <c r="Y28" s="7">
        <v>2.6772046208424988E-3</v>
      </c>
      <c r="Z28" s="4">
        <f t="shared" si="0"/>
        <v>2.6601422828664732E-3</v>
      </c>
      <c r="AA28" s="4">
        <v>1.7062337976025418E-5</v>
      </c>
    </row>
    <row r="29" spans="1:27" x14ac:dyDescent="0.3">
      <c r="A29" s="3" t="s">
        <v>160</v>
      </c>
      <c r="B29" s="4">
        <v>5.2261661424898822</v>
      </c>
      <c r="C29" s="4">
        <v>0.25377914248988215</v>
      </c>
      <c r="D29" s="4">
        <f t="shared" si="1"/>
        <v>4.9723870000000003</v>
      </c>
      <c r="U29" s="9"/>
      <c r="V29" s="9"/>
      <c r="X29" s="3" t="s">
        <v>171</v>
      </c>
      <c r="Y29" s="7">
        <v>2.3707479355293244</v>
      </c>
      <c r="Z29" s="4">
        <f t="shared" si="0"/>
        <v>0.34663577111838206</v>
      </c>
      <c r="AA29" s="4">
        <v>2.0241121644109423</v>
      </c>
    </row>
    <row r="30" spans="1:27" x14ac:dyDescent="0.3">
      <c r="A30" s="3" t="s">
        <v>164</v>
      </c>
      <c r="B30" s="4">
        <v>17.184476574048006</v>
      </c>
      <c r="C30" s="4">
        <v>0.58559572375264124</v>
      </c>
      <c r="D30" s="4">
        <f t="shared" si="1"/>
        <v>16.598880850295366</v>
      </c>
      <c r="U30" s="9"/>
      <c r="V30" s="9"/>
      <c r="X30" s="3" t="s">
        <v>172</v>
      </c>
      <c r="Y30" s="7">
        <v>6.567825951754072</v>
      </c>
      <c r="Z30" s="4">
        <f t="shared" si="0"/>
        <v>0.17963129403751044</v>
      </c>
      <c r="AA30" s="4">
        <v>6.3881946577165616</v>
      </c>
    </row>
    <row r="31" spans="1:27" x14ac:dyDescent="0.3">
      <c r="A31" s="3" t="s">
        <v>168</v>
      </c>
      <c r="B31" s="4">
        <v>0.27630428088041059</v>
      </c>
      <c r="C31" s="4">
        <v>0.10375090698756723</v>
      </c>
      <c r="D31" s="4">
        <f t="shared" si="1"/>
        <v>0.17255337389284336</v>
      </c>
      <c r="U31" s="9"/>
      <c r="V31" s="9"/>
      <c r="X31" s="3" t="s">
        <v>173</v>
      </c>
      <c r="Y31" s="7">
        <v>19.011383127347521</v>
      </c>
      <c r="Z31" s="4">
        <f t="shared" si="0"/>
        <v>0.76648301077068126</v>
      </c>
      <c r="AA31" s="4">
        <v>18.24490011657684</v>
      </c>
    </row>
    <row r="32" spans="1:27" x14ac:dyDescent="0.3">
      <c r="A32" s="3" t="s">
        <v>169</v>
      </c>
      <c r="B32" s="4">
        <v>4.3369604888322866E-2</v>
      </c>
      <c r="C32" s="4">
        <v>2.6529284378463379E-2</v>
      </c>
      <c r="D32" s="4">
        <f t="shared" si="1"/>
        <v>1.6840320509859487E-2</v>
      </c>
      <c r="U32" s="9"/>
      <c r="V32" s="9"/>
      <c r="X32" s="3" t="s">
        <v>174</v>
      </c>
      <c r="Y32" s="7">
        <v>12.924142070759336</v>
      </c>
      <c r="Z32" s="4">
        <f t="shared" si="0"/>
        <v>12.880662137150566</v>
      </c>
      <c r="AA32" s="4">
        <v>4.3479933608769609E-2</v>
      </c>
    </row>
    <row r="33" spans="1:27" x14ac:dyDescent="0.3">
      <c r="A33" s="3" t="s">
        <v>170</v>
      </c>
      <c r="B33" s="4">
        <v>2.7551765891866468E-3</v>
      </c>
      <c r="C33" s="4">
        <v>2.6368759098758525E-3</v>
      </c>
      <c r="D33" s="4">
        <f t="shared" si="1"/>
        <v>1.1830067931079425E-4</v>
      </c>
      <c r="U33" s="9"/>
      <c r="V33" s="9"/>
      <c r="X33" s="3" t="s">
        <v>175</v>
      </c>
      <c r="Y33" s="7">
        <v>5.2860489969963727</v>
      </c>
      <c r="Z33" s="4">
        <f t="shared" si="0"/>
        <v>5.273750809984989</v>
      </c>
      <c r="AA33" s="4">
        <v>1.229818701138337E-2</v>
      </c>
    </row>
    <row r="34" spans="1:27" x14ac:dyDescent="0.3">
      <c r="A34" s="3" t="s">
        <v>171</v>
      </c>
      <c r="B34" s="4">
        <v>10.121379838432182</v>
      </c>
      <c r="C34" s="4">
        <v>0.23801966064437768</v>
      </c>
      <c r="D34" s="4">
        <f t="shared" si="1"/>
        <v>9.8833601777878037</v>
      </c>
      <c r="U34" s="9"/>
      <c r="V34" s="9"/>
    </row>
    <row r="35" spans="1:27" x14ac:dyDescent="0.3">
      <c r="A35" s="3" t="s">
        <v>172</v>
      </c>
      <c r="B35" s="4">
        <v>58.70349161988613</v>
      </c>
      <c r="C35" s="4">
        <v>0.23413675061844366</v>
      </c>
      <c r="D35" s="4">
        <f t="shared" si="1"/>
        <v>58.469354869267683</v>
      </c>
      <c r="U35" s="9"/>
      <c r="V35" s="9"/>
    </row>
    <row r="36" spans="1:27" x14ac:dyDescent="0.3">
      <c r="A36" s="3" t="s">
        <v>173</v>
      </c>
      <c r="B36" s="4">
        <v>96.51403911636109</v>
      </c>
      <c r="C36" s="4">
        <v>0.57481073892878143</v>
      </c>
      <c r="D36" s="4">
        <f t="shared" si="1"/>
        <v>95.939228377432315</v>
      </c>
      <c r="U36" s="9"/>
      <c r="V36" s="9"/>
    </row>
    <row r="37" spans="1:27" x14ac:dyDescent="0.3">
      <c r="A37" s="3" t="s">
        <v>174</v>
      </c>
      <c r="B37" s="4">
        <v>10.846739498785151</v>
      </c>
      <c r="C37" s="4">
        <v>10.59478624111844</v>
      </c>
      <c r="D37" s="4">
        <f t="shared" si="1"/>
        <v>0.25195325766671139</v>
      </c>
      <c r="U37" s="9"/>
      <c r="V37" s="9"/>
      <c r="Y37" t="s">
        <v>210</v>
      </c>
      <c r="Z37" t="s">
        <v>211</v>
      </c>
      <c r="AA37" t="s">
        <v>212</v>
      </c>
    </row>
    <row r="38" spans="1:27" x14ac:dyDescent="0.3">
      <c r="A38" s="3" t="s">
        <v>175</v>
      </c>
      <c r="B38" s="4">
        <v>3.9359863124889749</v>
      </c>
      <c r="C38" s="4">
        <v>3.8727612030003704</v>
      </c>
      <c r="D38" s="4">
        <f t="shared" si="1"/>
        <v>6.3225109488604492E-2</v>
      </c>
      <c r="U38" s="9"/>
      <c r="V38" s="9"/>
      <c r="X38" s="3" t="s">
        <v>148</v>
      </c>
      <c r="Y38" s="7">
        <f>Z38+AA38</f>
        <v>33.148454538014654</v>
      </c>
      <c r="Z38" s="4">
        <v>0.25354605801465091</v>
      </c>
      <c r="AA38" s="4">
        <f>AA18*7</f>
        <v>32.894908480000005</v>
      </c>
    </row>
    <row r="39" spans="1:27" x14ac:dyDescent="0.3">
      <c r="U39" s="9"/>
      <c r="V39" s="9"/>
      <c r="X39" s="3" t="s">
        <v>149</v>
      </c>
      <c r="Y39" s="7">
        <f t="shared" ref="Y39:Y53" si="2">Z39+AA39</f>
        <v>192.97697419657032</v>
      </c>
      <c r="Z39" s="4">
        <v>1.1793085005703041</v>
      </c>
      <c r="AA39" s="4">
        <f t="shared" ref="AA39:AA53" si="3">AA19*7</f>
        <v>191.79766569600002</v>
      </c>
    </row>
    <row r="40" spans="1:27" x14ac:dyDescent="0.3">
      <c r="U40" s="9"/>
      <c r="V40" s="9"/>
      <c r="X40" s="3" t="s">
        <v>153</v>
      </c>
      <c r="Y40" s="7">
        <f t="shared" si="2"/>
        <v>34.507341242690813</v>
      </c>
      <c r="Z40" s="4">
        <v>1.8019506506908147</v>
      </c>
      <c r="AA40" s="4">
        <f t="shared" si="3"/>
        <v>32.705390592000001</v>
      </c>
    </row>
    <row r="41" spans="1:27" x14ac:dyDescent="0.3">
      <c r="U41" s="9"/>
      <c r="V41" s="9"/>
      <c r="X41" s="3" t="s">
        <v>157</v>
      </c>
      <c r="Y41" s="7">
        <f t="shared" si="2"/>
        <v>0.68472807095647603</v>
      </c>
      <c r="Z41" s="4">
        <v>0.64461863095647609</v>
      </c>
      <c r="AA41" s="4">
        <f t="shared" si="3"/>
        <v>4.0109439999999996E-2</v>
      </c>
    </row>
    <row r="42" spans="1:27" x14ac:dyDescent="0.3">
      <c r="U42" s="9"/>
      <c r="V42" s="9"/>
      <c r="X42" s="3" t="s">
        <v>158</v>
      </c>
      <c r="Y42" s="7">
        <f t="shared" si="2"/>
        <v>20.286407736265168</v>
      </c>
      <c r="Z42" s="4">
        <v>0.10119922426516759</v>
      </c>
      <c r="AA42" s="4">
        <f t="shared" si="3"/>
        <v>20.185208512000003</v>
      </c>
    </row>
    <row r="43" spans="1:27" x14ac:dyDescent="0.3">
      <c r="U43" s="9"/>
      <c r="V43" s="9"/>
      <c r="X43" s="3" t="s">
        <v>159</v>
      </c>
      <c r="Y43" s="7">
        <f t="shared" si="2"/>
        <v>30.791939320082093</v>
      </c>
      <c r="Z43" s="4">
        <v>0.14471738888209185</v>
      </c>
      <c r="AA43" s="4">
        <f t="shared" si="3"/>
        <v>30.647221931200001</v>
      </c>
    </row>
    <row r="44" spans="1:27" x14ac:dyDescent="0.3">
      <c r="A44" t="s">
        <v>195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7</v>
      </c>
      <c r="U44" s="9"/>
      <c r="V44" s="9"/>
      <c r="X44" s="3" t="s">
        <v>160</v>
      </c>
      <c r="Y44" s="7">
        <f t="shared" si="2"/>
        <v>2.2921826789605522</v>
      </c>
      <c r="Z44" s="4">
        <v>0.59759318936055261</v>
      </c>
      <c r="AA44" s="4">
        <f t="shared" si="3"/>
        <v>1.6945894895999998</v>
      </c>
    </row>
    <row r="45" spans="1:27" x14ac:dyDescent="0.3">
      <c r="A45" t="s">
        <v>194</v>
      </c>
      <c r="B45">
        <v>0.19706604538790495</v>
      </c>
      <c r="C45">
        <v>5.2421830000000003E-2</v>
      </c>
      <c r="D45">
        <v>6.4630800000000006E-4</v>
      </c>
      <c r="E45">
        <v>3.5593009010578E-3</v>
      </c>
      <c r="F45">
        <v>5.463E-4</v>
      </c>
      <c r="U45" s="9"/>
      <c r="V45" s="9"/>
      <c r="X45" s="3" t="s">
        <v>164</v>
      </c>
      <c r="Y45" s="7">
        <f t="shared" si="2"/>
        <v>9.2107389324044107</v>
      </c>
      <c r="Z45" s="4">
        <v>4.3240284100774549</v>
      </c>
      <c r="AA45" s="4">
        <f t="shared" si="3"/>
        <v>4.8867105223269567</v>
      </c>
    </row>
    <row r="46" spans="1:27" x14ac:dyDescent="0.3">
      <c r="A46" t="s">
        <v>179</v>
      </c>
      <c r="B46">
        <v>0.23921308417421555</v>
      </c>
      <c r="C46">
        <v>0.10079869999999999</v>
      </c>
      <c r="D46">
        <v>3.187278E-3</v>
      </c>
      <c r="E46">
        <v>4.8149542818345294E-3</v>
      </c>
      <c r="F46">
        <v>1.0907E-3</v>
      </c>
      <c r="U46" s="9"/>
      <c r="V46" s="9"/>
      <c r="X46" s="3" t="s">
        <v>168</v>
      </c>
      <c r="Y46" s="7">
        <f t="shared" si="2"/>
        <v>0.22155019418880392</v>
      </c>
      <c r="Z46" s="4">
        <v>8.3231409676300744E-2</v>
      </c>
      <c r="AA46" s="4">
        <f t="shared" si="3"/>
        <v>0.13831878451250318</v>
      </c>
    </row>
    <row r="47" spans="1:27" x14ac:dyDescent="0.3">
      <c r="A47" t="s">
        <v>213</v>
      </c>
      <c r="B47">
        <v>1.484173983900964</v>
      </c>
      <c r="C47">
        <v>3.9837585</v>
      </c>
      <c r="D47">
        <v>1.0151783999999999E-2</v>
      </c>
      <c r="E47">
        <v>8.8093064831982412E-3</v>
      </c>
      <c r="F47">
        <v>6.9312000000000002E-3</v>
      </c>
      <c r="U47" s="9"/>
      <c r="V47" s="9"/>
      <c r="X47" s="3" t="s">
        <v>169</v>
      </c>
      <c r="Y47" s="7">
        <f t="shared" si="2"/>
        <v>5.5106260693547522E-2</v>
      </c>
      <c r="Z47" s="4">
        <v>3.3712317517822027E-2</v>
      </c>
      <c r="AA47" s="4">
        <f t="shared" si="3"/>
        <v>2.1393943175725495E-2</v>
      </c>
    </row>
    <row r="48" spans="1:27" x14ac:dyDescent="0.3">
      <c r="A48" t="s">
        <v>214</v>
      </c>
      <c r="B48">
        <v>0.52875510249197122</v>
      </c>
      <c r="C48">
        <v>0.90788468</v>
      </c>
      <c r="D48">
        <v>2.5790999999999998E-5</v>
      </c>
      <c r="E48">
        <v>1.9853871787339616E-3</v>
      </c>
      <c r="F48">
        <v>2.0041199999999999E-4</v>
      </c>
      <c r="U48" s="9"/>
      <c r="V48" s="9"/>
      <c r="X48" s="3" t="s">
        <v>170</v>
      </c>
      <c r="Y48" s="7">
        <f t="shared" si="2"/>
        <v>2.7795786486986512E-3</v>
      </c>
      <c r="Z48" s="4">
        <v>2.6601422828664732E-3</v>
      </c>
      <c r="AA48" s="4">
        <f t="shared" si="3"/>
        <v>1.1943636583217793E-4</v>
      </c>
    </row>
    <row r="49" spans="1:27" x14ac:dyDescent="0.3">
      <c r="A49" t="s">
        <v>215</v>
      </c>
      <c r="B49">
        <v>0.1745550414912809</v>
      </c>
      <c r="C49">
        <v>6.0925441000000004E-2</v>
      </c>
      <c r="D49">
        <v>3.5974149999999996E-4</v>
      </c>
      <c r="E49">
        <v>6.9509849860121403E-4</v>
      </c>
      <c r="F49">
        <v>1.7243820000000003E-2</v>
      </c>
      <c r="U49" s="9"/>
      <c r="V49" s="9"/>
      <c r="X49" s="3" t="s">
        <v>171</v>
      </c>
      <c r="Y49" s="7">
        <f t="shared" si="2"/>
        <v>14.515420921994979</v>
      </c>
      <c r="Z49" s="4">
        <v>0.34663577111838206</v>
      </c>
      <c r="AA49" s="4">
        <f t="shared" si="3"/>
        <v>14.168785150876596</v>
      </c>
    </row>
    <row r="50" spans="1:27" x14ac:dyDescent="0.3">
      <c r="A50" t="s">
        <v>216</v>
      </c>
      <c r="B50">
        <v>0.17700155229851006</v>
      </c>
      <c r="C50">
        <v>0.25565475282656269</v>
      </c>
      <c r="D50">
        <v>1.0852541162204065E-3</v>
      </c>
      <c r="E50">
        <v>2.7794645113483319E-3</v>
      </c>
      <c r="F50">
        <v>0.1490747</v>
      </c>
      <c r="U50" s="9"/>
      <c r="V50" s="9"/>
      <c r="X50" s="3" t="s">
        <v>172</v>
      </c>
      <c r="Y50" s="7">
        <f t="shared" si="2"/>
        <v>44.896993898053445</v>
      </c>
      <c r="Z50" s="4">
        <v>0.17963129403751044</v>
      </c>
      <c r="AA50" s="4">
        <f t="shared" si="3"/>
        <v>44.717362604015932</v>
      </c>
    </row>
    <row r="51" spans="1:27" x14ac:dyDescent="0.3">
      <c r="A51" t="s">
        <v>217</v>
      </c>
      <c r="B51">
        <v>0.38779225405452472</v>
      </c>
      <c r="C51">
        <v>0.1628553927171264</v>
      </c>
      <c r="D51">
        <v>1.7082992157129426E-2</v>
      </c>
      <c r="E51">
        <v>5.9499999999999996E-3</v>
      </c>
      <c r="F51">
        <v>1.1301E-3</v>
      </c>
      <c r="U51" s="9"/>
      <c r="V51" s="9"/>
      <c r="X51" s="3" t="s">
        <v>173</v>
      </c>
      <c r="Y51" s="7">
        <f t="shared" si="2"/>
        <v>128.48078382680856</v>
      </c>
      <c r="Z51" s="4">
        <v>0.76648301077068126</v>
      </c>
      <c r="AA51" s="4">
        <f t="shared" si="3"/>
        <v>127.71430081603788</v>
      </c>
    </row>
    <row r="52" spans="1:27" x14ac:dyDescent="0.3">
      <c r="A52" t="s">
        <v>218</v>
      </c>
      <c r="B52">
        <v>3.9277642382916662</v>
      </c>
      <c r="C52">
        <v>6.6667508013783561</v>
      </c>
      <c r="D52">
        <v>1.0138144842242446E-4</v>
      </c>
      <c r="E52">
        <v>1.584E-4</v>
      </c>
      <c r="F52">
        <v>1.1420000000000001E-5</v>
      </c>
      <c r="U52" s="9"/>
      <c r="V52" s="9"/>
      <c r="X52" s="3" t="s">
        <v>174</v>
      </c>
      <c r="Y52" s="7">
        <f t="shared" si="2"/>
        <v>13.185021672411953</v>
      </c>
      <c r="Z52" s="4">
        <v>12.880662137150566</v>
      </c>
      <c r="AA52" s="4">
        <f t="shared" si="3"/>
        <v>0.30435953526138726</v>
      </c>
    </row>
    <row r="53" spans="1:27" x14ac:dyDescent="0.3">
      <c r="A53" t="s">
        <v>219</v>
      </c>
      <c r="B53">
        <v>0.40244684256431879</v>
      </c>
      <c r="C53">
        <v>3.3520115271516175</v>
      </c>
      <c r="D53">
        <v>2.6475328443596464E-4</v>
      </c>
      <c r="E53">
        <v>0.11801579999999999</v>
      </c>
      <c r="F53">
        <v>2.228E-5</v>
      </c>
      <c r="U53" s="9"/>
      <c r="V53" s="9"/>
      <c r="X53" s="3" t="s">
        <v>175</v>
      </c>
      <c r="Y53" s="7">
        <f t="shared" si="2"/>
        <v>5.3598381190646727</v>
      </c>
      <c r="Z53" s="4">
        <v>5.273750809984989</v>
      </c>
      <c r="AA53" s="4">
        <f t="shared" si="3"/>
        <v>8.6087309079683594E-2</v>
      </c>
    </row>
    <row r="54" spans="1:27" x14ac:dyDescent="0.3">
      <c r="U54" s="9"/>
      <c r="V54" s="9"/>
    </row>
    <row r="55" spans="1:27" x14ac:dyDescent="0.3">
      <c r="U55" s="9"/>
      <c r="V55" s="9"/>
    </row>
    <row r="56" spans="1:27" x14ac:dyDescent="0.3">
      <c r="U56" s="9"/>
      <c r="V56" s="9"/>
    </row>
    <row r="57" spans="1:27" x14ac:dyDescent="0.3">
      <c r="U57" s="9"/>
      <c r="V57" s="9"/>
    </row>
    <row r="58" spans="1:27" x14ac:dyDescent="0.3">
      <c r="U58" s="9"/>
      <c r="V58" s="9"/>
    </row>
    <row r="59" spans="1:27" x14ac:dyDescent="0.3">
      <c r="U59" s="9"/>
      <c r="V59" s="9"/>
    </row>
    <row r="60" spans="1:27" x14ac:dyDescent="0.3">
      <c r="U60" s="9"/>
      <c r="V60" s="9"/>
    </row>
    <row r="61" spans="1:27" x14ac:dyDescent="0.3">
      <c r="U61" s="9"/>
      <c r="V61" s="9"/>
    </row>
    <row r="62" spans="1:27" x14ac:dyDescent="0.3">
      <c r="U62" s="9"/>
      <c r="V62" s="9"/>
    </row>
    <row r="63" spans="1:27" x14ac:dyDescent="0.3">
      <c r="U63" s="9"/>
      <c r="V63" s="9"/>
    </row>
    <row r="64" spans="1:27" x14ac:dyDescent="0.3">
      <c r="U64" s="9"/>
      <c r="V64" s="9"/>
    </row>
    <row r="65" spans="1:22" x14ac:dyDescent="0.3">
      <c r="U65" s="9"/>
      <c r="V65" s="9"/>
    </row>
    <row r="66" spans="1:22" x14ac:dyDescent="0.3">
      <c r="U66" s="9"/>
      <c r="V66" s="9"/>
    </row>
    <row r="67" spans="1:22" x14ac:dyDescent="0.3">
      <c r="U67" s="9"/>
      <c r="V67" s="9"/>
    </row>
    <row r="68" spans="1:22" x14ac:dyDescent="0.3">
      <c r="U68" s="9"/>
      <c r="V68" s="9"/>
    </row>
    <row r="69" spans="1:22" x14ac:dyDescent="0.3">
      <c r="U69" s="9"/>
      <c r="V69" s="9"/>
    </row>
    <row r="70" spans="1:22" x14ac:dyDescent="0.3">
      <c r="U70" s="9"/>
      <c r="V70" s="9"/>
    </row>
    <row r="71" spans="1:22" x14ac:dyDescent="0.3">
      <c r="U71" s="9"/>
      <c r="V71" s="9"/>
    </row>
    <row r="72" spans="1:22" x14ac:dyDescent="0.3">
      <c r="U72" s="9"/>
      <c r="V72" s="9"/>
    </row>
    <row r="73" spans="1:22" x14ac:dyDescent="0.3">
      <c r="U73" s="9"/>
      <c r="V73" s="9"/>
    </row>
    <row r="74" spans="1:22" x14ac:dyDescent="0.3">
      <c r="U74" s="9"/>
      <c r="V74" s="9"/>
    </row>
    <row r="75" spans="1:22" x14ac:dyDescent="0.3">
      <c r="U75" s="9"/>
      <c r="V75" s="9"/>
    </row>
    <row r="76" spans="1:22" x14ac:dyDescent="0.3">
      <c r="U76" s="9"/>
      <c r="V76" s="9"/>
    </row>
    <row r="77" spans="1:22" x14ac:dyDescent="0.3">
      <c r="B77" t="s">
        <v>220</v>
      </c>
      <c r="U77" s="9"/>
      <c r="V77" s="9"/>
    </row>
    <row r="78" spans="1:22" x14ac:dyDescent="0.3">
      <c r="A78" s="2" t="s">
        <v>221</v>
      </c>
      <c r="B78">
        <v>0.23921308417421555</v>
      </c>
      <c r="U78" s="9"/>
      <c r="V78" s="9"/>
    </row>
    <row r="79" spans="1:22" x14ac:dyDescent="0.3">
      <c r="A79" s="2" t="s">
        <v>2</v>
      </c>
      <c r="B79">
        <v>0.10079869999999999</v>
      </c>
      <c r="U79" s="9"/>
      <c r="V79" s="9"/>
    </row>
    <row r="80" spans="1:22" x14ac:dyDescent="0.3">
      <c r="A80" s="2" t="s">
        <v>3</v>
      </c>
      <c r="B80">
        <v>3.187278E-3</v>
      </c>
      <c r="U80" s="9"/>
      <c r="V80" s="9"/>
    </row>
    <row r="81" spans="1:22" x14ac:dyDescent="0.3">
      <c r="A81" s="2" t="s">
        <v>4</v>
      </c>
      <c r="B81">
        <v>4.8149542818345294E-3</v>
      </c>
      <c r="U81" s="9"/>
      <c r="V81" s="9"/>
    </row>
    <row r="82" spans="1:22" x14ac:dyDescent="0.3">
      <c r="A82" s="2" t="s">
        <v>7</v>
      </c>
      <c r="B82">
        <v>1.0907E-3</v>
      </c>
      <c r="U82" s="9"/>
      <c r="V82" s="9"/>
    </row>
    <row r="83" spans="1:22" x14ac:dyDescent="0.3">
      <c r="A83" s="2"/>
      <c r="U83" s="9"/>
      <c r="V83" s="9"/>
    </row>
    <row r="84" spans="1:22" x14ac:dyDescent="0.3">
      <c r="A84" s="2"/>
      <c r="U84" s="9"/>
      <c r="V84" s="9"/>
    </row>
    <row r="85" spans="1:22" x14ac:dyDescent="0.3">
      <c r="A85" s="2"/>
      <c r="U85" s="9"/>
      <c r="V85" s="9"/>
    </row>
    <row r="86" spans="1:22" x14ac:dyDescent="0.3">
      <c r="A86" s="2"/>
      <c r="U86" s="9"/>
      <c r="V86" s="9"/>
    </row>
    <row r="87" spans="1:22" x14ac:dyDescent="0.3">
      <c r="A87" s="2"/>
      <c r="C87" t="s">
        <v>220</v>
      </c>
      <c r="U87" s="9"/>
      <c r="V87" s="9"/>
    </row>
    <row r="88" spans="1:22" x14ac:dyDescent="0.3">
      <c r="A88" s="2" t="s">
        <v>33</v>
      </c>
      <c r="B88">
        <v>4.9590806567936005E-2</v>
      </c>
      <c r="C88" s="8">
        <f>B88/$B$78</f>
        <v>0.20730808575596021</v>
      </c>
      <c r="U88" s="9"/>
      <c r="V88" s="9"/>
    </row>
    <row r="89" spans="1:22" x14ac:dyDescent="0.3">
      <c r="A89" s="2" t="s">
        <v>11</v>
      </c>
      <c r="B89">
        <v>3.6021699999999997E-2</v>
      </c>
      <c r="C89" s="8">
        <f t="shared" ref="C89:C97" si="4">B89/$B$78</f>
        <v>0.15058415439251599</v>
      </c>
      <c r="U89" s="9"/>
      <c r="V89" s="9"/>
    </row>
    <row r="90" spans="1:22" x14ac:dyDescent="0.3">
      <c r="A90" s="2" t="s">
        <v>222</v>
      </c>
      <c r="B90">
        <v>2.6721889999999998E-2</v>
      </c>
      <c r="C90" s="8">
        <f t="shared" si="4"/>
        <v>0.11170747658827399</v>
      </c>
      <c r="U90" s="9"/>
      <c r="V90" s="9"/>
    </row>
    <row r="91" spans="1:22" x14ac:dyDescent="0.3">
      <c r="A91" s="2" t="s">
        <v>36</v>
      </c>
      <c r="B91">
        <v>2.1249630006813736E-2</v>
      </c>
      <c r="C91" s="8">
        <f t="shared" si="4"/>
        <v>8.8831386795456088E-2</v>
      </c>
      <c r="U91" s="9"/>
      <c r="V91" s="9"/>
    </row>
    <row r="92" spans="1:22" x14ac:dyDescent="0.3">
      <c r="A92" s="2" t="s">
        <v>31</v>
      </c>
      <c r="B92">
        <v>2.0334526264921219E-2</v>
      </c>
      <c r="C92" s="8">
        <f t="shared" si="4"/>
        <v>8.5005911508217777E-2</v>
      </c>
      <c r="U92" s="9"/>
      <c r="V92" s="9"/>
    </row>
    <row r="93" spans="1:22" x14ac:dyDescent="0.3">
      <c r="A93" s="2" t="s">
        <v>43</v>
      </c>
      <c r="B93">
        <v>1.2309807194081443E-2</v>
      </c>
      <c r="C93" s="8">
        <f t="shared" si="4"/>
        <v>5.1459589832119644E-2</v>
      </c>
      <c r="U93" s="9"/>
      <c r="V93" s="9"/>
    </row>
    <row r="94" spans="1:22" x14ac:dyDescent="0.3">
      <c r="A94" s="2" t="s">
        <v>37</v>
      </c>
      <c r="B94">
        <v>9.5713775684841754E-3</v>
      </c>
      <c r="C94" s="8">
        <f t="shared" si="4"/>
        <v>4.0011931627926649E-2</v>
      </c>
      <c r="U94" s="9"/>
      <c r="V94" s="9"/>
    </row>
    <row r="95" spans="1:22" x14ac:dyDescent="0.3">
      <c r="A95" s="2" t="s">
        <v>223</v>
      </c>
      <c r="B95">
        <v>8.5427275336599495E-3</v>
      </c>
      <c r="C95" s="8">
        <f t="shared" si="4"/>
        <v>3.5711790444699923E-2</v>
      </c>
      <c r="U95" s="9"/>
      <c r="V95" s="9"/>
    </row>
    <row r="96" spans="1:22" x14ac:dyDescent="0.3">
      <c r="A96" s="2" t="s">
        <v>35</v>
      </c>
      <c r="B96">
        <v>5.7765995086018007E-3</v>
      </c>
      <c r="C96" s="8">
        <f t="shared" si="4"/>
        <v>2.414834258980075E-2</v>
      </c>
      <c r="U96" s="9"/>
      <c r="V96" s="9"/>
    </row>
    <row r="97" spans="1:22" x14ac:dyDescent="0.3">
      <c r="A97" s="2" t="s">
        <v>16</v>
      </c>
      <c r="B97">
        <v>5.5190999999999999E-3</v>
      </c>
      <c r="C97" s="8">
        <f t="shared" si="4"/>
        <v>2.3071898508613835E-2</v>
      </c>
      <c r="U97" s="9"/>
      <c r="V97" s="9"/>
    </row>
    <row r="98" spans="1:22" x14ac:dyDescent="0.3">
      <c r="U98" s="9"/>
      <c r="V98" s="9"/>
    </row>
    <row r="99" spans="1:22" x14ac:dyDescent="0.3">
      <c r="U99" s="9"/>
      <c r="V99" s="9"/>
    </row>
    <row r="100" spans="1:22" x14ac:dyDescent="0.3">
      <c r="U100" s="9"/>
      <c r="V100" s="9"/>
    </row>
    <row r="101" spans="1:22" x14ac:dyDescent="0.3">
      <c r="U101" s="9"/>
      <c r="V101" s="9"/>
    </row>
    <row r="102" spans="1:22" x14ac:dyDescent="0.3">
      <c r="C102" t="s">
        <v>220</v>
      </c>
      <c r="U102" s="9"/>
      <c r="V102" s="9"/>
    </row>
    <row r="103" spans="1:22" x14ac:dyDescent="0.3">
      <c r="A103" s="2" t="s">
        <v>70</v>
      </c>
      <c r="B103">
        <v>8.3065150106470795E-2</v>
      </c>
      <c r="C103" s="8">
        <f t="shared" ref="C103:C108" si="5">B103/$B$78</f>
        <v>0.34724333910588101</v>
      </c>
      <c r="U103" s="9"/>
      <c r="V103" s="9"/>
    </row>
    <row r="104" spans="1:22" x14ac:dyDescent="0.3">
      <c r="A104" s="2" t="s">
        <v>11</v>
      </c>
      <c r="B104">
        <v>3.5900000000000001E-2</v>
      </c>
      <c r="C104" s="8">
        <f t="shared" si="5"/>
        <v>0.15007540295686558</v>
      </c>
      <c r="U104" s="9"/>
      <c r="V104" s="9"/>
    </row>
    <row r="105" spans="1:22" x14ac:dyDescent="0.3">
      <c r="A105" s="2" t="s">
        <v>13</v>
      </c>
      <c r="B105">
        <v>2.6599999999999999E-2</v>
      </c>
      <c r="C105" s="8">
        <f t="shared" si="5"/>
        <v>0.11119793088168868</v>
      </c>
      <c r="U105" s="9"/>
      <c r="V105" s="9"/>
    </row>
    <row r="106" spans="1:22" x14ac:dyDescent="0.3">
      <c r="A106" s="2" t="s">
        <v>57</v>
      </c>
      <c r="B106">
        <v>2.2618782347641163E-2</v>
      </c>
      <c r="C106" s="8">
        <f t="shared" si="5"/>
        <v>9.4554954741389557E-2</v>
      </c>
      <c r="U106" s="9"/>
      <c r="V106" s="9"/>
    </row>
    <row r="107" spans="1:22" x14ac:dyDescent="0.3">
      <c r="A107" s="2" t="s">
        <v>72</v>
      </c>
      <c r="B107">
        <v>1.538070722112655E-2</v>
      </c>
      <c r="C107" s="8">
        <f t="shared" si="5"/>
        <v>6.4297098439335343E-2</v>
      </c>
      <c r="U107" s="9"/>
      <c r="V107" s="9"/>
    </row>
    <row r="108" spans="1:22" x14ac:dyDescent="0.3">
      <c r="A108" s="2" t="s">
        <v>73</v>
      </c>
      <c r="B108">
        <v>1.3334685285217321E-2</v>
      </c>
      <c r="C108" s="8">
        <f t="shared" si="5"/>
        <v>5.5743962882506277E-2</v>
      </c>
      <c r="U108" s="9"/>
      <c r="V108" s="9"/>
    </row>
    <row r="109" spans="1:22" x14ac:dyDescent="0.3">
      <c r="U109" s="9"/>
      <c r="V109" s="9"/>
    </row>
    <row r="110" spans="1:22" x14ac:dyDescent="0.3">
      <c r="U110" s="9"/>
      <c r="V110" s="9"/>
    </row>
    <row r="111" spans="1:22" x14ac:dyDescent="0.3">
      <c r="U111" s="9"/>
      <c r="V111" s="9"/>
    </row>
    <row r="112" spans="1:22" x14ac:dyDescent="0.3">
      <c r="U112" s="9"/>
      <c r="V112" s="9"/>
    </row>
    <row r="113" spans="1:22" x14ac:dyDescent="0.3">
      <c r="U113" s="9"/>
      <c r="V113" s="9"/>
    </row>
    <row r="114" spans="1:22" x14ac:dyDescent="0.3">
      <c r="A114" s="2"/>
      <c r="U114" s="9"/>
      <c r="V114" s="9"/>
    </row>
    <row r="115" spans="1:22" x14ac:dyDescent="0.3">
      <c r="A115" s="6"/>
      <c r="B115" s="7"/>
      <c r="U115" s="9"/>
      <c r="V115" s="9"/>
    </row>
    <row r="116" spans="1:22" x14ac:dyDescent="0.3">
      <c r="U116" s="9"/>
      <c r="V116" s="9"/>
    </row>
    <row r="117" spans="1:22" x14ac:dyDescent="0.3">
      <c r="U117" s="9"/>
      <c r="V117" s="9"/>
    </row>
    <row r="118" spans="1:22" x14ac:dyDescent="0.3">
      <c r="U118" s="9"/>
      <c r="V118" s="9"/>
    </row>
    <row r="119" spans="1:22" x14ac:dyDescent="0.3">
      <c r="U119" s="9"/>
      <c r="V119" s="9"/>
    </row>
    <row r="120" spans="1:22" x14ac:dyDescent="0.3">
      <c r="U120" s="9"/>
      <c r="V120" s="9"/>
    </row>
    <row r="121" spans="1:22" x14ac:dyDescent="0.3">
      <c r="U121" s="9"/>
      <c r="V121" s="9"/>
    </row>
    <row r="122" spans="1:22" x14ac:dyDescent="0.3">
      <c r="U122" s="9"/>
      <c r="V122" s="9"/>
    </row>
    <row r="123" spans="1:22" x14ac:dyDescent="0.3">
      <c r="U123" s="9"/>
      <c r="V123" s="9"/>
    </row>
    <row r="124" spans="1:22" x14ac:dyDescent="0.3">
      <c r="U124" s="9"/>
      <c r="V124" s="9"/>
    </row>
    <row r="125" spans="1:22" x14ac:dyDescent="0.3">
      <c r="U125" s="9"/>
      <c r="V125" s="9"/>
    </row>
    <row r="126" spans="1:22" x14ac:dyDescent="0.3">
      <c r="U126" s="9"/>
      <c r="V126" s="9"/>
    </row>
    <row r="127" spans="1:22" x14ac:dyDescent="0.3">
      <c r="U127" s="9"/>
      <c r="V127" s="9"/>
    </row>
    <row r="128" spans="1:22" x14ac:dyDescent="0.3">
      <c r="U128" s="9"/>
      <c r="V128" s="9"/>
    </row>
    <row r="129" spans="21:22" x14ac:dyDescent="0.3">
      <c r="U129" s="9"/>
      <c r="V129" s="9"/>
    </row>
    <row r="130" spans="21:22" x14ac:dyDescent="0.3">
      <c r="U130" s="9"/>
      <c r="V130" s="9"/>
    </row>
    <row r="131" spans="21:22" x14ac:dyDescent="0.3">
      <c r="U131" s="9"/>
      <c r="V131" s="9"/>
    </row>
    <row r="132" spans="21:22" x14ac:dyDescent="0.3">
      <c r="U132" s="9"/>
      <c r="V132" s="9"/>
    </row>
    <row r="133" spans="21:22" x14ac:dyDescent="0.3">
      <c r="U133" s="9"/>
      <c r="V133" s="9"/>
    </row>
    <row r="134" spans="21:22" x14ac:dyDescent="0.3">
      <c r="U134" s="9"/>
      <c r="V134" s="9"/>
    </row>
  </sheetData>
  <mergeCells count="2">
    <mergeCell ref="A2:G10"/>
    <mergeCell ref="X2:AD10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44"/>
  <sheetViews>
    <sheetView topLeftCell="A201" zoomScale="85" zoomScaleNormal="85" workbookViewId="0">
      <selection activeCell="F23" sqref="F23"/>
    </sheetView>
  </sheetViews>
  <sheetFormatPr baseColWidth="10" defaultColWidth="11.44140625" defaultRowHeight="14.4" x14ac:dyDescent="0.3"/>
  <cols>
    <col min="1" max="1" width="45.33203125" bestFit="1" customWidth="1"/>
    <col min="2" max="2" width="31.88671875" customWidth="1"/>
    <col min="4" max="4" width="31.33203125" customWidth="1"/>
    <col min="6" max="6" width="30.33203125" bestFit="1" customWidth="1"/>
    <col min="7" max="7" width="16.44140625" bestFit="1" customWidth="1"/>
  </cols>
  <sheetData>
    <row r="1" spans="1:22" x14ac:dyDescent="0.3">
      <c r="U1" s="9"/>
      <c r="V1" s="9"/>
    </row>
    <row r="2" spans="1:22" ht="14.4" customHeight="1" x14ac:dyDescent="0.3">
      <c r="A2" s="21" t="s">
        <v>209</v>
      </c>
      <c r="B2" s="21"/>
      <c r="C2" s="21"/>
      <c r="D2" s="21"/>
      <c r="E2" s="21"/>
      <c r="F2" s="21"/>
      <c r="G2" s="21"/>
      <c r="U2" s="9"/>
      <c r="V2" s="9"/>
    </row>
    <row r="3" spans="1:22" ht="14.4" customHeight="1" x14ac:dyDescent="0.3">
      <c r="A3" s="21"/>
      <c r="B3" s="21"/>
      <c r="C3" s="21"/>
      <c r="D3" s="21"/>
      <c r="E3" s="21"/>
      <c r="F3" s="21"/>
      <c r="G3" s="21"/>
      <c r="U3" s="9"/>
      <c r="V3" s="9"/>
    </row>
    <row r="4" spans="1:22" ht="14.4" customHeight="1" x14ac:dyDescent="0.3">
      <c r="A4" s="21"/>
      <c r="B4" s="21"/>
      <c r="C4" s="21"/>
      <c r="D4" s="21"/>
      <c r="E4" s="21"/>
      <c r="F4" s="21"/>
      <c r="G4" s="21"/>
      <c r="U4" s="9"/>
      <c r="V4" s="9"/>
    </row>
    <row r="5" spans="1:22" ht="14.4" customHeight="1" x14ac:dyDescent="0.3">
      <c r="A5" s="21"/>
      <c r="B5" s="21"/>
      <c r="C5" s="21"/>
      <c r="D5" s="21"/>
      <c r="E5" s="21"/>
      <c r="F5" s="21"/>
      <c r="G5" s="21"/>
      <c r="U5" s="9"/>
      <c r="V5" s="9"/>
    </row>
    <row r="6" spans="1:22" ht="14.4" customHeight="1" x14ac:dyDescent="0.3">
      <c r="A6" s="21"/>
      <c r="B6" s="21"/>
      <c r="C6" s="21"/>
      <c r="D6" s="21"/>
      <c r="E6" s="21"/>
      <c r="F6" s="21"/>
      <c r="G6" s="21"/>
      <c r="U6" s="9"/>
      <c r="V6" s="9"/>
    </row>
    <row r="7" spans="1:22" ht="14.4" customHeight="1" x14ac:dyDescent="0.3">
      <c r="A7" s="21"/>
      <c r="B7" s="21"/>
      <c r="C7" s="21"/>
      <c r="D7" s="21"/>
      <c r="E7" s="21"/>
      <c r="F7" s="21"/>
      <c r="G7" s="21"/>
      <c r="U7" s="9"/>
      <c r="V7" s="9"/>
    </row>
    <row r="8" spans="1:22" ht="14.4" customHeight="1" x14ac:dyDescent="0.3">
      <c r="A8" s="21"/>
      <c r="B8" s="21"/>
      <c r="C8" s="21"/>
      <c r="D8" s="21"/>
      <c r="E8" s="21"/>
      <c r="F8" s="21"/>
      <c r="G8" s="21"/>
      <c r="U8" s="9"/>
      <c r="V8" s="9"/>
    </row>
    <row r="9" spans="1:22" ht="14.4" customHeight="1" x14ac:dyDescent="0.3">
      <c r="A9" s="21"/>
      <c r="B9" s="21"/>
      <c r="C9" s="21"/>
      <c r="D9" s="21"/>
      <c r="E9" s="21"/>
      <c r="F9" s="21"/>
      <c r="G9" s="21"/>
      <c r="U9" s="9"/>
      <c r="V9" s="9"/>
    </row>
    <row r="10" spans="1:22" ht="14.4" customHeight="1" x14ac:dyDescent="0.3">
      <c r="A10" s="21"/>
      <c r="B10" s="21"/>
      <c r="C10" s="21"/>
      <c r="D10" s="21"/>
      <c r="E10" s="21"/>
      <c r="F10" s="21"/>
      <c r="G10" s="21"/>
      <c r="U10" s="9"/>
      <c r="V10" s="9"/>
    </row>
    <row r="11" spans="1:22" x14ac:dyDescent="0.3">
      <c r="A11" s="2"/>
      <c r="U11" s="9"/>
      <c r="V11" s="9"/>
    </row>
    <row r="12" spans="1:22" x14ac:dyDescent="0.3">
      <c r="A12" s="2"/>
      <c r="U12" s="9"/>
      <c r="V12" s="9"/>
    </row>
    <row r="13" spans="1:22" x14ac:dyDescent="0.3">
      <c r="A13" s="2"/>
      <c r="U13" s="9"/>
      <c r="V13" s="9"/>
    </row>
    <row r="14" spans="1:22" x14ac:dyDescent="0.3">
      <c r="A14" s="2"/>
      <c r="U14" s="9"/>
      <c r="V14" s="9"/>
    </row>
    <row r="15" spans="1:22" x14ac:dyDescent="0.3">
      <c r="A15" s="2"/>
      <c r="U15" s="9"/>
      <c r="V15" s="9"/>
    </row>
    <row r="16" spans="1:22" x14ac:dyDescent="0.3">
      <c r="U16" s="9"/>
      <c r="V16" s="9"/>
    </row>
    <row r="17" spans="1:22" x14ac:dyDescent="0.3">
      <c r="U17" s="9"/>
      <c r="V17" s="9"/>
    </row>
    <row r="18" spans="1:22" x14ac:dyDescent="0.3">
      <c r="U18" s="9"/>
      <c r="V18" s="9"/>
    </row>
    <row r="19" spans="1:22" x14ac:dyDescent="0.3">
      <c r="A19" s="3"/>
      <c r="B19" s="4"/>
      <c r="U19" s="9"/>
      <c r="V19" s="9"/>
    </row>
    <row r="20" spans="1:22" x14ac:dyDescent="0.3">
      <c r="U20" s="9"/>
      <c r="V20" s="9"/>
    </row>
    <row r="21" spans="1:22" x14ac:dyDescent="0.3">
      <c r="U21" s="9"/>
      <c r="V21" s="9"/>
    </row>
    <row r="22" spans="1:22" x14ac:dyDescent="0.3">
      <c r="B22" t="s">
        <v>210</v>
      </c>
      <c r="C22" t="s">
        <v>224</v>
      </c>
      <c r="D22" t="s">
        <v>211</v>
      </c>
      <c r="E22" t="s">
        <v>212</v>
      </c>
      <c r="G22" s="3"/>
      <c r="H22" s="10"/>
      <c r="U22" s="9"/>
      <c r="V22" s="9"/>
    </row>
    <row r="23" spans="1:22" x14ac:dyDescent="0.3">
      <c r="A23" s="3" t="s">
        <v>148</v>
      </c>
      <c r="B23" s="11">
        <v>33.147114346014703</v>
      </c>
      <c r="C23" s="11">
        <f>B23*16</f>
        <v>530.35382953623525</v>
      </c>
      <c r="D23" s="10">
        <v>0.252205866014651</v>
      </c>
      <c r="E23" s="20">
        <f t="shared" ref="E23:E38" si="0">B23-D23</f>
        <v>32.894908480000055</v>
      </c>
      <c r="F23" s="4"/>
      <c r="G23" s="3"/>
      <c r="H23" s="10"/>
      <c r="U23" s="9"/>
      <c r="V23" s="9"/>
    </row>
    <row r="24" spans="1:22" x14ac:dyDescent="0.3">
      <c r="A24" s="3" t="s">
        <v>149</v>
      </c>
      <c r="B24" s="11">
        <v>192.97400894857</v>
      </c>
      <c r="C24" s="11">
        <f t="shared" ref="C24:C38" si="1">B24*16</f>
        <v>3087.58414317712</v>
      </c>
      <c r="D24" s="10">
        <v>1.1763432525703099</v>
      </c>
      <c r="E24" s="20">
        <f t="shared" si="0"/>
        <v>191.79766569599968</v>
      </c>
      <c r="G24" s="3"/>
      <c r="H24" s="10"/>
      <c r="U24" s="9"/>
      <c r="V24" s="9"/>
    </row>
    <row r="25" spans="1:22" x14ac:dyDescent="0.3">
      <c r="A25" s="3" t="s">
        <v>153</v>
      </c>
      <c r="B25" s="11">
        <v>34.393093562690801</v>
      </c>
      <c r="C25" s="11">
        <f t="shared" si="1"/>
        <v>550.28949700305282</v>
      </c>
      <c r="D25" s="10">
        <v>1.68770297069081</v>
      </c>
      <c r="E25" s="20">
        <f t="shared" si="0"/>
        <v>32.705390591999993</v>
      </c>
      <c r="G25" s="3"/>
      <c r="H25" s="10"/>
      <c r="U25" s="9"/>
      <c r="V25" s="9"/>
    </row>
    <row r="26" spans="1:22" x14ac:dyDescent="0.3">
      <c r="A26" s="3" t="s">
        <v>157</v>
      </c>
      <c r="B26" s="11">
        <v>0.68471485495647599</v>
      </c>
      <c r="C26" s="11">
        <f t="shared" si="1"/>
        <v>10.955437679303616</v>
      </c>
      <c r="D26" s="10">
        <v>0.64460541495647605</v>
      </c>
      <c r="E26" s="4">
        <f t="shared" si="0"/>
        <v>4.0109439999999941E-2</v>
      </c>
      <c r="G26" s="3"/>
      <c r="H26" s="10"/>
      <c r="U26" s="9"/>
      <c r="V26" s="9"/>
    </row>
    <row r="27" spans="1:22" x14ac:dyDescent="0.3">
      <c r="A27" s="3" t="s">
        <v>158</v>
      </c>
      <c r="B27" s="11">
        <v>20.2861680946652</v>
      </c>
      <c r="C27" s="11">
        <f t="shared" si="1"/>
        <v>324.5786895146432</v>
      </c>
      <c r="D27" s="10">
        <v>0.100959582665168</v>
      </c>
      <c r="E27" s="4">
        <f t="shared" si="0"/>
        <v>20.185208512000031</v>
      </c>
      <c r="G27" s="3"/>
      <c r="H27" s="10"/>
      <c r="U27" s="9"/>
      <c r="V27" s="9"/>
    </row>
    <row r="28" spans="1:22" x14ac:dyDescent="0.3">
      <c r="A28" s="3" t="s">
        <v>159</v>
      </c>
      <c r="B28" s="11">
        <v>30.7915706944821</v>
      </c>
      <c r="C28" s="11">
        <f t="shared" si="1"/>
        <v>492.66513111171361</v>
      </c>
      <c r="D28" s="10">
        <v>0.14434876328209201</v>
      </c>
      <c r="E28" s="4">
        <f t="shared" si="0"/>
        <v>30.647221931200008</v>
      </c>
      <c r="G28" s="3"/>
      <c r="H28" s="10"/>
      <c r="U28" s="9"/>
      <c r="V28" s="9"/>
    </row>
    <row r="29" spans="1:22" x14ac:dyDescent="0.3">
      <c r="A29" s="3" t="s">
        <v>160</v>
      </c>
      <c r="B29" s="11">
        <v>1.78107742136055</v>
      </c>
      <c r="C29" s="11">
        <f t="shared" si="1"/>
        <v>28.4972387417688</v>
      </c>
      <c r="D29" s="10">
        <v>8.6487931760551903E-2</v>
      </c>
      <c r="E29" s="4">
        <f t="shared" si="0"/>
        <v>1.6945894895999982</v>
      </c>
      <c r="G29" s="3"/>
      <c r="H29" s="10"/>
      <c r="U29" s="9"/>
      <c r="V29" s="9"/>
    </row>
    <row r="30" spans="1:22" x14ac:dyDescent="0.3">
      <c r="A30" s="3" t="s">
        <v>164</v>
      </c>
      <c r="B30" s="11">
        <v>5.0591099033997304</v>
      </c>
      <c r="C30" s="11">
        <f t="shared" si="1"/>
        <v>80.945758454395687</v>
      </c>
      <c r="D30" s="10">
        <v>0.172399381072778</v>
      </c>
      <c r="E30" s="4">
        <f t="shared" si="0"/>
        <v>4.8867105223269522</v>
      </c>
      <c r="G30" s="3"/>
      <c r="H30" s="10"/>
      <c r="U30" s="9"/>
      <c r="V30" s="9"/>
    </row>
    <row r="31" spans="1:22" x14ac:dyDescent="0.3">
      <c r="A31" s="3" t="s">
        <v>168</v>
      </c>
      <c r="B31" s="11">
        <v>0.221485511553737</v>
      </c>
      <c r="C31" s="11">
        <f t="shared" si="1"/>
        <v>3.5437681848597919</v>
      </c>
      <c r="D31" s="10">
        <v>8.3166727041233901E-2</v>
      </c>
      <c r="E31" s="4">
        <f t="shared" si="0"/>
        <v>0.1383187845125031</v>
      </c>
      <c r="G31" s="3"/>
      <c r="H31" s="10"/>
      <c r="U31" s="9"/>
      <c r="V31" s="9"/>
    </row>
    <row r="32" spans="1:22" x14ac:dyDescent="0.3">
      <c r="A32" s="3" t="s">
        <v>169</v>
      </c>
      <c r="B32" s="11">
        <v>5.5096746050125399E-2</v>
      </c>
      <c r="C32" s="11">
        <f t="shared" si="1"/>
        <v>0.88154793680200638</v>
      </c>
      <c r="D32" s="10">
        <v>3.3702802874399897E-2</v>
      </c>
      <c r="E32" s="4">
        <f t="shared" si="0"/>
        <v>2.1393943175725502E-2</v>
      </c>
      <c r="G32" s="3"/>
      <c r="H32" s="10"/>
      <c r="U32" s="9"/>
      <c r="V32" s="9"/>
    </row>
    <row r="33" spans="1:22" x14ac:dyDescent="0.3">
      <c r="A33" s="3" t="s">
        <v>170</v>
      </c>
      <c r="B33" s="11">
        <v>2.7816262844428401E-3</v>
      </c>
      <c r="C33" s="11">
        <f t="shared" si="1"/>
        <v>4.4506020551085441E-2</v>
      </c>
      <c r="D33" s="10">
        <v>2.6621899186106599E-3</v>
      </c>
      <c r="E33" s="4">
        <f t="shared" si="0"/>
        <v>1.194363658321802E-4</v>
      </c>
      <c r="G33" s="3"/>
      <c r="H33" s="10"/>
      <c r="U33" s="9"/>
      <c r="V33" s="9"/>
    </row>
    <row r="34" spans="1:22" x14ac:dyDescent="0.3">
      <c r="A34" s="3" t="s">
        <v>171</v>
      </c>
      <c r="B34" s="11">
        <v>14.510010136376399</v>
      </c>
      <c r="C34" s="11">
        <f t="shared" si="1"/>
        <v>232.16016218202239</v>
      </c>
      <c r="D34" s="10">
        <v>0.34122498549977998</v>
      </c>
      <c r="E34" s="4">
        <f t="shared" si="0"/>
        <v>14.168785150876619</v>
      </c>
      <c r="G34" s="3"/>
      <c r="H34" s="10"/>
      <c r="U34" s="9"/>
      <c r="V34" s="9"/>
    </row>
    <row r="35" spans="1:22" x14ac:dyDescent="0.3">
      <c r="A35" s="3" t="s">
        <v>172</v>
      </c>
      <c r="B35" s="11">
        <v>44.896430390888902</v>
      </c>
      <c r="C35" s="11">
        <f t="shared" si="1"/>
        <v>718.34288625422244</v>
      </c>
      <c r="D35" s="10">
        <v>0.179067786872986</v>
      </c>
      <c r="E35" s="4">
        <f t="shared" si="0"/>
        <v>44.717362604015918</v>
      </c>
      <c r="G35" s="3"/>
      <c r="H35" s="10"/>
      <c r="U35" s="9"/>
      <c r="V35" s="9"/>
    </row>
    <row r="36" spans="1:22" x14ac:dyDescent="0.3">
      <c r="A36" s="3" t="s">
        <v>173</v>
      </c>
      <c r="B36" s="11">
        <v>128.4794888717</v>
      </c>
      <c r="C36" s="11">
        <f t="shared" si="1"/>
        <v>2055.6718219472</v>
      </c>
      <c r="D36" s="10">
        <v>0.76518805566199199</v>
      </c>
      <c r="E36" s="4">
        <f t="shared" si="0"/>
        <v>127.714300816038</v>
      </c>
      <c r="G36" s="3"/>
      <c r="H36" s="10"/>
      <c r="U36" s="9"/>
      <c r="V36" s="9"/>
    </row>
    <row r="37" spans="1:22" x14ac:dyDescent="0.3">
      <c r="A37" s="3" t="s">
        <v>174</v>
      </c>
      <c r="B37" s="11">
        <v>13.1028613145325</v>
      </c>
      <c r="C37" s="11">
        <f t="shared" si="1"/>
        <v>209.64578103252001</v>
      </c>
      <c r="D37" s="10">
        <v>12.798501779271101</v>
      </c>
      <c r="E37" s="4">
        <f t="shared" si="0"/>
        <v>0.30435953526139947</v>
      </c>
      <c r="G37" s="3"/>
      <c r="H37" s="10"/>
      <c r="U37" s="9"/>
      <c r="V37" s="9"/>
    </row>
    <row r="38" spans="1:22" x14ac:dyDescent="0.3">
      <c r="A38" s="3" t="s">
        <v>175</v>
      </c>
      <c r="B38" s="11">
        <v>5.3592389630849899</v>
      </c>
      <c r="C38" s="11">
        <f t="shared" si="1"/>
        <v>85.747823409359839</v>
      </c>
      <c r="D38" s="10">
        <v>5.2731516540053098</v>
      </c>
      <c r="E38" s="4">
        <f t="shared" si="0"/>
        <v>8.6087309079680097E-2</v>
      </c>
      <c r="U38" s="9"/>
      <c r="V38" s="9"/>
    </row>
    <row r="39" spans="1:22" x14ac:dyDescent="0.3">
      <c r="U39" s="9"/>
      <c r="V39" s="9"/>
    </row>
    <row r="40" spans="1:22" x14ac:dyDescent="0.3">
      <c r="B40" s="19">
        <f>SUM(B23:B38)</f>
        <v>525.7442513866107</v>
      </c>
      <c r="D40" s="4">
        <f>SUM(D23:D38)</f>
        <v>23.741719144158253</v>
      </c>
      <c r="E40" s="4">
        <f>SUM(E23:E38)</f>
        <v>502.00253224245239</v>
      </c>
      <c r="U40" s="9"/>
      <c r="V40" s="9"/>
    </row>
    <row r="41" spans="1:22" x14ac:dyDescent="0.3">
      <c r="U41" s="9"/>
      <c r="V41" s="9"/>
    </row>
    <row r="42" spans="1:22" x14ac:dyDescent="0.3">
      <c r="U42" s="9"/>
      <c r="V42" s="9"/>
    </row>
    <row r="43" spans="1:22" x14ac:dyDescent="0.3">
      <c r="U43" s="9"/>
      <c r="V43" s="9"/>
    </row>
    <row r="44" spans="1:22" x14ac:dyDescent="0.3">
      <c r="A44" t="s">
        <v>195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7</v>
      </c>
      <c r="G44" s="2" t="s">
        <v>225</v>
      </c>
      <c r="U44" s="9"/>
      <c r="V44" s="9"/>
    </row>
    <row r="45" spans="1:22" x14ac:dyDescent="0.3">
      <c r="A45" t="s">
        <v>194</v>
      </c>
      <c r="B45">
        <v>0.19548951702480158</v>
      </c>
      <c r="C45">
        <v>5.2002455359999998E-2</v>
      </c>
      <c r="D45">
        <v>6.4113753599999988E-4</v>
      </c>
      <c r="E45">
        <v>3.5308264938493381E-3</v>
      </c>
      <c r="F45">
        <v>5.4192960000000012E-4</v>
      </c>
      <c r="G45">
        <f>SUM(B45:F45)</f>
        <v>0.25220586601465095</v>
      </c>
      <c r="U45" s="9"/>
      <c r="V45" s="9"/>
    </row>
    <row r="46" spans="1:22" x14ac:dyDescent="0.3">
      <c r="A46" t="s">
        <v>179</v>
      </c>
      <c r="B46">
        <v>0.80605240843343606</v>
      </c>
      <c r="C46">
        <v>0.33965129952000006</v>
      </c>
      <c r="D46">
        <v>1.07398519488E-2</v>
      </c>
      <c r="E46">
        <v>1.6224469948069632E-2</v>
      </c>
      <c r="F46">
        <v>3.6752227199999998E-3</v>
      </c>
      <c r="G46">
        <f t="shared" ref="G46:G53" si="2">SUM(B46:F46)</f>
        <v>1.1763432525703057</v>
      </c>
      <c r="U46" s="9"/>
      <c r="V46" s="9"/>
    </row>
    <row r="47" spans="1:22" x14ac:dyDescent="0.3">
      <c r="A47" t="s">
        <v>213</v>
      </c>
      <c r="B47">
        <v>0.4559382478543762</v>
      </c>
      <c r="C47">
        <v>1.2238106111999998</v>
      </c>
      <c r="D47">
        <v>3.1186280447999997E-3</v>
      </c>
      <c r="E47">
        <v>2.7062189516384996E-3</v>
      </c>
      <c r="F47">
        <v>2.1292646399999997E-3</v>
      </c>
      <c r="G47">
        <f t="shared" si="2"/>
        <v>1.6877029706908144</v>
      </c>
      <c r="U47" s="9"/>
      <c r="V47" s="9"/>
    </row>
    <row r="48" spans="1:22" x14ac:dyDescent="0.3">
      <c r="A48" t="s">
        <v>214</v>
      </c>
      <c r="B48">
        <v>0.23688228591640331</v>
      </c>
      <c r="C48">
        <v>0.40673233664000003</v>
      </c>
      <c r="D48">
        <v>1.1554368E-5</v>
      </c>
      <c r="E48">
        <v>8.8945345607281483E-4</v>
      </c>
      <c r="F48">
        <v>8.9784575999999995E-5</v>
      </c>
      <c r="G48">
        <f t="shared" si="2"/>
        <v>0.64460541495647616</v>
      </c>
      <c r="U48" s="9"/>
      <c r="V48" s="9"/>
    </row>
    <row r="49" spans="1:22" x14ac:dyDescent="0.3">
      <c r="A49" t="s">
        <v>215</v>
      </c>
      <c r="B49">
        <v>5.9488358140228619E-2</v>
      </c>
      <c r="C49">
        <v>2.0763390292799996E-2</v>
      </c>
      <c r="D49">
        <v>1.2259990319999999E-4</v>
      </c>
      <c r="E49">
        <v>2.3688956832329376E-4</v>
      </c>
      <c r="F49">
        <v>5.8766938559999997E-3</v>
      </c>
      <c r="G49">
        <f t="shared" si="2"/>
        <v>8.6487931760551903E-2</v>
      </c>
      <c r="U49" s="9"/>
      <c r="V49" s="9"/>
    </row>
    <row r="50" spans="1:22" x14ac:dyDescent="0.3">
      <c r="A50" t="s">
        <v>216</v>
      </c>
      <c r="B50">
        <v>5.2109256996681369E-2</v>
      </c>
      <c r="C50">
        <v>7.5264759232140058E-2</v>
      </c>
      <c r="D50">
        <v>3.1949881181528766E-4</v>
      </c>
      <c r="E50">
        <v>8.1827435214094891E-4</v>
      </c>
      <c r="F50">
        <v>4.3887591679999997E-2</v>
      </c>
      <c r="G50">
        <f t="shared" si="2"/>
        <v>0.17239938107277766</v>
      </c>
      <c r="U50" s="9"/>
      <c r="V50" s="9"/>
    </row>
    <row r="51" spans="1:22" x14ac:dyDescent="0.3">
      <c r="A51" t="s">
        <v>217</v>
      </c>
      <c r="B51">
        <v>0.51622904859738306</v>
      </c>
      <c r="C51">
        <v>0.21679309878503863</v>
      </c>
      <c r="D51">
        <v>2.2740879159570692E-2</v>
      </c>
      <c r="E51">
        <v>7.9206399999999996E-3</v>
      </c>
      <c r="F51">
        <v>1.5043891199999998E-3</v>
      </c>
      <c r="G51">
        <f t="shared" si="2"/>
        <v>0.76518805566199233</v>
      </c>
      <c r="U51" s="9"/>
      <c r="V51" s="9"/>
    </row>
    <row r="52" spans="1:22" x14ac:dyDescent="0.3">
      <c r="A52" t="s">
        <v>218</v>
      </c>
      <c r="B52">
        <v>4.744739199856328</v>
      </c>
      <c r="C52">
        <v>8.0534349680650532</v>
      </c>
      <c r="D52">
        <v>1.2246878969428875E-4</v>
      </c>
      <c r="E52">
        <v>1.9134720000000001E-4</v>
      </c>
      <c r="F52">
        <v>1.3795359999999999E-5</v>
      </c>
      <c r="G52">
        <f t="shared" si="2"/>
        <v>12.798501779271074</v>
      </c>
      <c r="U52" s="9"/>
      <c r="V52" s="9"/>
    </row>
    <row r="53" spans="1:22" x14ac:dyDescent="0.3">
      <c r="A53" t="s">
        <v>219</v>
      </c>
      <c r="B53">
        <v>0.54797162083557682</v>
      </c>
      <c r="C53">
        <v>4.5640988953696429</v>
      </c>
      <c r="D53">
        <v>3.6048807208800945E-4</v>
      </c>
      <c r="E53">
        <v>0.16069031327999997</v>
      </c>
      <c r="F53">
        <v>3.0336447999999998E-5</v>
      </c>
      <c r="G53">
        <f t="shared" si="2"/>
        <v>5.2731516540053081</v>
      </c>
      <c r="U53" s="9"/>
      <c r="V53" s="9"/>
    </row>
    <row r="54" spans="1:22" x14ac:dyDescent="0.3">
      <c r="U54" s="9"/>
      <c r="V54" s="9"/>
    </row>
    <row r="55" spans="1:22" x14ac:dyDescent="0.3">
      <c r="U55" s="9"/>
      <c r="V55" s="9"/>
    </row>
    <row r="56" spans="1:22" x14ac:dyDescent="0.3">
      <c r="A56" t="s">
        <v>195</v>
      </c>
      <c r="B56" s="2" t="s">
        <v>1</v>
      </c>
      <c r="C56" s="2" t="s">
        <v>2</v>
      </c>
      <c r="D56" s="2" t="s">
        <v>3</v>
      </c>
      <c r="E56" s="2" t="s">
        <v>4</v>
      </c>
      <c r="F56" s="2" t="s">
        <v>226</v>
      </c>
      <c r="G56" s="2" t="s">
        <v>225</v>
      </c>
      <c r="U56" s="9"/>
      <c r="V56" s="9"/>
    </row>
    <row r="57" spans="1:22" x14ac:dyDescent="0.3">
      <c r="A57" t="s">
        <v>194</v>
      </c>
      <c r="B57">
        <v>0.19548951702480158</v>
      </c>
      <c r="C57">
        <v>5.2002455359999998E-2</v>
      </c>
      <c r="D57">
        <v>6.4113753599999988E-4</v>
      </c>
      <c r="E57">
        <v>3.5308264938493381E-3</v>
      </c>
      <c r="F57">
        <v>-9.1839755564140826E-2</v>
      </c>
      <c r="G57">
        <f>SUM(B57:F57)</f>
        <v>0.15982418085051014</v>
      </c>
      <c r="U57" s="9"/>
      <c r="V57" s="9"/>
    </row>
    <row r="58" spans="1:22" x14ac:dyDescent="0.3">
      <c r="A58" t="s">
        <v>179</v>
      </c>
      <c r="B58">
        <v>0.80605240843343606</v>
      </c>
      <c r="C58">
        <v>0.33965129952000006</v>
      </c>
      <c r="D58">
        <v>1.07398519488E-2</v>
      </c>
      <c r="E58">
        <v>1.6224469948069632E-2</v>
      </c>
      <c r="F58">
        <v>-0.42942974867090927</v>
      </c>
      <c r="G58">
        <f t="shared" ref="G58:G65" si="3">SUM(B58:F58)</f>
        <v>0.74323828117939628</v>
      </c>
      <c r="U58" s="9"/>
      <c r="V58" s="9"/>
    </row>
    <row r="59" spans="1:22" x14ac:dyDescent="0.3">
      <c r="A59" t="s">
        <v>213</v>
      </c>
      <c r="B59">
        <v>0.4559382478543762</v>
      </c>
      <c r="C59">
        <v>1.2238106111999998</v>
      </c>
      <c r="D59">
        <v>3.1186280447999997E-3</v>
      </c>
      <c r="E59">
        <v>2.7062189516384996E-3</v>
      </c>
      <c r="F59">
        <v>-0.59012200497650358</v>
      </c>
      <c r="G59">
        <f t="shared" si="3"/>
        <v>1.0954517010743108</v>
      </c>
      <c r="U59" s="9"/>
      <c r="V59" s="9"/>
    </row>
    <row r="60" spans="1:22" x14ac:dyDescent="0.3">
      <c r="A60" t="s">
        <v>214</v>
      </c>
      <c r="B60">
        <v>0.23688228591640331</v>
      </c>
      <c r="C60">
        <v>0.40673233664000003</v>
      </c>
      <c r="D60">
        <v>1.1554368E-5</v>
      </c>
      <c r="E60">
        <v>8.8945345607281483E-4</v>
      </c>
      <c r="F60">
        <v>-0.22298343702841422</v>
      </c>
      <c r="G60">
        <f t="shared" si="3"/>
        <v>0.42153219335206199</v>
      </c>
      <c r="U60" s="9"/>
      <c r="V60" s="9"/>
    </row>
    <row r="61" spans="1:22" x14ac:dyDescent="0.3">
      <c r="A61" t="s">
        <v>215</v>
      </c>
      <c r="B61">
        <v>5.9488358140228619E-2</v>
      </c>
      <c r="C61">
        <v>2.0763390292799996E-2</v>
      </c>
      <c r="D61">
        <v>1.2259990319999999E-4</v>
      </c>
      <c r="E61">
        <v>2.3688956832329376E-4</v>
      </c>
      <c r="F61">
        <v>-7.1866785229828298E-2</v>
      </c>
      <c r="G61">
        <f t="shared" si="3"/>
        <v>8.7444526747236101E-3</v>
      </c>
      <c r="U61" s="9"/>
      <c r="V61" s="9"/>
    </row>
    <row r="62" spans="1:22" x14ac:dyDescent="0.3">
      <c r="A62" t="s">
        <v>216</v>
      </c>
      <c r="B62">
        <v>5.2109256996681369E-2</v>
      </c>
      <c r="C62">
        <v>7.5264759232140058E-2</v>
      </c>
      <c r="D62">
        <v>3.1949881181528766E-4</v>
      </c>
      <c r="E62">
        <v>8.1827435214094891E-4</v>
      </c>
      <c r="F62">
        <v>-2.0607089801580977E-2</v>
      </c>
      <c r="G62">
        <f t="shared" si="3"/>
        <v>0.10790469959119668</v>
      </c>
      <c r="U62" s="9"/>
      <c r="V62" s="9"/>
    </row>
    <row r="63" spans="1:22" x14ac:dyDescent="0.3">
      <c r="A63" t="s">
        <v>217</v>
      </c>
      <c r="B63">
        <v>0.51622904859738306</v>
      </c>
      <c r="C63">
        <v>0.21679309878503863</v>
      </c>
      <c r="D63">
        <v>2.2740879159570692E-2</v>
      </c>
      <c r="E63">
        <v>7.9206399999999996E-3</v>
      </c>
      <c r="F63">
        <v>-0.27653464823306706</v>
      </c>
      <c r="G63">
        <f t="shared" si="3"/>
        <v>0.48714901830892532</v>
      </c>
      <c r="U63" s="9"/>
      <c r="V63" s="9"/>
    </row>
    <row r="64" spans="1:22" x14ac:dyDescent="0.3">
      <c r="A64" t="s">
        <v>218</v>
      </c>
      <c r="B64">
        <v>4.744739199856328</v>
      </c>
      <c r="C64">
        <v>8.0534349680650532</v>
      </c>
      <c r="D64">
        <v>1.2246878969428875E-4</v>
      </c>
      <c r="E64">
        <v>1.9134720000000001E-4</v>
      </c>
      <c r="F64">
        <v>-4.5560792119819631</v>
      </c>
      <c r="G64">
        <f t="shared" si="3"/>
        <v>8.2424087719291119</v>
      </c>
      <c r="U64" s="9"/>
      <c r="V64" s="9"/>
    </row>
    <row r="65" spans="1:22" x14ac:dyDescent="0.3">
      <c r="A65" t="s">
        <v>219</v>
      </c>
      <c r="B65">
        <v>0.54797162083557682</v>
      </c>
      <c r="C65">
        <v>4.5640988953696429</v>
      </c>
      <c r="D65">
        <v>3.6048807208800945E-4</v>
      </c>
      <c r="E65">
        <v>0.16069031327999997</v>
      </c>
      <c r="F65">
        <v>-1.6133366393916262</v>
      </c>
      <c r="G65">
        <f t="shared" si="3"/>
        <v>3.659784678165682</v>
      </c>
      <c r="U65" s="9"/>
      <c r="V65" s="9"/>
    </row>
    <row r="66" spans="1:22" x14ac:dyDescent="0.3">
      <c r="U66" s="9"/>
      <c r="V66" s="9"/>
    </row>
    <row r="67" spans="1:22" x14ac:dyDescent="0.3">
      <c r="U67" s="9"/>
      <c r="V67" s="9"/>
    </row>
    <row r="68" spans="1:22" x14ac:dyDescent="0.3">
      <c r="U68" s="9"/>
      <c r="V68" s="9"/>
    </row>
    <row r="69" spans="1:22" x14ac:dyDescent="0.3">
      <c r="U69" s="9"/>
      <c r="V69" s="9"/>
    </row>
    <row r="70" spans="1:22" x14ac:dyDescent="0.3">
      <c r="A70" t="s">
        <v>195</v>
      </c>
      <c r="B70" t="s">
        <v>227</v>
      </c>
      <c r="C70" t="s">
        <v>228</v>
      </c>
      <c r="D70" t="s">
        <v>53</v>
      </c>
      <c r="U70" s="9"/>
      <c r="V70" s="9"/>
    </row>
    <row r="71" spans="1:22" x14ac:dyDescent="0.3">
      <c r="A71" t="s">
        <v>194</v>
      </c>
      <c r="B71" s="8">
        <f t="shared" ref="B71:B79" si="4">-(C71-D71)/C71</f>
        <v>-0.36629475207675877</v>
      </c>
      <c r="C71">
        <v>0.25220586601465095</v>
      </c>
      <c r="D71">
        <v>0.15982418085051014</v>
      </c>
      <c r="U71" s="9"/>
      <c r="V71" s="9"/>
    </row>
    <row r="72" spans="1:22" x14ac:dyDescent="0.3">
      <c r="A72" t="s">
        <v>179</v>
      </c>
      <c r="B72" s="8">
        <f t="shared" si="4"/>
        <v>-0.36817907566059194</v>
      </c>
      <c r="C72">
        <v>1.1763432525703057</v>
      </c>
      <c r="D72">
        <v>0.74323828117939628</v>
      </c>
      <c r="U72" s="9"/>
      <c r="V72" s="9"/>
    </row>
    <row r="73" spans="1:22" x14ac:dyDescent="0.3">
      <c r="A73" t="s">
        <v>213</v>
      </c>
      <c r="B73" s="8">
        <f t="shared" si="4"/>
        <v>-0.35092150686567908</v>
      </c>
      <c r="C73">
        <v>1.6877029706908144</v>
      </c>
      <c r="D73">
        <v>1.0954517010743108</v>
      </c>
      <c r="U73" s="9"/>
      <c r="V73" s="9"/>
    </row>
    <row r="74" spans="1:22" x14ac:dyDescent="0.3">
      <c r="A74" t="s">
        <v>214</v>
      </c>
      <c r="B74" s="8">
        <f t="shared" si="4"/>
        <v>-0.34606166257457843</v>
      </c>
      <c r="C74">
        <v>0.64460541495647616</v>
      </c>
      <c r="D74">
        <v>0.42153219335206199</v>
      </c>
      <c r="U74" s="9"/>
      <c r="V74" s="9"/>
    </row>
    <row r="75" spans="1:22" x14ac:dyDescent="0.3">
      <c r="A75" t="s">
        <v>215</v>
      </c>
      <c r="B75" s="8">
        <f t="shared" si="4"/>
        <v>-0.89889395552973494</v>
      </c>
      <c r="C75">
        <v>8.6487931760551903E-2</v>
      </c>
      <c r="D75">
        <v>8.7444526747236101E-3</v>
      </c>
      <c r="U75" s="9"/>
      <c r="V75" s="9"/>
    </row>
    <row r="76" spans="1:22" x14ac:dyDescent="0.3">
      <c r="A76" t="s">
        <v>216</v>
      </c>
      <c r="B76" s="8">
        <f t="shared" si="4"/>
        <v>-0.37410042356448386</v>
      </c>
      <c r="C76">
        <v>0.17239938107277766</v>
      </c>
      <c r="D76">
        <v>0.10790469959119668</v>
      </c>
      <c r="U76" s="9"/>
      <c r="V76" s="9"/>
    </row>
    <row r="77" spans="1:22" x14ac:dyDescent="0.3">
      <c r="A77" t="s">
        <v>217</v>
      </c>
      <c r="B77" s="8">
        <f t="shared" si="4"/>
        <v>-0.36336039917994434</v>
      </c>
      <c r="C77">
        <v>0.76518805566199233</v>
      </c>
      <c r="D77">
        <v>0.48714901830892532</v>
      </c>
      <c r="U77" s="9"/>
      <c r="V77" s="9"/>
    </row>
    <row r="78" spans="1:22" x14ac:dyDescent="0.3">
      <c r="A78" t="s">
        <v>218</v>
      </c>
      <c r="B78" s="8">
        <f t="shared" si="4"/>
        <v>-0.35598643387471951</v>
      </c>
      <c r="C78">
        <v>12.798501779271074</v>
      </c>
      <c r="D78">
        <v>8.2424087719291119</v>
      </c>
      <c r="U78" s="9"/>
      <c r="V78" s="9"/>
    </row>
    <row r="79" spans="1:22" x14ac:dyDescent="0.3">
      <c r="A79" t="s">
        <v>219</v>
      </c>
      <c r="B79" s="8">
        <f t="shared" si="4"/>
        <v>-0.3059587665403416</v>
      </c>
      <c r="C79">
        <v>5.2731516540053081</v>
      </c>
      <c r="D79">
        <v>3.659784678165682</v>
      </c>
      <c r="U79" s="9"/>
      <c r="V79" s="9"/>
    </row>
    <row r="80" spans="1:22" x14ac:dyDescent="0.3">
      <c r="U80" s="9"/>
      <c r="V80" s="9"/>
    </row>
    <row r="81" spans="1:22" x14ac:dyDescent="0.3">
      <c r="U81" s="9"/>
      <c r="V81" s="9"/>
    </row>
    <row r="82" spans="1:22" x14ac:dyDescent="0.3">
      <c r="U82" s="9"/>
      <c r="V82" s="9"/>
    </row>
    <row r="83" spans="1:22" x14ac:dyDescent="0.3">
      <c r="U83" s="9"/>
      <c r="V83" s="9"/>
    </row>
    <row r="84" spans="1:22" x14ac:dyDescent="0.3">
      <c r="B84" t="s">
        <v>220</v>
      </c>
      <c r="U84" s="9"/>
      <c r="V84" s="9"/>
    </row>
    <row r="85" spans="1:22" x14ac:dyDescent="0.3">
      <c r="A85" s="2" t="s">
        <v>221</v>
      </c>
      <c r="B85">
        <v>0.80605240843343606</v>
      </c>
      <c r="C85">
        <v>0.51622904859738361</v>
      </c>
      <c r="U85" s="9"/>
      <c r="V85" s="9"/>
    </row>
    <row r="86" spans="1:22" x14ac:dyDescent="0.3">
      <c r="A86" s="2" t="s">
        <v>2</v>
      </c>
      <c r="B86">
        <v>0.33965129952000006</v>
      </c>
      <c r="U86" s="9"/>
      <c r="V86" s="9"/>
    </row>
    <row r="87" spans="1:22" x14ac:dyDescent="0.3">
      <c r="A87" s="2" t="s">
        <v>3</v>
      </c>
      <c r="B87">
        <v>1.07398519488E-2</v>
      </c>
      <c r="U87" s="9"/>
      <c r="V87" s="9"/>
    </row>
    <row r="88" spans="1:22" x14ac:dyDescent="0.3">
      <c r="A88" s="2" t="s">
        <v>4</v>
      </c>
      <c r="B88">
        <v>1.6224469948069632E-2</v>
      </c>
      <c r="U88" s="9"/>
      <c r="V88" s="9"/>
    </row>
    <row r="89" spans="1:22" x14ac:dyDescent="0.3">
      <c r="A89" s="2" t="s">
        <v>7</v>
      </c>
      <c r="B89">
        <v>3.6752227199999998E-3</v>
      </c>
      <c r="U89" s="9"/>
      <c r="V89" s="9"/>
    </row>
    <row r="90" spans="1:22" x14ac:dyDescent="0.3">
      <c r="A90" s="2"/>
      <c r="U90" s="9"/>
      <c r="V90" s="9"/>
    </row>
    <row r="91" spans="1:22" x14ac:dyDescent="0.3">
      <c r="A91" s="2"/>
      <c r="U91" s="9"/>
      <c r="V91" s="9"/>
    </row>
    <row r="92" spans="1:22" x14ac:dyDescent="0.3">
      <c r="A92" s="2"/>
      <c r="U92" s="9"/>
      <c r="V92" s="9"/>
    </row>
    <row r="93" spans="1:22" x14ac:dyDescent="0.3">
      <c r="A93" s="2"/>
      <c r="U93" s="9"/>
      <c r="V93" s="9"/>
    </row>
    <row r="94" spans="1:22" x14ac:dyDescent="0.3">
      <c r="A94" s="2"/>
      <c r="C94" t="s">
        <v>220</v>
      </c>
      <c r="E94" t="s">
        <v>229</v>
      </c>
      <c r="U94" s="9"/>
      <c r="V94" s="9"/>
    </row>
    <row r="95" spans="1:22" x14ac:dyDescent="0.3">
      <c r="A95" s="2" t="s">
        <v>33</v>
      </c>
      <c r="B95">
        <v>4.9590806567936005E-2</v>
      </c>
      <c r="C95" s="8">
        <f>B95/$B$85</f>
        <v>6.1523054889589382E-2</v>
      </c>
      <c r="D95">
        <v>0.1086649594119245</v>
      </c>
      <c r="E95" s="8">
        <f>D95/$C$85</f>
        <v>0.21049756829293478</v>
      </c>
      <c r="U95" s="9"/>
      <c r="V95" s="9"/>
    </row>
    <row r="96" spans="1:22" x14ac:dyDescent="0.3">
      <c r="A96" s="2" t="s">
        <v>11</v>
      </c>
      <c r="B96">
        <v>3.6021699999999997E-2</v>
      </c>
      <c r="C96" s="8">
        <f t="shared" ref="C96:C104" si="5">B96/$B$85</f>
        <v>4.4689029674892009E-2</v>
      </c>
      <c r="D96">
        <v>7.7298171807618554E-2</v>
      </c>
      <c r="E96" s="8">
        <f t="shared" ref="E96:E104" si="6">D96/$C$85</f>
        <v>0.14973619174984629</v>
      </c>
      <c r="U96" s="9"/>
      <c r="V96" s="9"/>
    </row>
    <row r="97" spans="1:22" x14ac:dyDescent="0.3">
      <c r="A97" s="2" t="s">
        <v>222</v>
      </c>
      <c r="B97">
        <v>2.6721889999999998E-2</v>
      </c>
      <c r="C97" s="8">
        <f t="shared" si="5"/>
        <v>3.3151554068219992E-2</v>
      </c>
      <c r="D97">
        <v>5.6098106334070509E-2</v>
      </c>
      <c r="E97" s="8">
        <f t="shared" si="6"/>
        <v>0.10866902295888126</v>
      </c>
      <c r="U97" s="9"/>
      <c r="V97" s="9"/>
    </row>
    <row r="98" spans="1:22" x14ac:dyDescent="0.3">
      <c r="A98" s="2" t="s">
        <v>36</v>
      </c>
      <c r="B98">
        <v>2.1249630006813736E-2</v>
      </c>
      <c r="C98" s="8">
        <f t="shared" si="5"/>
        <v>2.6362591048034234E-2</v>
      </c>
      <c r="D98">
        <v>4.6996611817517964E-2</v>
      </c>
      <c r="E98" s="8">
        <f t="shared" si="6"/>
        <v>9.1038293844970114E-2</v>
      </c>
      <c r="U98" s="9"/>
      <c r="V98" s="9"/>
    </row>
    <row r="99" spans="1:22" x14ac:dyDescent="0.3">
      <c r="A99" s="2" t="s">
        <v>31</v>
      </c>
      <c r="B99">
        <v>2.0334526264921219E-2</v>
      </c>
      <c r="C99" s="8">
        <f t="shared" si="5"/>
        <v>2.5227300423853825E-2</v>
      </c>
      <c r="D99">
        <v>4.5624252618513418E-2</v>
      </c>
      <c r="E99" s="8">
        <f t="shared" si="6"/>
        <v>8.8379863052024027E-2</v>
      </c>
      <c r="U99" s="9"/>
      <c r="V99" s="9"/>
    </row>
    <row r="100" spans="1:22" x14ac:dyDescent="0.3">
      <c r="A100" s="2" t="s">
        <v>43</v>
      </c>
      <c r="B100">
        <v>1.2309807194081443E-2</v>
      </c>
      <c r="C100" s="8">
        <f t="shared" si="5"/>
        <v>1.5271720629190315E-2</v>
      </c>
      <c r="D100">
        <v>2.8219895537497573E-2</v>
      </c>
      <c r="E100" s="8">
        <f t="shared" si="6"/>
        <v>5.4665454441535664E-2</v>
      </c>
      <c r="U100" s="9"/>
      <c r="V100" s="9"/>
    </row>
    <row r="101" spans="1:22" x14ac:dyDescent="0.3">
      <c r="A101" s="2" t="s">
        <v>37</v>
      </c>
      <c r="B101">
        <v>9.5713775684841754E-3</v>
      </c>
      <c r="C101" s="8">
        <f t="shared" si="5"/>
        <v>1.1874386166882325E-2</v>
      </c>
      <c r="D101">
        <v>2.1469876545568808E-2</v>
      </c>
      <c r="E101" s="8">
        <f t="shared" si="6"/>
        <v>4.1589826461535591E-2</v>
      </c>
      <c r="U101" s="9"/>
      <c r="V101" s="9"/>
    </row>
    <row r="102" spans="1:22" x14ac:dyDescent="0.3">
      <c r="A102" s="2" t="s">
        <v>223</v>
      </c>
      <c r="B102">
        <v>8.5427275336599495E-3</v>
      </c>
      <c r="C102" s="8">
        <f t="shared" si="5"/>
        <v>1.0598228408327384E-2</v>
      </c>
      <c r="D102">
        <v>1.9578138991484272E-2</v>
      </c>
      <c r="E102" s="8">
        <f t="shared" si="6"/>
        <v>3.7925295069463669E-2</v>
      </c>
      <c r="U102" s="9"/>
      <c r="V102" s="9"/>
    </row>
    <row r="103" spans="1:22" x14ac:dyDescent="0.3">
      <c r="A103" s="2" t="s">
        <v>35</v>
      </c>
      <c r="B103">
        <v>5.7765995086018007E-3</v>
      </c>
      <c r="C103" s="8">
        <f t="shared" si="5"/>
        <v>7.1665309205249193E-3</v>
      </c>
      <c r="D103">
        <v>1.217970841841149E-2</v>
      </c>
      <c r="E103" s="8">
        <f t="shared" si="6"/>
        <v>2.3593613051230415E-2</v>
      </c>
      <c r="U103" s="9"/>
      <c r="V103" s="9"/>
    </row>
    <row r="104" spans="1:22" x14ac:dyDescent="0.3">
      <c r="A104" s="2" t="s">
        <v>16</v>
      </c>
      <c r="B104">
        <v>5.5190999999999999E-3</v>
      </c>
      <c r="C104" s="8">
        <f t="shared" si="5"/>
        <v>6.847073394056818E-3</v>
      </c>
      <c r="D104">
        <v>1.1975329577268762E-2</v>
      </c>
      <c r="E104" s="8">
        <f t="shared" si="6"/>
        <v>2.3197705766086284E-2</v>
      </c>
      <c r="U104" s="9"/>
      <c r="V104" s="9"/>
    </row>
    <row r="105" spans="1:22" x14ac:dyDescent="0.3">
      <c r="U105" s="9"/>
      <c r="V105" s="9"/>
    </row>
    <row r="106" spans="1:22" x14ac:dyDescent="0.3">
      <c r="U106" s="9"/>
      <c r="V106" s="9"/>
    </row>
    <row r="107" spans="1:22" x14ac:dyDescent="0.3">
      <c r="U107" s="9"/>
      <c r="V107" s="9"/>
    </row>
    <row r="108" spans="1:22" x14ac:dyDescent="0.3">
      <c r="U108" s="9"/>
      <c r="V108" s="9"/>
    </row>
    <row r="109" spans="1:22" x14ac:dyDescent="0.3">
      <c r="C109" t="s">
        <v>220</v>
      </c>
      <c r="U109" s="9"/>
      <c r="V109" s="9"/>
    </row>
    <row r="110" spans="1:22" x14ac:dyDescent="0.3">
      <c r="A110" s="2" t="s">
        <v>70</v>
      </c>
      <c r="B110">
        <v>8.3065150106470795E-2</v>
      </c>
      <c r="C110" s="8">
        <f t="shared" ref="C110:C115" si="7">B110/$B$85</f>
        <v>0.10305179816769983</v>
      </c>
      <c r="U110" s="9"/>
      <c r="V110" s="9"/>
    </row>
    <row r="111" spans="1:22" x14ac:dyDescent="0.3">
      <c r="A111" s="2" t="s">
        <v>11</v>
      </c>
      <c r="B111">
        <v>3.5900000000000001E-2</v>
      </c>
      <c r="C111" s="8">
        <f t="shared" si="7"/>
        <v>4.4538046936391767E-2</v>
      </c>
      <c r="U111" s="9"/>
      <c r="V111" s="9"/>
    </row>
    <row r="112" spans="1:22" x14ac:dyDescent="0.3">
      <c r="A112" s="2" t="s">
        <v>13</v>
      </c>
      <c r="B112">
        <v>2.6599999999999999E-2</v>
      </c>
      <c r="C112" s="8">
        <f t="shared" si="7"/>
        <v>3.3000335613036794E-2</v>
      </c>
      <c r="U112" s="9"/>
      <c r="V112" s="9"/>
    </row>
    <row r="113" spans="1:22" x14ac:dyDescent="0.3">
      <c r="A113" s="2" t="s">
        <v>57</v>
      </c>
      <c r="B113">
        <v>2.2618782347641163E-2</v>
      </c>
      <c r="C113" s="8">
        <f t="shared" si="7"/>
        <v>2.8061180775578596E-2</v>
      </c>
      <c r="U113" s="9"/>
      <c r="V113" s="9"/>
    </row>
    <row r="114" spans="1:22" x14ac:dyDescent="0.3">
      <c r="A114" s="2" t="s">
        <v>72</v>
      </c>
      <c r="B114">
        <v>1.538070722112655E-2</v>
      </c>
      <c r="C114" s="8">
        <f t="shared" si="7"/>
        <v>1.9081522566279499E-2</v>
      </c>
      <c r="U114" s="9"/>
      <c r="V114" s="9"/>
    </row>
    <row r="115" spans="1:22" x14ac:dyDescent="0.3">
      <c r="A115" s="2" t="s">
        <v>73</v>
      </c>
      <c r="B115">
        <v>1.3334685285217321E-2</v>
      </c>
      <c r="C115" s="8">
        <f t="shared" si="7"/>
        <v>1.6543198861142663E-2</v>
      </c>
      <c r="U115" s="9"/>
      <c r="V115" s="9"/>
    </row>
    <row r="116" spans="1:22" x14ac:dyDescent="0.3">
      <c r="U116" s="9"/>
      <c r="V116" s="9"/>
    </row>
    <row r="117" spans="1:22" x14ac:dyDescent="0.3">
      <c r="U117" s="9"/>
      <c r="V117" s="9"/>
    </row>
    <row r="118" spans="1:22" x14ac:dyDescent="0.3">
      <c r="U118" s="9"/>
      <c r="V118" s="9"/>
    </row>
    <row r="119" spans="1:22" x14ac:dyDescent="0.3">
      <c r="U119" s="9"/>
      <c r="V119" s="9"/>
    </row>
    <row r="120" spans="1:22" x14ac:dyDescent="0.3">
      <c r="U120" s="9"/>
      <c r="V120" s="9"/>
    </row>
    <row r="121" spans="1:22" x14ac:dyDescent="0.3">
      <c r="U121" s="9"/>
      <c r="V121" s="9"/>
    </row>
    <row r="122" spans="1:22" x14ac:dyDescent="0.3">
      <c r="B122" t="s">
        <v>220</v>
      </c>
      <c r="U122" s="9"/>
      <c r="V122" s="9"/>
    </row>
    <row r="123" spans="1:22" x14ac:dyDescent="0.3">
      <c r="A123" s="2" t="s">
        <v>221</v>
      </c>
      <c r="B123">
        <v>4.744739199856328</v>
      </c>
      <c r="U123" s="9"/>
      <c r="V123" s="9"/>
    </row>
    <row r="124" spans="1:22" x14ac:dyDescent="0.3">
      <c r="A124" s="2" t="s">
        <v>2</v>
      </c>
      <c r="B124">
        <v>8.0534349680650532</v>
      </c>
      <c r="U124" s="9"/>
      <c r="V124" s="9"/>
    </row>
    <row r="125" spans="1:22" x14ac:dyDescent="0.3">
      <c r="A125" s="2" t="s">
        <v>3</v>
      </c>
      <c r="B125">
        <v>1.2246878969428875E-4</v>
      </c>
      <c r="U125" s="9"/>
      <c r="V125" s="9"/>
    </row>
    <row r="126" spans="1:22" x14ac:dyDescent="0.3">
      <c r="A126" s="2" t="s">
        <v>4</v>
      </c>
      <c r="B126">
        <v>1.9134720000000001E-4</v>
      </c>
      <c r="U126" s="9"/>
      <c r="V126" s="9"/>
    </row>
    <row r="127" spans="1:22" x14ac:dyDescent="0.3">
      <c r="A127" s="2" t="s">
        <v>7</v>
      </c>
      <c r="B127">
        <v>1.3795359999999999E-5</v>
      </c>
      <c r="U127" s="9"/>
      <c r="V127" s="9"/>
    </row>
    <row r="128" spans="1:22" x14ac:dyDescent="0.3">
      <c r="A128" s="2"/>
      <c r="U128" s="9"/>
      <c r="V128" s="9"/>
    </row>
    <row r="129" spans="1:22" x14ac:dyDescent="0.3">
      <c r="A129" s="2"/>
      <c r="U129" s="9"/>
      <c r="V129" s="9"/>
    </row>
    <row r="130" spans="1:22" x14ac:dyDescent="0.3">
      <c r="A130" s="2"/>
      <c r="U130" s="9"/>
      <c r="V130" s="9"/>
    </row>
    <row r="131" spans="1:22" x14ac:dyDescent="0.3">
      <c r="A131" s="2"/>
      <c r="U131" s="9"/>
      <c r="V131" s="9"/>
    </row>
    <row r="132" spans="1:22" x14ac:dyDescent="0.3">
      <c r="A132" s="2"/>
      <c r="C132" t="s">
        <v>220</v>
      </c>
      <c r="U132" s="9"/>
      <c r="V132" s="9"/>
    </row>
    <row r="133" spans="1:22" x14ac:dyDescent="0.3">
      <c r="A133" s="2" t="s">
        <v>11</v>
      </c>
      <c r="B133">
        <v>3.7171258942387748</v>
      </c>
      <c r="C133" s="8">
        <f>B133/$B$123</f>
        <v>0.78342048691555699</v>
      </c>
      <c r="U133" s="9"/>
      <c r="V133" s="9"/>
    </row>
    <row r="134" spans="1:22" x14ac:dyDescent="0.3">
      <c r="A134" s="2" t="s">
        <v>16</v>
      </c>
      <c r="B134">
        <v>0.57817411315194167</v>
      </c>
      <c r="C134" s="8">
        <f>B134/$B$123</f>
        <v>0.1218558257468501</v>
      </c>
      <c r="U134" s="9"/>
      <c r="V134" s="9"/>
    </row>
    <row r="135" spans="1:22" x14ac:dyDescent="0.3">
      <c r="A135" s="2"/>
      <c r="C135" s="8"/>
      <c r="U135" s="9"/>
      <c r="V135" s="9"/>
    </row>
    <row r="136" spans="1:22" x14ac:dyDescent="0.3">
      <c r="A136" s="2"/>
      <c r="C136" s="8"/>
      <c r="U136" s="9"/>
      <c r="V136" s="9"/>
    </row>
    <row r="137" spans="1:22" x14ac:dyDescent="0.3">
      <c r="A137" s="2"/>
      <c r="C137" s="8"/>
      <c r="U137" s="9"/>
      <c r="V137" s="9"/>
    </row>
    <row r="138" spans="1:22" x14ac:dyDescent="0.3">
      <c r="A138" s="2"/>
      <c r="C138" s="8"/>
      <c r="U138" s="9"/>
      <c r="V138" s="9"/>
    </row>
    <row r="139" spans="1:22" x14ac:dyDescent="0.3">
      <c r="A139" s="2"/>
      <c r="C139" s="8"/>
      <c r="U139" s="9"/>
      <c r="V139" s="9"/>
    </row>
    <row r="140" spans="1:22" x14ac:dyDescent="0.3">
      <c r="A140" s="2"/>
      <c r="C140" s="8"/>
      <c r="U140" s="9"/>
      <c r="V140" s="9"/>
    </row>
    <row r="141" spans="1:22" x14ac:dyDescent="0.3">
      <c r="A141" s="2"/>
      <c r="C141" s="8"/>
      <c r="U141" s="9"/>
      <c r="V141" s="9"/>
    </row>
    <row r="142" spans="1:22" x14ac:dyDescent="0.3">
      <c r="A142" s="2"/>
      <c r="C142" s="8"/>
    </row>
    <row r="147" spans="1:3" x14ac:dyDescent="0.3">
      <c r="C147" t="s">
        <v>220</v>
      </c>
    </row>
    <row r="148" spans="1:3" x14ac:dyDescent="0.3">
      <c r="A148" s="2" t="s">
        <v>11</v>
      </c>
      <c r="B148">
        <v>3.7171138107237289</v>
      </c>
      <c r="C148" s="8">
        <f>B148/$B$123</f>
        <v>0.78341794019706801</v>
      </c>
    </row>
    <row r="149" spans="1:3" x14ac:dyDescent="0.3">
      <c r="A149" s="2" t="s">
        <v>16</v>
      </c>
      <c r="B149">
        <v>0.57816206518395552</v>
      </c>
      <c r="C149" s="8">
        <f>B149/$B$123</f>
        <v>0.12185328652025014</v>
      </c>
    </row>
    <row r="150" spans="1:3" x14ac:dyDescent="0.3">
      <c r="A150" s="2"/>
      <c r="C150" s="8"/>
    </row>
    <row r="151" spans="1:3" x14ac:dyDescent="0.3">
      <c r="A151" s="2"/>
      <c r="C151" s="8"/>
    </row>
    <row r="152" spans="1:3" x14ac:dyDescent="0.3">
      <c r="A152" s="2"/>
      <c r="C152" s="8"/>
    </row>
    <row r="153" spans="1:3" x14ac:dyDescent="0.3">
      <c r="A153" s="2"/>
      <c r="C153" s="8"/>
    </row>
    <row r="172" spans="1:2" x14ac:dyDescent="0.3">
      <c r="A172" t="s">
        <v>230</v>
      </c>
      <c r="B172" t="s">
        <v>231</v>
      </c>
    </row>
    <row r="173" spans="1:2" x14ac:dyDescent="0.3">
      <c r="A173" t="s">
        <v>70</v>
      </c>
      <c r="B173">
        <v>7.1526236654125917E-3</v>
      </c>
    </row>
    <row r="174" spans="1:2" x14ac:dyDescent="0.3">
      <c r="A174" s="2" t="s">
        <v>232</v>
      </c>
      <c r="B174">
        <v>6.1673749180912287E-3</v>
      </c>
    </row>
    <row r="175" spans="1:2" x14ac:dyDescent="0.3">
      <c r="A175" t="s">
        <v>71</v>
      </c>
      <c r="B175">
        <v>5.0066176693161239E-3</v>
      </c>
    </row>
    <row r="176" spans="1:2" x14ac:dyDescent="0.3">
      <c r="A176" t="s">
        <v>72</v>
      </c>
      <c r="B176">
        <v>4.3178214052124698E-3</v>
      </c>
    </row>
    <row r="177" spans="1:2" x14ac:dyDescent="0.3">
      <c r="A177" t="s">
        <v>233</v>
      </c>
      <c r="B177">
        <v>4.1812936265855855E-3</v>
      </c>
    </row>
    <row r="178" spans="1:2" x14ac:dyDescent="0.3">
      <c r="A178" t="s">
        <v>94</v>
      </c>
      <c r="B178">
        <v>3.8616950495049501E-3</v>
      </c>
    </row>
    <row r="179" spans="1:2" x14ac:dyDescent="0.3">
      <c r="A179" t="s">
        <v>92</v>
      </c>
      <c r="B179">
        <v>3.756969364985424E-3</v>
      </c>
    </row>
    <row r="180" spans="1:2" x14ac:dyDescent="0.3">
      <c r="A180" t="s">
        <v>234</v>
      </c>
      <c r="B180">
        <v>3.0354123489078452E-3</v>
      </c>
    </row>
    <row r="181" spans="1:2" x14ac:dyDescent="0.3">
      <c r="A181" t="s">
        <v>235</v>
      </c>
      <c r="B181">
        <v>2.0891519999999999E-3</v>
      </c>
    </row>
    <row r="182" spans="1:2" x14ac:dyDescent="0.3">
      <c r="A182" t="s">
        <v>90</v>
      </c>
      <c r="B182">
        <v>1.8450398221520291E-3</v>
      </c>
    </row>
    <row r="183" spans="1:2" x14ac:dyDescent="0.3">
      <c r="A183" t="s">
        <v>236</v>
      </c>
      <c r="B183">
        <v>1.8215209201855717E-3</v>
      </c>
    </row>
    <row r="184" spans="1:2" x14ac:dyDescent="0.3">
      <c r="A184" t="s">
        <v>237</v>
      </c>
      <c r="B184">
        <v>1.6290119205298016E-3</v>
      </c>
    </row>
    <row r="185" spans="1:2" x14ac:dyDescent="0.3">
      <c r="A185" t="s">
        <v>238</v>
      </c>
      <c r="B185">
        <v>1.5313549335867788E-3</v>
      </c>
    </row>
    <row r="186" spans="1:2" x14ac:dyDescent="0.3">
      <c r="A186" t="s">
        <v>79</v>
      </c>
      <c r="B186">
        <v>1.5280500335191466E-3</v>
      </c>
    </row>
    <row r="187" spans="1:2" x14ac:dyDescent="0.3">
      <c r="A187" t="s">
        <v>87</v>
      </c>
      <c r="B187">
        <v>1.3324056848146768E-3</v>
      </c>
    </row>
    <row r="188" spans="1:2" x14ac:dyDescent="0.3">
      <c r="A188" t="s">
        <v>239</v>
      </c>
      <c r="B188">
        <v>1.2939264000000001E-3</v>
      </c>
    </row>
    <row r="189" spans="1:2" x14ac:dyDescent="0.3">
      <c r="A189" t="s">
        <v>83</v>
      </c>
      <c r="B189">
        <v>1.2344989090909092E-3</v>
      </c>
    </row>
    <row r="190" spans="1:2" x14ac:dyDescent="0.3">
      <c r="A190" t="s">
        <v>240</v>
      </c>
      <c r="B190">
        <v>1.1899048908093966E-3</v>
      </c>
    </row>
    <row r="191" spans="1:2" x14ac:dyDescent="0.3">
      <c r="A191" t="s">
        <v>241</v>
      </c>
      <c r="B191">
        <v>1.1392160186616544E-3</v>
      </c>
    </row>
    <row r="192" spans="1:2" x14ac:dyDescent="0.3">
      <c r="A192" t="s">
        <v>242</v>
      </c>
      <c r="B192">
        <v>1.0820732314255244E-3</v>
      </c>
    </row>
    <row r="193" spans="1:6" x14ac:dyDescent="0.3">
      <c r="A193" t="s">
        <v>243</v>
      </c>
      <c r="B193">
        <v>9.8853061224489806E-4</v>
      </c>
    </row>
    <row r="194" spans="1:6" x14ac:dyDescent="0.3">
      <c r="A194" s="2" t="s">
        <v>69</v>
      </c>
      <c r="B194">
        <v>3.9673028571428576E-4</v>
      </c>
    </row>
    <row r="200" spans="1:6" x14ac:dyDescent="0.3">
      <c r="A200" t="s">
        <v>244</v>
      </c>
      <c r="B200" t="s">
        <v>245</v>
      </c>
      <c r="C200" t="s">
        <v>246</v>
      </c>
    </row>
    <row r="201" spans="1:6" x14ac:dyDescent="0.3">
      <c r="A201" s="17" t="s">
        <v>33</v>
      </c>
      <c r="B201" s="16">
        <v>4140</v>
      </c>
      <c r="C201">
        <v>2.5878528000000001E-6</v>
      </c>
    </row>
    <row r="202" spans="1:6" x14ac:dyDescent="0.3">
      <c r="A202" s="17" t="s">
        <v>33</v>
      </c>
      <c r="B202" s="16" t="s">
        <v>87</v>
      </c>
      <c r="C202">
        <v>1.8330624E-3</v>
      </c>
      <c r="F202" s="2"/>
    </row>
    <row r="203" spans="1:6" x14ac:dyDescent="0.3">
      <c r="A203" s="17" t="s">
        <v>33</v>
      </c>
      <c r="B203" s="16" t="s">
        <v>70</v>
      </c>
      <c r="C203">
        <v>6.705504000000001E-2</v>
      </c>
      <c r="F203" s="16"/>
    </row>
    <row r="204" spans="1:6" x14ac:dyDescent="0.3">
      <c r="A204" s="17" t="s">
        <v>33</v>
      </c>
      <c r="B204" s="16" t="s">
        <v>71</v>
      </c>
      <c r="C204">
        <v>2.7192672000000005E-2</v>
      </c>
      <c r="F204" s="16"/>
    </row>
    <row r="205" spans="1:6" x14ac:dyDescent="0.3">
      <c r="A205" s="17" t="s">
        <v>33</v>
      </c>
      <c r="B205" s="16" t="s">
        <v>72</v>
      </c>
      <c r="C205">
        <v>1.9476287999999999E-3</v>
      </c>
      <c r="F205" s="16"/>
    </row>
    <row r="206" spans="1:6" x14ac:dyDescent="0.3">
      <c r="A206" s="17" t="s">
        <v>33</v>
      </c>
      <c r="B206" s="16" t="s">
        <v>58</v>
      </c>
      <c r="C206">
        <v>2.1831449173307562E-3</v>
      </c>
      <c r="F206" s="2"/>
    </row>
    <row r="207" spans="1:6" x14ac:dyDescent="0.3">
      <c r="A207" s="17" t="s">
        <v>33</v>
      </c>
      <c r="B207" s="16" t="s">
        <v>75</v>
      </c>
      <c r="C207">
        <v>8.3026791996841266E-5</v>
      </c>
      <c r="F207" s="16"/>
    </row>
    <row r="208" spans="1:6" x14ac:dyDescent="0.3">
      <c r="A208" s="17" t="s">
        <v>33</v>
      </c>
      <c r="B208" s="16" t="s">
        <v>59</v>
      </c>
      <c r="C208">
        <v>2.7194082653930296E-4</v>
      </c>
      <c r="F208" s="16"/>
    </row>
    <row r="209" spans="1:6" x14ac:dyDescent="0.3">
      <c r="A209" s="17" t="s">
        <v>33</v>
      </c>
      <c r="B209" s="16" t="s">
        <v>56</v>
      </c>
      <c r="C209">
        <v>7.6828920490554752E-4</v>
      </c>
      <c r="F209" s="16"/>
    </row>
    <row r="210" spans="1:6" x14ac:dyDescent="0.3">
      <c r="A210" s="17" t="s">
        <v>33</v>
      </c>
      <c r="B210" s="16" t="s">
        <v>57</v>
      </c>
      <c r="C210">
        <v>6.5763789017744725E-2</v>
      </c>
      <c r="F210" s="16"/>
    </row>
    <row r="211" spans="1:6" x14ac:dyDescent="0.3">
      <c r="A211" s="17" t="s">
        <v>11</v>
      </c>
      <c r="B211" s="16" t="s">
        <v>11</v>
      </c>
      <c r="C211">
        <v>0.12096864000000002</v>
      </c>
      <c r="F211" s="16"/>
    </row>
    <row r="212" spans="1:6" x14ac:dyDescent="0.3">
      <c r="A212" s="17" t="s">
        <v>11</v>
      </c>
      <c r="B212" s="16" t="s">
        <v>56</v>
      </c>
      <c r="C212">
        <v>3.8750400000000005E-4</v>
      </c>
      <c r="F212" s="16"/>
    </row>
    <row r="213" spans="1:6" x14ac:dyDescent="0.3">
      <c r="A213" s="17" t="s">
        <v>11</v>
      </c>
      <c r="B213" s="16" t="s">
        <v>57</v>
      </c>
      <c r="C213">
        <v>2.2576320000000001E-5</v>
      </c>
      <c r="F213" s="16"/>
    </row>
    <row r="214" spans="1:6" x14ac:dyDescent="0.3">
      <c r="A214" s="17" t="s">
        <v>247</v>
      </c>
      <c r="B214" s="16" t="s">
        <v>13</v>
      </c>
      <c r="C214">
        <v>8.9631359999999993E-2</v>
      </c>
      <c r="F214" s="16"/>
    </row>
    <row r="215" spans="1:6" x14ac:dyDescent="0.3">
      <c r="A215" s="17" t="s">
        <v>247</v>
      </c>
      <c r="B215" s="16" t="s">
        <v>56</v>
      </c>
      <c r="C215">
        <v>3.8750400000000005E-4</v>
      </c>
      <c r="F215" s="16"/>
    </row>
    <row r="216" spans="1:6" x14ac:dyDescent="0.3">
      <c r="A216" s="17" t="s">
        <v>247</v>
      </c>
      <c r="B216" s="16" t="s">
        <v>57</v>
      </c>
      <c r="C216">
        <v>2.3216544000000001E-5</v>
      </c>
      <c r="F216" s="2"/>
    </row>
    <row r="217" spans="1:6" x14ac:dyDescent="0.3">
      <c r="A217" s="17" t="s">
        <v>36</v>
      </c>
      <c r="B217" s="16" t="s">
        <v>70</v>
      </c>
      <c r="C217">
        <v>6.7392000000000007E-2</v>
      </c>
      <c r="F217" s="16"/>
    </row>
    <row r="218" spans="1:6" x14ac:dyDescent="0.3">
      <c r="A218" s="17" t="s">
        <v>36</v>
      </c>
      <c r="B218" s="16" t="s">
        <v>71</v>
      </c>
      <c r="C218">
        <v>1.4522976000000002E-3</v>
      </c>
      <c r="F218" s="16"/>
    </row>
    <row r="219" spans="1:6" x14ac:dyDescent="0.3">
      <c r="A219" s="17" t="s">
        <v>36</v>
      </c>
      <c r="B219" s="16" t="s">
        <v>58</v>
      </c>
      <c r="C219">
        <v>1.3983840000000001E-3</v>
      </c>
      <c r="F219" s="16"/>
    </row>
    <row r="220" spans="1:6" x14ac:dyDescent="0.3">
      <c r="A220" s="17" t="s">
        <v>36</v>
      </c>
      <c r="B220" s="16" t="s">
        <v>75</v>
      </c>
      <c r="C220">
        <v>2.1801312E-5</v>
      </c>
      <c r="F220" s="16"/>
    </row>
    <row r="221" spans="1:6" x14ac:dyDescent="0.3">
      <c r="A221" s="17" t="s">
        <v>36</v>
      </c>
      <c r="B221" s="16" t="s">
        <v>78</v>
      </c>
      <c r="C221">
        <v>4.4815680000000007E-4</v>
      </c>
      <c r="F221" s="16"/>
    </row>
    <row r="222" spans="1:6" x14ac:dyDescent="0.3">
      <c r="A222" s="17" t="s">
        <v>36</v>
      </c>
      <c r="B222" s="16" t="s">
        <v>59</v>
      </c>
      <c r="C222">
        <v>7.7163840000000008E-4</v>
      </c>
      <c r="F222" s="16"/>
    </row>
    <row r="223" spans="1:6" x14ac:dyDescent="0.3">
      <c r="A223" s="17" t="s">
        <v>36</v>
      </c>
      <c r="B223" s="16" t="s">
        <v>56</v>
      </c>
      <c r="C223">
        <v>8.730275034867864E-6</v>
      </c>
      <c r="F223" s="16"/>
    </row>
    <row r="224" spans="1:6" x14ac:dyDescent="0.3">
      <c r="A224" s="17" t="s">
        <v>36</v>
      </c>
      <c r="B224" s="16" t="s">
        <v>80</v>
      </c>
      <c r="C224">
        <v>1.947486662899541E-5</v>
      </c>
      <c r="F224" s="16"/>
    </row>
    <row r="225" spans="1:6" x14ac:dyDescent="0.3">
      <c r="A225" s="17" t="s">
        <v>36</v>
      </c>
      <c r="B225" s="16" t="s">
        <v>57</v>
      </c>
      <c r="C225">
        <v>9.0270017295691749E-5</v>
      </c>
      <c r="F225" s="16"/>
    </row>
    <row r="226" spans="1:6" x14ac:dyDescent="0.3">
      <c r="A226" s="17" t="s">
        <v>31</v>
      </c>
      <c r="B226" s="16" t="s">
        <v>87</v>
      </c>
      <c r="C226">
        <v>7.0424640000000006E-5</v>
      </c>
      <c r="F226" s="16"/>
    </row>
    <row r="227" spans="1:6" x14ac:dyDescent="0.3">
      <c r="A227" s="17" t="s">
        <v>31</v>
      </c>
      <c r="B227" s="16" t="s">
        <v>70</v>
      </c>
      <c r="C227">
        <v>6.6044160000000005E-2</v>
      </c>
      <c r="F227" s="2"/>
    </row>
    <row r="228" spans="1:6" x14ac:dyDescent="0.3">
      <c r="A228" s="17" t="s">
        <v>31</v>
      </c>
      <c r="B228" s="16" t="s">
        <v>58</v>
      </c>
      <c r="C228">
        <v>7.1435520000000003E-4</v>
      </c>
      <c r="F228" s="16"/>
    </row>
    <row r="229" spans="1:6" x14ac:dyDescent="0.3">
      <c r="A229" s="17" t="s">
        <v>31</v>
      </c>
      <c r="B229" s="16" t="s">
        <v>73</v>
      </c>
      <c r="C229">
        <v>9.1653120000000001E-4</v>
      </c>
      <c r="F229" s="16"/>
    </row>
    <row r="230" spans="1:6" x14ac:dyDescent="0.3">
      <c r="A230" s="17" t="s">
        <v>31</v>
      </c>
      <c r="B230" s="16" t="s">
        <v>75</v>
      </c>
      <c r="C230">
        <v>4.3130880000000003E-5</v>
      </c>
      <c r="F230" s="16"/>
    </row>
    <row r="231" spans="1:6" x14ac:dyDescent="0.3">
      <c r="A231" s="17" t="s">
        <v>31</v>
      </c>
      <c r="B231" s="16" t="s">
        <v>59</v>
      </c>
      <c r="C231">
        <v>1.1827296000000001E-4</v>
      </c>
      <c r="F231" s="16"/>
    </row>
    <row r="232" spans="1:6" x14ac:dyDescent="0.3">
      <c r="A232" s="17" t="s">
        <v>31</v>
      </c>
      <c r="B232" s="16" t="s">
        <v>56</v>
      </c>
      <c r="C232">
        <v>3.4819811331042219E-5</v>
      </c>
      <c r="F232" s="16"/>
    </row>
    <row r="233" spans="1:6" x14ac:dyDescent="0.3">
      <c r="A233" s="17" t="s">
        <v>31</v>
      </c>
      <c r="B233" s="16" t="s">
        <v>88</v>
      </c>
      <c r="C233">
        <v>5.9414331007894785E-6</v>
      </c>
      <c r="F233" s="16"/>
    </row>
    <row r="234" spans="1:6" x14ac:dyDescent="0.3">
      <c r="A234" s="17" t="s">
        <v>31</v>
      </c>
      <c r="B234" s="16" t="s">
        <v>57</v>
      </c>
      <c r="C234">
        <v>5.7158357784669765E-4</v>
      </c>
      <c r="F234" s="16"/>
    </row>
    <row r="235" spans="1:6" x14ac:dyDescent="0.3">
      <c r="F235" s="16"/>
    </row>
    <row r="236" spans="1:6" x14ac:dyDescent="0.3">
      <c r="F236" s="16"/>
    </row>
    <row r="237" spans="1:6" x14ac:dyDescent="0.3">
      <c r="F237" s="16"/>
    </row>
    <row r="238" spans="1:6" x14ac:dyDescent="0.3">
      <c r="F238" s="16"/>
    </row>
    <row r="239" spans="1:6" x14ac:dyDescent="0.3">
      <c r="B239" s="18"/>
      <c r="F239" s="16"/>
    </row>
    <row r="240" spans="1:6" x14ac:dyDescent="0.3">
      <c r="F240" s="16"/>
    </row>
    <row r="241" spans="6:6" x14ac:dyDescent="0.3">
      <c r="F241" s="16"/>
    </row>
    <row r="242" spans="6:6" x14ac:dyDescent="0.3">
      <c r="F242" s="16"/>
    </row>
    <row r="243" spans="6:6" x14ac:dyDescent="0.3">
      <c r="F243" s="16"/>
    </row>
    <row r="244" spans="6:6" x14ac:dyDescent="0.3">
      <c r="F244" s="2"/>
    </row>
  </sheetData>
  <autoFilter ref="A200:C210" xr:uid="{00000000-0009-0000-0000-000009000000}"/>
  <mergeCells count="1">
    <mergeCell ref="A2:G10"/>
  </mergeCells>
  <conditionalFormatting sqref="A56:A65">
    <cfRule type="duplicateValues" dxfId="1" priority="2"/>
  </conditionalFormatting>
  <conditionalFormatting sqref="A70:A79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1"/>
  <sheetViews>
    <sheetView workbookViewId="0">
      <selection activeCell="E28" sqref="E28"/>
    </sheetView>
  </sheetViews>
  <sheetFormatPr baseColWidth="10" defaultColWidth="11.44140625" defaultRowHeight="14.4" x14ac:dyDescent="0.3"/>
  <cols>
    <col min="1" max="1" width="18.33203125" bestFit="1" customWidth="1"/>
    <col min="7" max="7" width="36.5546875" bestFit="1" customWidth="1"/>
  </cols>
  <sheetData>
    <row r="1" spans="1:8" x14ac:dyDescent="0.3">
      <c r="A1" t="s">
        <v>230</v>
      </c>
      <c r="B1" t="s">
        <v>248</v>
      </c>
      <c r="C1" t="s">
        <v>246</v>
      </c>
      <c r="D1" t="s">
        <v>249</v>
      </c>
      <c r="G1" t="s">
        <v>230</v>
      </c>
      <c r="H1" t="s">
        <v>248</v>
      </c>
    </row>
    <row r="2" spans="1:8" x14ac:dyDescent="0.3">
      <c r="A2" t="s">
        <v>70</v>
      </c>
      <c r="B2">
        <v>39.131980499999997</v>
      </c>
      <c r="C2">
        <f t="shared" ref="C2:C23" si="0">VLOOKUP(A2,G:H,2,FALSE)</f>
        <v>0.27989632979876405</v>
      </c>
      <c r="D2">
        <f t="shared" ref="D2:D23" si="1">C2/B2</f>
        <v>7.1526236654125917E-3</v>
      </c>
      <c r="G2" t="s">
        <v>239</v>
      </c>
      <c r="H2">
        <v>2.5878528000000001E-6</v>
      </c>
    </row>
    <row r="3" spans="1:8" x14ac:dyDescent="0.3">
      <c r="A3" s="2" t="s">
        <v>232</v>
      </c>
      <c r="B3">
        <f>0.95317592+0.0259419</f>
        <v>0.97911781999999992</v>
      </c>
      <c r="C3">
        <f t="shared" si="0"/>
        <v>6.038586684924162E-3</v>
      </c>
      <c r="D3">
        <f t="shared" si="1"/>
        <v>6.1673749180912287E-3</v>
      </c>
      <c r="G3" s="2" t="s">
        <v>83</v>
      </c>
      <c r="H3">
        <v>2.7158976000000003E-5</v>
      </c>
    </row>
    <row r="4" spans="1:8" x14ac:dyDescent="0.3">
      <c r="A4" t="s">
        <v>71</v>
      </c>
      <c r="B4">
        <v>7.2109999999999985</v>
      </c>
      <c r="C4">
        <f t="shared" si="0"/>
        <v>3.6102720013438561E-2</v>
      </c>
      <c r="D4">
        <f t="shared" si="1"/>
        <v>5.0066176693161239E-3</v>
      </c>
      <c r="G4" s="2" t="s">
        <v>69</v>
      </c>
      <c r="H4">
        <v>3.3325344000000005E-5</v>
      </c>
    </row>
    <row r="5" spans="1:8" x14ac:dyDescent="0.3">
      <c r="A5" t="s">
        <v>72</v>
      </c>
      <c r="B5">
        <v>12.003004800000001</v>
      </c>
      <c r="C5">
        <f t="shared" si="0"/>
        <v>5.1826831052308023E-2</v>
      </c>
      <c r="D5">
        <f t="shared" si="1"/>
        <v>4.3178214052124698E-3</v>
      </c>
      <c r="G5" s="2" t="s">
        <v>87</v>
      </c>
      <c r="H5">
        <v>1.9373178657205393E-3</v>
      </c>
    </row>
    <row r="6" spans="1:8" x14ac:dyDescent="0.3">
      <c r="A6" t="s">
        <v>233</v>
      </c>
      <c r="B6">
        <v>10.7460895</v>
      </c>
      <c r="C6">
        <f t="shared" si="0"/>
        <v>4.4932555537068285E-2</v>
      </c>
      <c r="D6">
        <f t="shared" si="1"/>
        <v>4.1812936265855855E-3</v>
      </c>
      <c r="G6" s="2" t="s">
        <v>70</v>
      </c>
      <c r="H6">
        <v>0.27989632979876405</v>
      </c>
    </row>
    <row r="7" spans="1:8" x14ac:dyDescent="0.3">
      <c r="A7" t="s">
        <v>94</v>
      </c>
      <c r="B7">
        <v>0.40400000000000003</v>
      </c>
      <c r="C7">
        <f t="shared" si="0"/>
        <v>1.5601248E-3</v>
      </c>
      <c r="D7">
        <f t="shared" si="1"/>
        <v>3.8616950495049501E-3</v>
      </c>
      <c r="G7" s="2" t="s">
        <v>71</v>
      </c>
      <c r="H7">
        <v>3.6102720013438561E-2</v>
      </c>
    </row>
    <row r="8" spans="1:8" x14ac:dyDescent="0.3">
      <c r="A8" t="s">
        <v>92</v>
      </c>
      <c r="B8">
        <v>3.3000000000000002E-2</v>
      </c>
      <c r="C8">
        <f t="shared" si="0"/>
        <v>1.23979989044519E-4</v>
      </c>
      <c r="D8">
        <f t="shared" si="1"/>
        <v>3.756969364985424E-3</v>
      </c>
      <c r="G8" s="2" t="s">
        <v>92</v>
      </c>
      <c r="H8">
        <v>1.23979989044519E-4</v>
      </c>
    </row>
    <row r="9" spans="1:8" x14ac:dyDescent="0.3">
      <c r="A9" t="s">
        <v>234</v>
      </c>
      <c r="B9">
        <v>4.2445600000000007E-2</v>
      </c>
      <c r="C9">
        <f t="shared" si="0"/>
        <v>1.2883989839680286E-4</v>
      </c>
      <c r="D9">
        <f t="shared" si="1"/>
        <v>3.0354123489078452E-3</v>
      </c>
      <c r="G9" s="2" t="s">
        <v>72</v>
      </c>
      <c r="H9">
        <v>5.1826831052308023E-2</v>
      </c>
    </row>
    <row r="10" spans="1:8" x14ac:dyDescent="0.3">
      <c r="A10" t="s">
        <v>235</v>
      </c>
      <c r="B10">
        <v>0.01</v>
      </c>
      <c r="C10">
        <f t="shared" si="0"/>
        <v>2.0891519999999999E-5</v>
      </c>
      <c r="D10">
        <f t="shared" si="1"/>
        <v>2.0891519999999999E-3</v>
      </c>
      <c r="G10" s="2" t="s">
        <v>94</v>
      </c>
      <c r="H10">
        <v>1.5601248E-3</v>
      </c>
    </row>
    <row r="11" spans="1:8" x14ac:dyDescent="0.3">
      <c r="A11" t="s">
        <v>90</v>
      </c>
      <c r="B11">
        <v>0.86699999999999999</v>
      </c>
      <c r="C11">
        <f t="shared" si="0"/>
        <v>1.5996495258058091E-3</v>
      </c>
      <c r="D11">
        <f t="shared" si="1"/>
        <v>1.8450398221520291E-3</v>
      </c>
      <c r="G11" s="2" t="s">
        <v>58</v>
      </c>
      <c r="H11">
        <v>1.061205477990956E-2</v>
      </c>
    </row>
    <row r="12" spans="1:8" x14ac:dyDescent="0.3">
      <c r="A12" t="s">
        <v>236</v>
      </c>
      <c r="B12">
        <v>0.16883619999999999</v>
      </c>
      <c r="C12">
        <f t="shared" si="0"/>
        <v>3.0753867038463522E-4</v>
      </c>
      <c r="D12">
        <f t="shared" si="1"/>
        <v>1.8215209201855717E-3</v>
      </c>
      <c r="G12" t="s">
        <v>243</v>
      </c>
      <c r="H12">
        <v>3.8750400000000005E-4</v>
      </c>
    </row>
    <row r="13" spans="1:8" x14ac:dyDescent="0.3">
      <c r="A13" t="s">
        <v>237</v>
      </c>
      <c r="B13">
        <v>0.151</v>
      </c>
      <c r="C13">
        <f t="shared" si="0"/>
        <v>2.4598080000000003E-4</v>
      </c>
      <c r="D13">
        <f t="shared" si="1"/>
        <v>1.6290119205298016E-3</v>
      </c>
      <c r="G13" s="2" t="s">
        <v>76</v>
      </c>
      <c r="H13">
        <v>4.7511360000000003E-6</v>
      </c>
    </row>
    <row r="14" spans="1:8" x14ac:dyDescent="0.3">
      <c r="A14" t="s">
        <v>238</v>
      </c>
      <c r="B14">
        <v>6.9298465999999967</v>
      </c>
      <c r="C14">
        <f t="shared" si="0"/>
        <v>1.061205477990956E-2</v>
      </c>
      <c r="D14">
        <f t="shared" si="1"/>
        <v>1.5313549335867788E-3</v>
      </c>
      <c r="G14" t="s">
        <v>233</v>
      </c>
      <c r="H14">
        <v>4.4932555537068285E-2</v>
      </c>
    </row>
    <row r="15" spans="1:8" x14ac:dyDescent="0.3">
      <c r="A15" t="s">
        <v>79</v>
      </c>
      <c r="B15">
        <v>4.0359999999999996</v>
      </c>
      <c r="C15">
        <f t="shared" si="0"/>
        <v>6.1672099352832752E-3</v>
      </c>
      <c r="D15">
        <f t="shared" si="1"/>
        <v>1.5280500335191466E-3</v>
      </c>
      <c r="G15" s="2" t="s">
        <v>55</v>
      </c>
      <c r="H15">
        <v>7.9522560000000013E-3</v>
      </c>
    </row>
    <row r="16" spans="1:8" x14ac:dyDescent="0.3">
      <c r="A16" t="s">
        <v>87</v>
      </c>
      <c r="B16">
        <v>1.4539999999999995</v>
      </c>
      <c r="C16">
        <f t="shared" si="0"/>
        <v>1.9373178657205393E-3</v>
      </c>
      <c r="D16">
        <f t="shared" si="1"/>
        <v>1.3324056848146768E-3</v>
      </c>
      <c r="G16" s="2" t="s">
        <v>91</v>
      </c>
      <c r="H16">
        <v>2.0891519999999999E-5</v>
      </c>
    </row>
    <row r="17" spans="1:8" x14ac:dyDescent="0.3">
      <c r="A17" t="s">
        <v>239</v>
      </c>
      <c r="B17">
        <v>2E-3</v>
      </c>
      <c r="C17">
        <f t="shared" si="0"/>
        <v>2.5878528000000001E-6</v>
      </c>
      <c r="D17">
        <f t="shared" si="1"/>
        <v>1.2939264000000001E-3</v>
      </c>
      <c r="G17" s="2" t="s">
        <v>62</v>
      </c>
      <c r="H17">
        <v>2.2812192000000002E-3</v>
      </c>
    </row>
    <row r="18" spans="1:8" x14ac:dyDescent="0.3">
      <c r="A18" t="s">
        <v>83</v>
      </c>
      <c r="B18">
        <v>2.2000000000000002E-2</v>
      </c>
      <c r="C18">
        <f t="shared" si="0"/>
        <v>2.7158976000000003E-5</v>
      </c>
      <c r="D18">
        <f t="shared" si="1"/>
        <v>1.2344989090909092E-3</v>
      </c>
      <c r="G18" s="2" t="s">
        <v>11</v>
      </c>
      <c r="H18">
        <v>0.12096864000000002</v>
      </c>
    </row>
    <row r="19" spans="1:8" x14ac:dyDescent="0.3">
      <c r="A19" t="s">
        <v>240</v>
      </c>
      <c r="B19">
        <v>4.9931999999999997E-3</v>
      </c>
      <c r="C19">
        <f t="shared" si="0"/>
        <v>5.9414331007894785E-6</v>
      </c>
      <c r="D19">
        <f t="shared" si="1"/>
        <v>1.1899048908093966E-3</v>
      </c>
      <c r="G19" t="s">
        <v>237</v>
      </c>
      <c r="H19">
        <v>2.4598080000000003E-4</v>
      </c>
    </row>
    <row r="20" spans="1:8" x14ac:dyDescent="0.3">
      <c r="A20" t="s">
        <v>241</v>
      </c>
      <c r="B20">
        <v>2.9359999999999999</v>
      </c>
      <c r="C20">
        <f t="shared" si="0"/>
        <v>3.3447382307906174E-3</v>
      </c>
      <c r="D20">
        <f t="shared" si="1"/>
        <v>1.1392160186616544E-3</v>
      </c>
      <c r="G20" s="2" t="s">
        <v>84</v>
      </c>
      <c r="H20">
        <v>2.7933983999999998E-4</v>
      </c>
    </row>
    <row r="21" spans="1:8" x14ac:dyDescent="0.3">
      <c r="A21" t="s">
        <v>242</v>
      </c>
      <c r="B21">
        <v>8.4390000000000001</v>
      </c>
      <c r="C21">
        <f t="shared" si="0"/>
        <v>9.1316160000000004E-3</v>
      </c>
      <c r="D21">
        <f t="shared" si="1"/>
        <v>1.0820732314255244E-3</v>
      </c>
      <c r="G21" s="2" t="s">
        <v>12</v>
      </c>
      <c r="H21">
        <v>7.2446399999999994E-2</v>
      </c>
    </row>
    <row r="22" spans="1:8" x14ac:dyDescent="0.3">
      <c r="A22" t="s">
        <v>243</v>
      </c>
      <c r="B22">
        <v>0.39200000000000002</v>
      </c>
      <c r="C22">
        <f t="shared" si="0"/>
        <v>3.8750400000000005E-4</v>
      </c>
      <c r="D22">
        <f t="shared" si="1"/>
        <v>9.8853061224489806E-4</v>
      </c>
      <c r="G22" s="2" t="s">
        <v>74</v>
      </c>
      <c r="H22">
        <v>1.2883989839680286E-4</v>
      </c>
    </row>
    <row r="23" spans="1:8" x14ac:dyDescent="0.3">
      <c r="A23" s="2" t="s">
        <v>69</v>
      </c>
      <c r="B23">
        <v>8.4000000000000005E-2</v>
      </c>
      <c r="C23">
        <f t="shared" si="0"/>
        <v>3.3325344000000005E-5</v>
      </c>
      <c r="D23">
        <f t="shared" si="1"/>
        <v>3.9673028571428576E-4</v>
      </c>
      <c r="G23" s="2" t="s">
        <v>96</v>
      </c>
      <c r="H23">
        <v>24.058944000000004</v>
      </c>
    </row>
    <row r="24" spans="1:8" x14ac:dyDescent="0.3">
      <c r="G24" s="2" t="s">
        <v>79</v>
      </c>
      <c r="H24">
        <v>6.1672099352832752E-3</v>
      </c>
    </row>
    <row r="25" spans="1:8" x14ac:dyDescent="0.3">
      <c r="B25">
        <f>SUM(B2:B23)</f>
        <v>96.047314219999976</v>
      </c>
      <c r="C25">
        <f>SUM(C2:C23)</f>
        <v>0.45443348270773964</v>
      </c>
      <c r="D25">
        <f>SUM(D2:D23)</f>
        <v>5.6581223710750896E-2</v>
      </c>
      <c r="G25" s="2" t="s">
        <v>75</v>
      </c>
      <c r="H25">
        <v>3.0753867038463522E-4</v>
      </c>
    </row>
    <row r="26" spans="1:8" x14ac:dyDescent="0.3">
      <c r="G26" t="s">
        <v>241</v>
      </c>
      <c r="H26">
        <v>3.3447382307906174E-3</v>
      </c>
    </row>
    <row r="27" spans="1:8" x14ac:dyDescent="0.3">
      <c r="G27" s="2" t="s">
        <v>13</v>
      </c>
      <c r="H27">
        <v>8.9631359999999993E-2</v>
      </c>
    </row>
    <row r="28" spans="1:8" x14ac:dyDescent="0.3">
      <c r="G28" t="s">
        <v>242</v>
      </c>
      <c r="H28">
        <v>9.1316160000000004E-3</v>
      </c>
    </row>
    <row r="29" spans="1:8" x14ac:dyDescent="0.3">
      <c r="G29" s="2" t="s">
        <v>232</v>
      </c>
      <c r="H29">
        <v>6.038586684924162E-3</v>
      </c>
    </row>
    <row r="30" spans="1:8" x14ac:dyDescent="0.3">
      <c r="G30" s="2" t="s">
        <v>14</v>
      </c>
      <c r="H30">
        <v>1.6544736E-3</v>
      </c>
    </row>
    <row r="31" spans="1:8" x14ac:dyDescent="0.3">
      <c r="G31" s="2" t="s">
        <v>60</v>
      </c>
      <c r="H31">
        <v>9.0979200000000007E-3</v>
      </c>
    </row>
    <row r="32" spans="1:8" x14ac:dyDescent="0.3">
      <c r="G32" s="2" t="s">
        <v>86</v>
      </c>
      <c r="H32">
        <v>2.0049120000000002E-3</v>
      </c>
    </row>
    <row r="33" spans="7:8" x14ac:dyDescent="0.3">
      <c r="G33" s="2" t="s">
        <v>95</v>
      </c>
      <c r="H33">
        <v>1.9577376000000004E-6</v>
      </c>
    </row>
    <row r="34" spans="7:8" x14ac:dyDescent="0.3">
      <c r="G34" s="2" t="s">
        <v>93</v>
      </c>
      <c r="H34">
        <v>1.9577376000000004E-6</v>
      </c>
    </row>
    <row r="35" spans="7:8" x14ac:dyDescent="0.3">
      <c r="G35" s="2" t="s">
        <v>63</v>
      </c>
      <c r="H35">
        <v>0.24193728000000003</v>
      </c>
    </row>
    <row r="36" spans="7:8" x14ac:dyDescent="0.3">
      <c r="G36" s="2" t="s">
        <v>61</v>
      </c>
      <c r="H36">
        <v>1.8195840000000001E-2</v>
      </c>
    </row>
    <row r="37" spans="7:8" x14ac:dyDescent="0.3">
      <c r="G37" s="2" t="s">
        <v>80</v>
      </c>
      <c r="H37">
        <v>2.4472836696553077E-2</v>
      </c>
    </row>
    <row r="38" spans="7:8" x14ac:dyDescent="0.3">
      <c r="G38" s="2" t="s">
        <v>82</v>
      </c>
      <c r="H38">
        <v>2.2788663365300499E-4</v>
      </c>
    </row>
    <row r="39" spans="7:8" x14ac:dyDescent="0.3">
      <c r="G39" s="2" t="s">
        <v>81</v>
      </c>
      <c r="H39">
        <v>2.9024059360883417E-4</v>
      </c>
    </row>
    <row r="40" spans="7:8" x14ac:dyDescent="0.3">
      <c r="G40" s="2" t="s">
        <v>90</v>
      </c>
      <c r="H40">
        <v>1.5996495258058091E-3</v>
      </c>
    </row>
    <row r="41" spans="7:8" x14ac:dyDescent="0.3">
      <c r="G41" s="2" t="s">
        <v>88</v>
      </c>
      <c r="H41">
        <v>5.9414331007894785E-6</v>
      </c>
    </row>
  </sheetData>
  <autoFilter ref="A1:D23" xr:uid="{00000000-0009-0000-0000-00000A000000}">
    <sortState xmlns:xlrd2="http://schemas.microsoft.com/office/spreadsheetml/2017/richdata2" ref="A2:D23">
      <sortCondition descending="1" ref="D1:D23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2"/>
  <sheetViews>
    <sheetView topLeftCell="A40" workbookViewId="0">
      <selection activeCell="D26" sqref="D26"/>
    </sheetView>
  </sheetViews>
  <sheetFormatPr baseColWidth="10" defaultColWidth="11.44140625" defaultRowHeight="14.4" x14ac:dyDescent="0.3"/>
  <cols>
    <col min="1" max="1" width="28.33203125" customWidth="1"/>
    <col min="2" max="2" width="40.33203125" customWidth="1"/>
    <col min="3" max="3" width="37.6640625" bestFit="1" customWidth="1"/>
    <col min="5" max="5" width="27.77734375" customWidth="1"/>
    <col min="8" max="8" width="21.88671875" customWidth="1"/>
  </cols>
  <sheetData>
    <row r="1" spans="1:10" ht="21" x14ac:dyDescent="0.4">
      <c r="A1" s="14" t="s">
        <v>250</v>
      </c>
      <c r="I1">
        <f>9.55-5.378</f>
        <v>4.1720000000000006</v>
      </c>
    </row>
    <row r="2" spans="1:10" x14ac:dyDescent="0.3">
      <c r="E2" t="s">
        <v>251</v>
      </c>
      <c r="F2">
        <f>109.937-5.378+0.73</f>
        <v>105.289</v>
      </c>
    </row>
    <row r="3" spans="1:10" x14ac:dyDescent="0.3">
      <c r="B3" t="s">
        <v>252</v>
      </c>
      <c r="C3" t="s">
        <v>253</v>
      </c>
      <c r="E3" t="s">
        <v>254</v>
      </c>
      <c r="F3" t="s">
        <v>255</v>
      </c>
      <c r="H3" t="s">
        <v>101</v>
      </c>
      <c r="I3" t="s">
        <v>256</v>
      </c>
      <c r="J3" t="s">
        <v>257</v>
      </c>
    </row>
    <row r="4" spans="1:10" x14ac:dyDescent="0.3">
      <c r="A4" s="2" t="s">
        <v>1</v>
      </c>
      <c r="B4" s="13">
        <f t="shared" ref="B4:B9" si="0">-(E4-F4)/$E$10</f>
        <v>0</v>
      </c>
      <c r="C4" s="12">
        <f t="shared" ref="C4:C10" si="1">(E4-F4)/E4</f>
        <v>0</v>
      </c>
      <c r="D4" s="15">
        <f>(E4-F4)/$I$7</f>
        <v>0</v>
      </c>
      <c r="E4">
        <v>0.80605240843343606</v>
      </c>
      <c r="F4">
        <f>E4</f>
        <v>0.80605240843343606</v>
      </c>
      <c r="G4" t="s">
        <v>258</v>
      </c>
      <c r="H4">
        <v>1.2838176E-3</v>
      </c>
      <c r="I4">
        <f>H4/5.378*I1</f>
        <v>9.9592544202305698E-4</v>
      </c>
      <c r="J4">
        <f>H4-I4</f>
        <v>2.8789215797694304E-4</v>
      </c>
    </row>
    <row r="5" spans="1:10" x14ac:dyDescent="0.3">
      <c r="A5" s="2" t="s">
        <v>2</v>
      </c>
      <c r="B5" s="13">
        <f t="shared" si="0"/>
        <v>-1.760088321585944E-3</v>
      </c>
      <c r="C5" s="12">
        <f t="shared" si="1"/>
        <v>1</v>
      </c>
      <c r="D5" s="15">
        <f t="shared" ref="D5:D10" si="2">(E5-F5)/$I$7</f>
        <v>0.29370330839899672</v>
      </c>
      <c r="E5">
        <v>0.33965129952000006</v>
      </c>
      <c r="F5">
        <v>0</v>
      </c>
      <c r="G5" t="s">
        <v>259</v>
      </c>
    </row>
    <row r="6" spans="1:10" x14ac:dyDescent="0.3">
      <c r="A6" s="2" t="s">
        <v>3</v>
      </c>
      <c r="B6" s="13">
        <f t="shared" si="0"/>
        <v>0</v>
      </c>
      <c r="C6" s="12">
        <f t="shared" si="1"/>
        <v>0</v>
      </c>
      <c r="D6" s="15">
        <f t="shared" si="2"/>
        <v>0</v>
      </c>
      <c r="E6">
        <v>1.07398519488E-2</v>
      </c>
      <c r="F6">
        <f>E6</f>
        <v>1.07398519488E-2</v>
      </c>
    </row>
    <row r="7" spans="1:10" x14ac:dyDescent="0.3">
      <c r="A7" s="2" t="s">
        <v>4</v>
      </c>
      <c r="B7" s="13">
        <f t="shared" si="0"/>
        <v>-3.5765931326819245E-6</v>
      </c>
      <c r="C7" s="12">
        <f t="shared" si="1"/>
        <v>4.2540034737694146E-2</v>
      </c>
      <c r="D7" s="15">
        <f t="shared" si="2"/>
        <v>5.9682075210821736E-4</v>
      </c>
      <c r="E7">
        <v>1.6224469948069632E-2</v>
      </c>
      <c r="F7">
        <f>E7/109.967*F2</f>
        <v>1.5534280432878075E-2</v>
      </c>
      <c r="H7" t="s">
        <v>260</v>
      </c>
      <c r="I7">
        <f>E4+E5+E6</f>
        <v>1.156443559902236</v>
      </c>
    </row>
    <row r="8" spans="1:10" x14ac:dyDescent="0.3">
      <c r="A8" s="2" t="s">
        <v>7</v>
      </c>
      <c r="B8" s="13">
        <f t="shared" si="0"/>
        <v>-1.4918701204661693E-6</v>
      </c>
      <c r="C8" s="12">
        <f t="shared" si="1"/>
        <v>7.8333254855624979E-2</v>
      </c>
      <c r="D8" s="15">
        <f t="shared" si="2"/>
        <v>2.4894613793454931E-4</v>
      </c>
      <c r="E8">
        <v>3.6752227199999998E-3</v>
      </c>
      <c r="F8">
        <f>E8-J4</f>
        <v>3.3873305620230566E-3</v>
      </c>
    </row>
    <row r="9" spans="1:10" x14ac:dyDescent="0.3">
      <c r="A9" s="2" t="s">
        <v>6</v>
      </c>
      <c r="B9" s="13">
        <f t="shared" si="0"/>
        <v>-4.2280716484938349E-2</v>
      </c>
      <c r="C9" s="12">
        <f t="shared" si="1"/>
        <v>4.2540034737693987E-2</v>
      </c>
      <c r="D9" s="15">
        <f t="shared" si="2"/>
        <v>7.0553199863953706</v>
      </c>
      <c r="E9">
        <v>191.797665696</v>
      </c>
      <c r="F9">
        <f>E9/109.967*F2</f>
        <v>183.63858633468354</v>
      </c>
    </row>
    <row r="10" spans="1:10" x14ac:dyDescent="0.3">
      <c r="A10" s="2" t="s">
        <v>225</v>
      </c>
      <c r="B10" s="13">
        <f>(E10-F10)/$E$10</f>
        <v>4.4045873269777588E-2</v>
      </c>
      <c r="C10" s="12">
        <f t="shared" si="1"/>
        <v>4.4045873269777588E-2</v>
      </c>
      <c r="D10" s="15">
        <f t="shared" si="2"/>
        <v>7.3498690616844335</v>
      </c>
      <c r="E10">
        <f>SUM(E4:E9)</f>
        <v>192.97400894857032</v>
      </c>
      <c r="F10">
        <f>SUM(F4:F9)</f>
        <v>184.47430020606066</v>
      </c>
    </row>
    <row r="13" spans="1:10" x14ac:dyDescent="0.3">
      <c r="B13" t="s">
        <v>252</v>
      </c>
      <c r="G13">
        <f>5.378-0.73</f>
        <v>4.6479999999999997</v>
      </c>
    </row>
    <row r="14" spans="1:10" x14ac:dyDescent="0.3">
      <c r="A14" s="2" t="s">
        <v>1</v>
      </c>
      <c r="B14" s="13">
        <f t="shared" ref="B14:B19" si="3">-(E4-F4)/$I$7</f>
        <v>0</v>
      </c>
      <c r="D14">
        <f>(E10-F10)/E10</f>
        <v>4.4045873269777588E-2</v>
      </c>
      <c r="G14">
        <f>G13/109.967</f>
        <v>4.2267225622232119E-2</v>
      </c>
      <c r="H14">
        <f>1-G14</f>
        <v>0.95773277437776794</v>
      </c>
    </row>
    <row r="15" spans="1:10" x14ac:dyDescent="0.3">
      <c r="A15" s="2" t="s">
        <v>2</v>
      </c>
      <c r="B15" s="13">
        <f t="shared" si="3"/>
        <v>-0.29370330839899672</v>
      </c>
      <c r="H15">
        <v>0.95773277437776805</v>
      </c>
    </row>
    <row r="16" spans="1:10" x14ac:dyDescent="0.3">
      <c r="A16" s="2" t="s">
        <v>3</v>
      </c>
      <c r="B16" s="13">
        <f t="shared" si="3"/>
        <v>0</v>
      </c>
    </row>
    <row r="17" spans="1:8" x14ac:dyDescent="0.3">
      <c r="A17" s="2" t="s">
        <v>4</v>
      </c>
      <c r="B17" s="13">
        <f t="shared" si="3"/>
        <v>-5.9682075210821736E-4</v>
      </c>
      <c r="G17">
        <f>108.967/109.967</f>
        <v>0.99090636281793631</v>
      </c>
      <c r="H17">
        <v>0.99090636281793631</v>
      </c>
    </row>
    <row r="18" spans="1:8" x14ac:dyDescent="0.3">
      <c r="A18" s="2" t="s">
        <v>7</v>
      </c>
      <c r="B18" s="13">
        <f t="shared" si="3"/>
        <v>-2.4894613793454931E-4</v>
      </c>
    </row>
    <row r="19" spans="1:8" x14ac:dyDescent="0.3">
      <c r="A19" s="2" t="s">
        <v>6</v>
      </c>
      <c r="B19" s="13">
        <f t="shared" si="3"/>
        <v>-7.0553199863953706</v>
      </c>
    </row>
    <row r="24" spans="1:8" ht="21" x14ac:dyDescent="0.4">
      <c r="A24" s="14" t="s">
        <v>261</v>
      </c>
    </row>
    <row r="25" spans="1:8" x14ac:dyDescent="0.3">
      <c r="B25" t="s">
        <v>262</v>
      </c>
      <c r="C25" t="s">
        <v>252</v>
      </c>
      <c r="D25" t="s">
        <v>253</v>
      </c>
      <c r="E25" t="s">
        <v>254</v>
      </c>
      <c r="F25" t="s">
        <v>261</v>
      </c>
    </row>
    <row r="26" spans="1:8" x14ac:dyDescent="0.3">
      <c r="A26" s="2" t="s">
        <v>1</v>
      </c>
      <c r="B26" s="15">
        <f>-(E26-F26)/$I$7</f>
        <v>-6.8520782463049421E-2</v>
      </c>
      <c r="C26" s="13">
        <f t="shared" ref="C26:C31" si="4">-(E26-F26)/$E$10</f>
        <v>-4.1062741055441316E-4</v>
      </c>
      <c r="D26" s="12">
        <f t="shared" ref="D26:D32" si="5">(E26-F26)/E26</f>
        <v>9.8306781010504565E-2</v>
      </c>
      <c r="E26">
        <v>0.80605240843343606</v>
      </c>
      <c r="F26">
        <v>0.72681199083458048</v>
      </c>
    </row>
    <row r="27" spans="1:8" x14ac:dyDescent="0.3">
      <c r="A27" s="2" t="s">
        <v>2</v>
      </c>
      <c r="B27" s="15">
        <f>-(E27-F27)/$I$7</f>
        <v>-1.2810932442956826E-2</v>
      </c>
      <c r="C27" s="13">
        <f t="shared" si="4"/>
        <v>-7.6772620316699919E-5</v>
      </c>
      <c r="D27" s="12">
        <f t="shared" si="5"/>
        <v>4.3618618097257318E-2</v>
      </c>
      <c r="E27">
        <v>0.33965129952000006</v>
      </c>
      <c r="F27">
        <v>0.32483617920000002</v>
      </c>
    </row>
    <row r="28" spans="1:8" x14ac:dyDescent="0.3">
      <c r="A28" s="2" t="s">
        <v>3</v>
      </c>
      <c r="B28">
        <f t="shared" ref="B28:B31" si="6">(E28-F28)/$I$7</f>
        <v>0</v>
      </c>
      <c r="C28" s="13">
        <f t="shared" si="4"/>
        <v>0</v>
      </c>
      <c r="D28" s="12">
        <f t="shared" si="5"/>
        <v>0</v>
      </c>
      <c r="E28">
        <v>1.07398519488E-2</v>
      </c>
      <c r="F28">
        <v>1.07398519488E-2</v>
      </c>
    </row>
    <row r="29" spans="1:8" x14ac:dyDescent="0.3">
      <c r="A29" s="2" t="s">
        <v>4</v>
      </c>
      <c r="B29">
        <f t="shared" si="6"/>
        <v>0</v>
      </c>
      <c r="C29" s="13">
        <f t="shared" si="4"/>
        <v>0</v>
      </c>
      <c r="D29" s="12">
        <f t="shared" si="5"/>
        <v>0</v>
      </c>
      <c r="E29">
        <v>1.6224469948069632E-2</v>
      </c>
      <c r="F29">
        <v>1.6224469948069632E-2</v>
      </c>
    </row>
    <row r="30" spans="1:8" x14ac:dyDescent="0.3">
      <c r="A30" s="2" t="s">
        <v>7</v>
      </c>
      <c r="B30">
        <f t="shared" si="6"/>
        <v>0</v>
      </c>
      <c r="C30" s="13">
        <f t="shared" si="4"/>
        <v>0</v>
      </c>
      <c r="D30" s="12">
        <f t="shared" si="5"/>
        <v>0</v>
      </c>
      <c r="E30">
        <v>3.6752227199999998E-3</v>
      </c>
      <c r="F30">
        <v>3.6752227199999998E-3</v>
      </c>
    </row>
    <row r="31" spans="1:8" x14ac:dyDescent="0.3">
      <c r="A31" s="2" t="s">
        <v>6</v>
      </c>
      <c r="B31">
        <f t="shared" si="6"/>
        <v>0</v>
      </c>
      <c r="C31" s="13">
        <f t="shared" si="4"/>
        <v>0</v>
      </c>
      <c r="D31" s="12">
        <f t="shared" si="5"/>
        <v>0</v>
      </c>
      <c r="E31">
        <v>191.797665696</v>
      </c>
      <c r="F31">
        <v>191.797665696</v>
      </c>
    </row>
    <row r="32" spans="1:8" x14ac:dyDescent="0.3">
      <c r="A32" s="2" t="s">
        <v>225</v>
      </c>
      <c r="C32" s="13">
        <f>(E32-F32)/$E$10</f>
        <v>4.8740003087122152E-4</v>
      </c>
      <c r="D32" s="12">
        <f t="shared" si="5"/>
        <v>4.8740003087122152E-4</v>
      </c>
      <c r="E32">
        <f>SUM(E26:E31)</f>
        <v>192.97400894857032</v>
      </c>
      <c r="F32">
        <f>SUM(F26:F31)</f>
        <v>192.87995341065144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6A1F881A7CE6469D5281BA262D4ACC" ma:contentTypeVersion="18" ma:contentTypeDescription="Create a new document." ma:contentTypeScope="" ma:versionID="061e5b6478b5cc4f0259930d19330ed1">
  <xsd:schema xmlns:xsd="http://www.w3.org/2001/XMLSchema" xmlns:xs="http://www.w3.org/2001/XMLSchema" xmlns:p="http://schemas.microsoft.com/office/2006/metadata/properties" xmlns:ns2="a8ce4905-e698-48ba-93b5-f677fcb0ca1b" xmlns:ns3="c7cd5518-e225-49e3-b813-f6ed85f216d4" targetNamespace="http://schemas.microsoft.com/office/2006/metadata/properties" ma:root="true" ma:fieldsID="5536fa4cc99fdd817cd691ff1766e70a" ns2:_="" ns3:_="">
    <xsd:import namespace="a8ce4905-e698-48ba-93b5-f677fcb0ca1b"/>
    <xsd:import namespace="c7cd5518-e225-49e3-b813-f6ed85f216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e4905-e698-48ba-93b5-f677fcb0ca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906c78a-8b93-4682-b621-597ff65c9b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cd5518-e225-49e3-b813-f6ed85f216d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80c85e-ee37-4a71-b2f0-8e3909803e81}" ma:internalName="TaxCatchAll" ma:showField="CatchAllData" ma:web="c7cd5518-e225-49e3-b813-f6ed85f216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ce4905-e698-48ba-93b5-f677fcb0ca1b">
      <Terms xmlns="http://schemas.microsoft.com/office/infopath/2007/PartnerControls"/>
    </lcf76f155ced4ddcb4097134ff3c332f>
    <TaxCatchAll xmlns="c7cd5518-e225-49e3-b813-f6ed85f216d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0D786B-6009-487E-9F03-AE8AEB768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ce4905-e698-48ba-93b5-f677fcb0ca1b"/>
    <ds:schemaRef ds:uri="c7cd5518-e225-49e3-b813-f6ed85f216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3412B0-BFA7-47E2-BBBD-76E2A807B236}">
  <ds:schemaRefs>
    <ds:schemaRef ds:uri="http://schemas.microsoft.com/office/2006/metadata/properties"/>
    <ds:schemaRef ds:uri="http://schemas.microsoft.com/office/infopath/2007/PartnerControls"/>
    <ds:schemaRef ds:uri="a8ce4905-e698-48ba-93b5-f677fcb0ca1b"/>
    <ds:schemaRef ds:uri="c7cd5518-e225-49e3-b813-f6ed85f216d4"/>
  </ds:schemaRefs>
</ds:datastoreItem>
</file>

<file path=customXml/itemProps3.xml><?xml version="1.0" encoding="utf-8"?>
<ds:datastoreItem xmlns:ds="http://schemas.openxmlformats.org/officeDocument/2006/customXml" ds:itemID="{BFDFE9E9-D66E-412F-A107-6ADDE5E331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Master</vt:lpstr>
      <vt:lpstr>Transpo perseq</vt:lpstr>
      <vt:lpstr>Transpo pondéré (2)</vt:lpstr>
      <vt:lpstr>Pondération</vt:lpstr>
      <vt:lpstr>Transpo pondéré</vt:lpstr>
      <vt:lpstr>Analyse perseq</vt:lpstr>
      <vt:lpstr>Feuil2</vt:lpstr>
      <vt:lpstr>Feuil1</vt:lpstr>
      <vt:lpstr>Scoring</vt:lpstr>
      <vt:lpstr>Analyse pondéré</vt:lpstr>
      <vt:lpstr>Graphes perseq</vt:lpstr>
      <vt:lpstr>Graphes pondéré</vt:lpstr>
      <vt:lpstr>Approche par les masses</vt:lpstr>
      <vt:lpstr>Scenarii</vt:lpstr>
    </vt:vector>
  </TitlesOfParts>
  <Manager/>
  <Company>MDT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LOIZILLON Xavier</dc:creator>
  <cp:keywords/>
  <dc:description/>
  <cp:lastModifiedBy>MARTZ Yannick</cp:lastModifiedBy>
  <cp:revision/>
  <dcterms:created xsi:type="dcterms:W3CDTF">2022-01-25T18:25:09Z</dcterms:created>
  <dcterms:modified xsi:type="dcterms:W3CDTF">2025-09-30T13:21:29Z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0x0101002C6A1F881A7CE6469D5281BA262D4ACC</vt:lpwstr>
  </property>
  <property fmtid="{D5CDD505-2E9C-101B-9397-08002B2CF9AE}" pid="3" name="MediaServiceImageTags">
    <vt:lpwstr/>
  </property>
</Properties>
</file>